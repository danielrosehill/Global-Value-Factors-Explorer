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zcberry/Downloads/IFVI_Environmental-Methodology_Interim-Waste-Model-and-Technical-Manual/"/>
    </mc:Choice>
  </mc:AlternateContent>
  <xr:revisionPtr revIDLastSave="0" documentId="13_ncr:1_{03EF6FBD-AA0B-4C40-8AFB-8C5AB48AE31A}" xr6:coauthVersionLast="47" xr6:coauthVersionMax="47" xr10:uidLastSave="{00000000-0000-0000-0000-000000000000}"/>
  <bookViews>
    <workbookView xWindow="0" yWindow="740" windowWidth="29400" windowHeight="16880" tabRatio="861" xr2:uid="{00000000-000D-0000-FFFF-FFFF00000000}"/>
  </bookViews>
  <sheets>
    <sheet name="Cover sheet" sheetId="3" r:id="rId1"/>
    <sheet name="VALUE FACTORS &gt;&gt;" sheetId="43" r:id="rId2"/>
    <sheet name="Waste Value Factors" sheetId="7" r:id="rId3"/>
    <sheet name="INPUTS &gt;&gt;" sheetId="35" r:id="rId4"/>
    <sheet name="1. Waste Assumptions Sheet" sheetId="38" r:id="rId5"/>
    <sheet name="2. Waste Data Sheet" sheetId="39" r:id="rId6"/>
    <sheet name="3. Country Mappings" sheetId="4" r:id="rId7"/>
    <sheet name="4. Inflation Calculations" sheetId="25" r:id="rId8"/>
    <sheet name="5. Waste HARAS ERQ" sheetId="41" r:id="rId9"/>
    <sheet name="6. Waste MGR" sheetId="42" r:id="rId10"/>
    <sheet name="CALCS &gt;&gt;" sheetId="36" r:id="rId11"/>
    <sheet name="1. Leachate" sheetId="21" r:id="rId12"/>
    <sheet name="2. Air pollution" sheetId="26" r:id="rId13"/>
    <sheet name="3. Heavy metals &amp; dioxins" sheetId="17" r:id="rId14"/>
    <sheet name="4. Disamenity" sheetId="27" r:id="rId15"/>
    <sheet name="4a. LF DWF" sheetId="28" r:id="rId16"/>
    <sheet name="4b. IN DWF" sheetId="29" r:id="rId17"/>
    <sheet name="4c. Hedonic pricing" sheetId="30" r:id="rId18"/>
    <sheet name="5. Landfill GHGs" sheetId="12" r:id="rId19"/>
    <sheet name="5a. IPCC Model" sheetId="14" r:id="rId20"/>
    <sheet name="6. Incineration GHGs" sheetId="19" r:id="rId21"/>
    <sheet name="7. Interim value factors" sheetId="31" r:id="rId22"/>
    <sheet name="Version control" sheetId="2" r:id="rId23"/>
  </sheets>
  <definedNames>
    <definedName name="_xlnm._FilterDatabase" localSheetId="18" hidden="1">'5. Landfill GHGs'!$D$14:$G$76</definedName>
    <definedName name="_xlnm._FilterDatabase" localSheetId="20" hidden="1">'6. Incineration GHGs'!$E$13:$M$75</definedName>
    <definedName name="_xlnm._FilterDatabase" localSheetId="21" hidden="1">'7. Interim value factors'!$AN$32:$AN$32</definedName>
    <definedName name="_xlnm._FilterDatabase" localSheetId="2" hidden="1">'Waste Value Factors'!$C$12:$AD$230</definedName>
    <definedName name="Airpollution_Coefficient1">'2. Air pollution'!$AD$13:$AD$74</definedName>
    <definedName name="Airpollution_Coefficient2">'2. Air pollution'!$AE$13:$AE$74</definedName>
    <definedName name="Assump_AdjustHealthIncome">'1. Waste Assumptions Sheet'!$G$54</definedName>
    <definedName name="Assump_CancersperKG">'1. Waste Assumptions Sheet'!$G$31</definedName>
    <definedName name="Assump_CarbonCO2conv">'1. Waste Assumptions Sheet'!$G$48</definedName>
    <definedName name="Assump_ConversionCCH4">'1. Waste Assumptions Sheet'!$G$41</definedName>
    <definedName name="Assump_CostIQ">'1. Waste Assumptions Sheet'!$G$51</definedName>
    <definedName name="Assump_CostNFCancer">'1. Waste Assumptions Sheet'!$G$33</definedName>
    <definedName name="Assump_DiscountRate">'1. Waste Assumptions Sheet'!$G$45</definedName>
    <definedName name="Assump_DOCf">'1. Waste Assumptions Sheet'!$G$38</definedName>
    <definedName name="Assump_ElasticityLeachate">'1. Waste Assumptions Sheet'!$G$15</definedName>
    <definedName name="Assump_EnergyPot_Incin">'1. Waste Assumptions Sheet'!$G$27</definedName>
    <definedName name="Assump_EnergyPot_Landfill">'1. Waste Assumptions Sheet'!$G$22</definedName>
    <definedName name="Assump_FractionMethane">'1. Waste Assumptions Sheet'!$G$40</definedName>
    <definedName name="Assump_GgTonne">'1. Waste Assumptions Sheet'!$G$47</definedName>
    <definedName name="Assump_gKg">'1. Waste Assumptions Sheet'!$G$52</definedName>
    <definedName name="Assump_GWPConversion">'1. Waste Assumptions Sheet'!$G$42</definedName>
    <definedName name="Assump_Haz_CarbonContent">'1. Waste Assumptions Sheet'!$G$23</definedName>
    <definedName name="Assump_Haz_EfficiencyCombustion">'1. Waste Assumptions Sheet'!$G$28</definedName>
    <definedName name="Assump_Haz_FossilCarbon">'1. Waste Assumptions Sheet'!$G$25</definedName>
    <definedName name="Assump_HealthElasticity">'1. Waste Assumptions Sheet'!$G$49</definedName>
    <definedName name="Assump_HedonicFactor">'1. Waste Assumptions Sheet'!$G$50</definedName>
    <definedName name="Assump_Incin_EnergyPotential">'1. Waste Assumptions Sheet'!$G$27</definedName>
    <definedName name="Assump_IQperkgHg">'1. Waste Assumptions Sheet'!$G$36</definedName>
    <definedName name="Assump_IQperkgPb">'1. Waste Assumptions Sheet'!$G$35</definedName>
    <definedName name="Assump_kgTonne">'1. Waste Assumptions Sheet'!$G$46</definedName>
    <definedName name="Assump_LandfillYears">'1. Waste Assumptions Sheet'!$G$37</definedName>
    <definedName name="Assump_LeachateWCcost">'1. Waste Assumptions Sheet'!$G$16</definedName>
    <definedName name="Assump_LikelihoodBaseline">'1. Waste Assumptions Sheet'!$G$32</definedName>
    <definedName name="Assump_MCF">'1. Waste Assumptions Sheet'!$G$17</definedName>
    <definedName name="Assump_NonHaz_CarbonContent">'1. Waste Assumptions Sheet'!$G$24</definedName>
    <definedName name="Assump_NonHaz_EfficiencyCombustion">'1. Waste Assumptions Sheet'!$G$29</definedName>
    <definedName name="Assump_NonHaz_FossilCarbon">'1. Waste Assumptions Sheet'!$G$26</definedName>
    <definedName name="Assump_NOXEF">'1. Waste Assumptions Sheet'!$G$18</definedName>
    <definedName name="Assump_OECDGNI">'1. Waste Assumptions Sheet'!$G$14</definedName>
    <definedName name="Assump_OECDVSL">'1. Waste Assumptions Sheet'!$G$34</definedName>
    <definedName name="Assump_PM10EF">'1. Waste Assumptions Sheet'!$G$20</definedName>
    <definedName name="Assump_PM25EF">'1. Waste Assumptions Sheet'!$G$21</definedName>
    <definedName name="Assump_ProportionCancers">'1. Waste Assumptions Sheet'!$G$30</definedName>
    <definedName name="Assump_SCC">'1. Waste Assumptions Sheet'!$G$43</definedName>
    <definedName name="Assump_SCCGrowth">'1. Waste Assumptions Sheet'!$G$44</definedName>
    <definedName name="Assump_SOXEF">'1. Waste Assumptions Sheet'!$G$19</definedName>
    <definedName name="Assump_StartMonth">'1. Waste Assumptions Sheet'!$G$39</definedName>
    <definedName name="Assump_USGNI">'1. Waste Assumptions Sheet'!$G$13</definedName>
    <definedName name="Disamenity_IDWF">'4b. IN DWF'!$F$13:$F$74</definedName>
    <definedName name="Disamenity_IN_Coefficient1">'4. Disamenity'!$P$13:$P$74</definedName>
    <definedName name="Disamenity_IN_Coefficient2">'4. Disamenity'!$Q$13:$Q$74</definedName>
    <definedName name="Disamenity_LF_Coefficient1">'4. Disamenity'!$L$13:$L$74</definedName>
    <definedName name="Disamenity_LF_Coefficient2">'4. Disamenity'!$M$13:$M$74</definedName>
    <definedName name="Disamentiy_LDWF">'4a. LF DWF'!$F$13:$F$74</definedName>
    <definedName name="ERQ_Landfill">'5. Waste HARAS ERQ'!$J$12:$J$18</definedName>
    <definedName name="ERQ_Score">'5. Waste HARAS ERQ'!$I$12:$I$18</definedName>
    <definedName name="ExternalData_1" localSheetId="4" hidden="1">'1. Waste Assumptions Sheet'!$B$1:$I$1012</definedName>
    <definedName name="ExternalData_1" localSheetId="5" hidden="1">'2. Waste Data Sheet'!$B$1:$AM$1001</definedName>
    <definedName name="ExternalData_1" localSheetId="8" hidden="1">'5. Waste HARAS ERQ'!$A$1:$M$40</definedName>
    <definedName name="ExternalData_1" localSheetId="9" hidden="1">'6. Waste MGR'!$A$1:$I$18</definedName>
    <definedName name="HARAS_code">'5. Waste HARAS ERQ'!$B$13:$B$39</definedName>
    <definedName name="HARAS_scoreLined">'5. Waste HARAS ERQ'!$E$13:$E$39</definedName>
    <definedName name="HARAS_scoreUnlined">'5. Waste HARAS ERQ'!$C$13:$C$39</definedName>
    <definedName name="Health_Coefficient1">'3. Heavy metals &amp; dioxins'!$V$14:$V$75</definedName>
    <definedName name="Health_Coefficient2">'3. Heavy metals &amp; dioxins'!$W$14:$W$75</definedName>
    <definedName name="INGHG_Coefficient1">'6. Incineration GHGs'!$M$14:$M$75</definedName>
    <definedName name="INGHG_Coefficient2">'6. Incineration GHGs'!$S$14:$S$75</definedName>
    <definedName name="Input_CO2grid">'2. Waste Data Sheet'!$J$14:$J$231</definedName>
    <definedName name="Input_countries">'2. Waste Data Sheet'!$C$14:$C$231</definedName>
    <definedName name="Input_DioxinEF">'2. Waste Data Sheet'!$AC$14:$AC$231</definedName>
    <definedName name="Input_ERQ">'2. Waste Data Sheet'!$E$14:$E$231</definedName>
    <definedName name="Input_GNIPPP">'2. Waste Data Sheet'!$AB$14:$AB$231</definedName>
    <definedName name="Input_HazIncin_ER">'2. Waste Data Sheet'!$AH$14:$AH$231</definedName>
    <definedName name="Input_HMethaneBurned">'2. Waste Data Sheet'!$AA$14:$AA$231</definedName>
    <definedName name="Input_HMethaneCaptured">'2. Waste Data Sheet'!$Z$14:$Z$231</definedName>
    <definedName name="Input_HousePrice">'2. Waste Data Sheet'!$V$14:$V$231</definedName>
    <definedName name="Input_HouseSize">'2. Waste Data Sheet'!$K$14:$K$231</definedName>
    <definedName name="Input_IncinerationER">'2. Waste Data Sheet'!$S$14:$S$231</definedName>
    <definedName name="Input_IncinerationWaste">'2. Waste Data Sheet'!$O$14:$O$231</definedName>
    <definedName name="Input_IncinerationWasteTonnes">'2. Waste Data Sheet'!$P$14:$P$231</definedName>
    <definedName name="Input_IPCCZones">'2. Waste Data Sheet'!$W$14:$W$231</definedName>
    <definedName name="Input_LandfillFlow">'2. Waste Data Sheet'!$M$14:$M$231</definedName>
    <definedName name="Input_LandfillFlowTonnes">'2. Waste Data Sheet'!$N$14:$N$231</definedName>
    <definedName name="Input_LeadEF">'2. Waste Data Sheet'!$AD$14:$AD$231</definedName>
    <definedName name="Input_LinedLandfill">'2. Waste Data Sheet'!$T$14:$T$231</definedName>
    <definedName name="Input_MercuryEF">'2. Waste Data Sheet'!$AE$14:$AE$231</definedName>
    <definedName name="Input_NHMethaneBurned">'2. Waste Data Sheet'!$Y$14:$Y$231</definedName>
    <definedName name="Input_NHMethaneCaptured">'2. Waste Data Sheet'!$X$14:$X$231</definedName>
    <definedName name="Input_NoIncineration">'2. Waste Data Sheet'!$R$14:$R$231</definedName>
    <definedName name="Input_NoLandfills">'2. Waste Data Sheet'!$Q$14:$Q$231</definedName>
    <definedName name="Input_NonHaz_IncinER">'2. Waste Data Sheet'!$AI$14:$AI$231</definedName>
    <definedName name="Input_NoxImpact">'2. Waste Data Sheet'!$AJ$14:$AJ$231</definedName>
    <definedName name="Input_NOXintensity">'2. Waste Data Sheet'!$G$14:$G$231</definedName>
    <definedName name="Input_PM10impact">'2. Waste Data Sheet'!$AM$14:$AM$231</definedName>
    <definedName name="Input_PM10intensity">'2. Waste Data Sheet'!$I$14:$I$231</definedName>
    <definedName name="Input_PM2.5impact">'2. Waste Data Sheet'!$AL$14:$AL$231</definedName>
    <definedName name="Input_PM25intensity">'2. Waste Data Sheet'!$H$14:$H$231</definedName>
    <definedName name="Input_PopulationDensity">'2. Waste Data Sheet'!$AG$14:$AG$231</definedName>
    <definedName name="Input_regions">'2. Waste Data Sheet'!$D$14:$D$231</definedName>
    <definedName name="Input_SoilPermeability">'2. Waste Data Sheet'!$AF$14:$AF$231</definedName>
    <definedName name="Input_SoxImpact">'2. Waste Data Sheet'!$AK$14:$AK$231</definedName>
    <definedName name="Input_SOXintensity">'2. Waste Data Sheet'!$F$14:$F$231</definedName>
    <definedName name="Input_TotalWaste">'2. Waste Data Sheet'!$L$14:$L$231</definedName>
    <definedName name="Input_WasteCollection">'2. Waste Data Sheet'!$U$14:$U$231</definedName>
    <definedName name="Interim_Coefficients">'7. Interim value factors'!$F$14:$AI$75</definedName>
    <definedName name="Interim_CombinedCoefficients">'7. Interim value factors'!$AN$32:$BK$57</definedName>
    <definedName name="Interim_CombinedTag">'7. Interim value factors'!$AM$32:$AM$57</definedName>
    <definedName name="Interim_CombinedType">'7. Interim value factors'!$AN$13:$BK$13</definedName>
    <definedName name="Interim_Countries">'7. Interim value factors'!$C$14:$C$75</definedName>
    <definedName name="Interim_Income">'7. Interim value factors'!$AM$25:$AM$27</definedName>
    <definedName name="Interim_IncomeCoeff">'7. Interim value factors'!$AN$25:$BK$27</definedName>
    <definedName name="Interim_Regioncoeff">'7. Interim value factors'!$AN$14:$BK$20</definedName>
    <definedName name="Interim_Regions">'7. Interim value factors'!$AM$14:$AM$20</definedName>
    <definedName name="Interim_type">'7. Interim value factors'!$F$13:$AI$13</definedName>
    <definedName name="IPCC_Coefficient">'5a. IPCC Model'!$Q$15</definedName>
    <definedName name="IPCC_Location">'5a. IPCC Model'!$R$6</definedName>
    <definedName name="IPCC_LocationID">'5a. IPCC Model'!$R$5</definedName>
    <definedName name="IPCC_NonHaz_Haz">'5a. IPCC Model'!$R$9</definedName>
    <definedName name="LandfillGHG_ClimateZone">'5a. IPCC Model'!$R$7</definedName>
    <definedName name="LandfillGHG_WasteInput">'5. Landfill GHGs'!$F$4</definedName>
    <definedName name="Leachate_Coefficient1">'1. Leachate'!$AB$13:$AB$74</definedName>
    <definedName name="Leachate_Coefficient2">'1. Leachate'!$AC$13:$AC$74</definedName>
    <definedName name="LF_GHG_coeff1_start">'5. Landfill GHGs'!$F$15</definedName>
    <definedName name="LF_GHG_coeff2_start">'5. Landfill GHGs'!$G$15</definedName>
    <definedName name="LF_GHG_IPCCID">'5. Landfill GHGs'!$C$15:$C$76</definedName>
    <definedName name="LF_GHG_LocationID_start">'5. Landfill GHGs'!$C$15</definedName>
    <definedName name="LFGHG_Coefficient1">'5. Landfill GHGs'!$F$15:$F$76</definedName>
    <definedName name="LFGHG_Coefficient2">'5. Landfill GHGs'!$G$15:$G$76</definedName>
    <definedName name="MGR_ClimateZone">'6. Waste MGR'!$C$9:$F$9</definedName>
    <definedName name="MGR_DOC">'6. Waste MGR'!$G$10:$G$17</definedName>
    <definedName name="MGR_k">'6. Waste MGR'!$C$10:$F$17</definedName>
    <definedName name="MGR_WasteTypes">'6. Waste MGR'!$B$10:$B$17</definedName>
    <definedName name="ModifiedCountries">'3. Country Mappings'!$C$12:$C$73</definedName>
    <definedName name="ModifiedIncome">'3. Country Mappings'!$E$12:$E$73</definedName>
    <definedName name="ModifiedRegions">'3. Country Mappings'!$D$12:$D$73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6" roundtripDataChecksum="BXaUQw9FMvzBjn4uKXnjBnCNs3ADhTOEdQJrRyo6/qs="/>
    </ext>
  </extLst>
</workbook>
</file>

<file path=xl/calcChain.xml><?xml version="1.0" encoding="utf-8"?>
<calcChain xmlns="http://schemas.openxmlformats.org/spreadsheetml/2006/main">
  <c r="Q20" i="30" l="1"/>
  <c r="B8" i="36"/>
  <c r="C8" i="36"/>
  <c r="D8" i="36"/>
  <c r="E8" i="36" s="1"/>
  <c r="J4" i="19" l="1"/>
  <c r="E115" i="14"/>
  <c r="E114" i="14"/>
  <c r="E113" i="14"/>
  <c r="E112" i="14"/>
  <c r="E111" i="14"/>
  <c r="E110" i="14"/>
  <c r="E109" i="14"/>
  <c r="E108" i="14"/>
  <c r="E107" i="14"/>
  <c r="E106" i="14"/>
  <c r="E105" i="14"/>
  <c r="E104" i="14"/>
  <c r="E103" i="14"/>
  <c r="E102" i="14"/>
  <c r="E101" i="14"/>
  <c r="E100" i="14"/>
  <c r="E99" i="14"/>
  <c r="E98" i="14"/>
  <c r="E97" i="14"/>
  <c r="E96" i="14"/>
  <c r="E95" i="14"/>
  <c r="E94" i="14"/>
  <c r="E93" i="14"/>
  <c r="E92" i="14"/>
  <c r="E91" i="14"/>
  <c r="E90" i="14"/>
  <c r="E89" i="14"/>
  <c r="E88" i="14"/>
  <c r="E87" i="14"/>
  <c r="E86" i="14"/>
  <c r="E85" i="14"/>
  <c r="E84" i="14"/>
  <c r="E83" i="14"/>
  <c r="E82" i="14"/>
  <c r="E81" i="14"/>
  <c r="E80" i="14"/>
  <c r="E79" i="14"/>
  <c r="E78" i="14"/>
  <c r="E77" i="14"/>
  <c r="E76" i="14"/>
  <c r="E75" i="14"/>
  <c r="E74" i="14"/>
  <c r="E73" i="14"/>
  <c r="E72" i="14"/>
  <c r="E71" i="14"/>
  <c r="E70" i="14"/>
  <c r="E69" i="14"/>
  <c r="E68" i="14"/>
  <c r="E67" i="14"/>
  <c r="E66" i="14"/>
  <c r="E65" i="14"/>
  <c r="E64" i="14"/>
  <c r="E63" i="14"/>
  <c r="E62" i="14"/>
  <c r="E61" i="14"/>
  <c r="E60" i="14"/>
  <c r="E59" i="14"/>
  <c r="E58" i="14"/>
  <c r="E57" i="14"/>
  <c r="E56" i="14"/>
  <c r="E55" i="14"/>
  <c r="E54" i="14"/>
  <c r="E53" i="14"/>
  <c r="E52" i="14"/>
  <c r="E51" i="14"/>
  <c r="E50" i="14"/>
  <c r="E49" i="14"/>
  <c r="E48" i="14"/>
  <c r="E47" i="14"/>
  <c r="E46" i="14"/>
  <c r="E45" i="14"/>
  <c r="E44" i="14"/>
  <c r="E43" i="14"/>
  <c r="E42" i="14"/>
  <c r="E41" i="14"/>
  <c r="E40" i="14"/>
  <c r="E39" i="14"/>
  <c r="E38" i="14"/>
  <c r="E37" i="14"/>
  <c r="E36" i="14"/>
  <c r="E35" i="14"/>
  <c r="E34" i="14"/>
  <c r="E33" i="14"/>
  <c r="E32" i="14"/>
  <c r="E31" i="14"/>
  <c r="E30" i="14"/>
  <c r="E29" i="14"/>
  <c r="E28" i="14"/>
  <c r="E27" i="14"/>
  <c r="E26" i="14"/>
  <c r="E25" i="14"/>
  <c r="BC10" i="31" l="1"/>
  <c r="BD10" i="31"/>
  <c r="BE10" i="31"/>
  <c r="BF10" i="31"/>
  <c r="BG10" i="31"/>
  <c r="BH10" i="31"/>
  <c r="BI10" i="31"/>
  <c r="BJ10" i="31"/>
  <c r="BK10" i="31"/>
  <c r="BC11" i="31"/>
  <c r="BD11" i="31"/>
  <c r="BE11" i="31"/>
  <c r="BF11" i="31"/>
  <c r="BG11" i="31"/>
  <c r="BH11" i="31"/>
  <c r="BI11" i="31"/>
  <c r="BJ11" i="31"/>
  <c r="BK11" i="31"/>
  <c r="BB11" i="31"/>
  <c r="BB10" i="31"/>
  <c r="AO10" i="31"/>
  <c r="AP10" i="31"/>
  <c r="AQ10" i="31"/>
  <c r="AR10" i="31"/>
  <c r="AS10" i="31"/>
  <c r="AT10" i="31"/>
  <c r="AU10" i="31"/>
  <c r="AV10" i="31"/>
  <c r="AW10" i="31"/>
  <c r="AX10" i="31"/>
  <c r="AY10" i="31"/>
  <c r="AZ10" i="31"/>
  <c r="BA10" i="31"/>
  <c r="AO11" i="31"/>
  <c r="AP11" i="31"/>
  <c r="AQ11" i="31"/>
  <c r="AR11" i="31"/>
  <c r="AS11" i="31"/>
  <c r="AT11" i="31"/>
  <c r="AU11" i="31"/>
  <c r="AV11" i="31"/>
  <c r="AW11" i="31"/>
  <c r="AX11" i="31"/>
  <c r="AY11" i="31"/>
  <c r="AZ11" i="31"/>
  <c r="BA11" i="31"/>
  <c r="AN11" i="31"/>
  <c r="AN10" i="31"/>
  <c r="D11" i="30"/>
  <c r="U8" i="14"/>
  <c r="E4" i="17" l="1"/>
  <c r="Q21" i="30" l="1"/>
  <c r="Q22" i="30" s="1"/>
  <c r="Q23" i="30" s="1"/>
  <c r="Q24" i="30" s="1"/>
  <c r="Q25" i="30" s="1"/>
  <c r="Q26" i="30" s="1"/>
  <c r="Q27" i="30" s="1"/>
  <c r="Q28" i="30" s="1"/>
  <c r="Q29" i="30" s="1"/>
  <c r="Q30" i="30" s="1"/>
  <c r="O15" i="30"/>
  <c r="O14" i="30"/>
  <c r="P32" i="30" l="1"/>
  <c r="P76" i="30"/>
  <c r="P68" i="30"/>
  <c r="P60" i="30"/>
  <c r="P52" i="30"/>
  <c r="P44" i="30"/>
  <c r="P36" i="30"/>
  <c r="P75" i="30"/>
  <c r="P67" i="30"/>
  <c r="P59" i="30"/>
  <c r="P51" i="30"/>
  <c r="P43" i="30"/>
  <c r="P35" i="30"/>
  <c r="P74" i="30"/>
  <c r="P66" i="30"/>
  <c r="P58" i="30"/>
  <c r="P50" i="30"/>
  <c r="P42" i="30"/>
  <c r="P34" i="30"/>
  <c r="P79" i="30"/>
  <c r="P71" i="30"/>
  <c r="P63" i="30"/>
  <c r="P47" i="30"/>
  <c r="P70" i="30"/>
  <c r="P62" i="30"/>
  <c r="P54" i="30"/>
  <c r="P46" i="30"/>
  <c r="P38" i="30"/>
  <c r="P73" i="30"/>
  <c r="P65" i="30"/>
  <c r="P57" i="30"/>
  <c r="P49" i="30"/>
  <c r="P41" i="30"/>
  <c r="P33" i="30"/>
  <c r="P80" i="30"/>
  <c r="P72" i="30"/>
  <c r="P64" i="30"/>
  <c r="P56" i="30"/>
  <c r="P48" i="30"/>
  <c r="P40" i="30"/>
  <c r="P55" i="30"/>
  <c r="P39" i="30"/>
  <c r="P78" i="30"/>
  <c r="P77" i="30"/>
  <c r="P69" i="30"/>
  <c r="P61" i="30"/>
  <c r="P53" i="30"/>
  <c r="P45" i="30"/>
  <c r="P37" i="30"/>
  <c r="P31" i="30"/>
  <c r="Q31" i="30" s="1"/>
  <c r="Q32" i="30" s="1"/>
  <c r="Q33" i="30" s="1"/>
  <c r="Q34" i="30" s="1"/>
  <c r="L3" i="27"/>
  <c r="O4" i="17"/>
  <c r="T3" i="17"/>
  <c r="Q35" i="30" l="1"/>
  <c r="Q36" i="30" s="1"/>
  <c r="Q37" i="30" s="1"/>
  <c r="Q38" i="30" s="1"/>
  <c r="Q39" i="30" s="1"/>
  <c r="Q40" i="30" s="1"/>
  <c r="Q41" i="30" s="1"/>
  <c r="Q42" i="30" s="1"/>
  <c r="Q43" i="30" s="1"/>
  <c r="Q44" i="30" s="1"/>
  <c r="Q45" i="30" s="1"/>
  <c r="Q46" i="30" s="1"/>
  <c r="Q47" i="30" s="1"/>
  <c r="Q48" i="30" s="1"/>
  <c r="Q49" i="30" s="1"/>
  <c r="Q50" i="30" s="1"/>
  <c r="Q51" i="30" s="1"/>
  <c r="Q52" i="30" s="1"/>
  <c r="Q53" i="30" s="1"/>
  <c r="Q54" i="30" s="1"/>
  <c r="Q55" i="30" s="1"/>
  <c r="Q56" i="30" s="1"/>
  <c r="Q57" i="30" s="1"/>
  <c r="Q58" i="30" s="1"/>
  <c r="Q59" i="30" s="1"/>
  <c r="Q60" i="30" s="1"/>
  <c r="Q61" i="30" s="1"/>
  <c r="Q62" i="30" s="1"/>
  <c r="Q63" i="30" s="1"/>
  <c r="Q64" i="30" s="1"/>
  <c r="Q65" i="30" s="1"/>
  <c r="Q66" i="30" s="1"/>
  <c r="Q67" i="30" s="1"/>
  <c r="Q68" i="30" s="1"/>
  <c r="Q69" i="30" s="1"/>
  <c r="Q70" i="30" s="1"/>
  <c r="Q71" i="30" s="1"/>
  <c r="Q72" i="30" s="1"/>
  <c r="Q73" i="30" s="1"/>
  <c r="Q74" i="30" s="1"/>
  <c r="Q75" i="30" s="1"/>
  <c r="Q76" i="30" s="1"/>
  <c r="Q77" i="30" s="1"/>
  <c r="Q78" i="30" s="1"/>
  <c r="Q79" i="30" s="1"/>
  <c r="Q80" i="30" s="1"/>
  <c r="J11" i="14"/>
  <c r="R6" i="14"/>
  <c r="J12" i="14"/>
  <c r="J16" i="14"/>
  <c r="J18" i="14"/>
  <c r="F96" i="14" l="1"/>
  <c r="F90" i="14"/>
  <c r="F101" i="14"/>
  <c r="F59" i="14"/>
  <c r="F43" i="14"/>
  <c r="F27" i="14"/>
  <c r="F106" i="14"/>
  <c r="F77" i="14"/>
  <c r="F64" i="14"/>
  <c r="F53" i="14"/>
  <c r="F48" i="14"/>
  <c r="F37" i="14"/>
  <c r="F32" i="14"/>
  <c r="F88" i="14"/>
  <c r="F82" i="14"/>
  <c r="F58" i="14"/>
  <c r="F42" i="14"/>
  <c r="F26" i="14"/>
  <c r="F93" i="14"/>
  <c r="F104" i="14"/>
  <c r="F98" i="14"/>
  <c r="F51" i="14"/>
  <c r="F35" i="14"/>
  <c r="F80" i="14"/>
  <c r="F74" i="14"/>
  <c r="F61" i="14"/>
  <c r="F56" i="14"/>
  <c r="F45" i="14"/>
  <c r="F40" i="14"/>
  <c r="F29" i="14"/>
  <c r="F66" i="14"/>
  <c r="F50" i="14"/>
  <c r="F34" i="14"/>
  <c r="F85" i="14"/>
  <c r="F97" i="14"/>
  <c r="F25" i="14"/>
  <c r="F81" i="14"/>
  <c r="F69" i="14"/>
  <c r="F113" i="14"/>
  <c r="F49" i="14"/>
  <c r="F28" i="14"/>
  <c r="F108" i="14"/>
  <c r="F91" i="14"/>
  <c r="F30" i="14"/>
  <c r="F87" i="14"/>
  <c r="F76" i="14"/>
  <c r="F71" i="14"/>
  <c r="F54" i="14"/>
  <c r="F39" i="14"/>
  <c r="F103" i="14"/>
  <c r="F41" i="14"/>
  <c r="F111" i="14"/>
  <c r="F99" i="14"/>
  <c r="F83" i="14"/>
  <c r="F65" i="14"/>
  <c r="F44" i="14"/>
  <c r="F109" i="14"/>
  <c r="F46" i="14"/>
  <c r="F31" i="14"/>
  <c r="F105" i="14"/>
  <c r="F89" i="14"/>
  <c r="F72" i="14"/>
  <c r="F55" i="14"/>
  <c r="F67" i="14"/>
  <c r="F57" i="14"/>
  <c r="F36" i="14"/>
  <c r="F112" i="14"/>
  <c r="F95" i="14"/>
  <c r="F78" i="14"/>
  <c r="F60" i="14"/>
  <c r="F86" i="14"/>
  <c r="F62" i="14"/>
  <c r="F47" i="14"/>
  <c r="F70" i="14"/>
  <c r="F114" i="14"/>
  <c r="F84" i="14"/>
  <c r="F73" i="14"/>
  <c r="F92" i="14"/>
  <c r="F68" i="14"/>
  <c r="F52" i="14"/>
  <c r="F94" i="14"/>
  <c r="F33" i="14"/>
  <c r="F107" i="14"/>
  <c r="F79" i="14"/>
  <c r="F110" i="14"/>
  <c r="F75" i="14"/>
  <c r="F63" i="14"/>
  <c r="F100" i="14"/>
  <c r="F38" i="14"/>
  <c r="F115" i="14"/>
  <c r="F102" i="14"/>
  <c r="F116" i="14"/>
  <c r="J5" i="17" l="1"/>
  <c r="AM51" i="31"/>
  <c r="AM52" i="31"/>
  <c r="AM53" i="31"/>
  <c r="AM54" i="31"/>
  <c r="AM55" i="31"/>
  <c r="AM56" i="31"/>
  <c r="AM57" i="31"/>
  <c r="AM50" i="31"/>
  <c r="E14" i="31" a="1"/>
  <c r="E14" i="31" s="1"/>
  <c r="F3" i="28" l="1"/>
  <c r="R8" i="14" l="1"/>
  <c r="AM33" i="31" l="1"/>
  <c r="AM34" i="31"/>
  <c r="AM35" i="31"/>
  <c r="AM36" i="31"/>
  <c r="AM37" i="31"/>
  <c r="AM38" i="31"/>
  <c r="AM39" i="31"/>
  <c r="AM40" i="31"/>
  <c r="AM41" i="31"/>
  <c r="AM42" i="31"/>
  <c r="AM43" i="31"/>
  <c r="AM44" i="31"/>
  <c r="AM45" i="31"/>
  <c r="AM32" i="31"/>
  <c r="AD12" i="7"/>
  <c r="AC12" i="7"/>
  <c r="AB12" i="7"/>
  <c r="AA12" i="7"/>
  <c r="Z12" i="7"/>
  <c r="Y12" i="7"/>
  <c r="X12" i="7"/>
  <c r="W12" i="7"/>
  <c r="V12" i="7"/>
  <c r="U12" i="7"/>
  <c r="T12" i="7"/>
  <c r="S12" i="7"/>
  <c r="R12" i="7"/>
  <c r="Q12" i="7"/>
  <c r="P12" i="7"/>
  <c r="O12" i="7"/>
  <c r="N12" i="7"/>
  <c r="M12" i="7"/>
  <c r="L12" i="7"/>
  <c r="K12" i="7"/>
  <c r="J12" i="7"/>
  <c r="I12" i="7"/>
  <c r="H12" i="7"/>
  <c r="G12" i="7"/>
  <c r="G13" i="31" l="1"/>
  <c r="H13" i="31"/>
  <c r="I13" i="31"/>
  <c r="J13" i="31"/>
  <c r="K13" i="31"/>
  <c r="L13" i="31"/>
  <c r="M13" i="31"/>
  <c r="N13" i="31"/>
  <c r="O13" i="31"/>
  <c r="P13" i="31"/>
  <c r="Q13" i="31"/>
  <c r="R13" i="31"/>
  <c r="S13" i="31"/>
  <c r="Z13" i="31"/>
  <c r="AA13" i="31"/>
  <c r="AB13" i="31"/>
  <c r="AC13" i="31"/>
  <c r="AD13" i="31"/>
  <c r="AE13" i="31"/>
  <c r="AF13" i="31"/>
  <c r="AG13" i="31"/>
  <c r="AH13" i="31"/>
  <c r="AI13" i="31"/>
  <c r="F13" i="31"/>
  <c r="AM14" i="31" a="1"/>
  <c r="AM14" i="31" s="1"/>
  <c r="AN13" i="31" l="1"/>
  <c r="AP13" i="31"/>
  <c r="AW13" i="31"/>
  <c r="AV13" i="31"/>
  <c r="BK13" i="31"/>
  <c r="BC13" i="31"/>
  <c r="AU13" i="31"/>
  <c r="BJ13" i="31"/>
  <c r="BB13" i="31"/>
  <c r="AT13" i="31"/>
  <c r="BE13" i="31"/>
  <c r="AO13" i="31"/>
  <c r="BD13" i="31"/>
  <c r="BI13" i="31"/>
  <c r="BA13" i="31"/>
  <c r="AS13" i="31"/>
  <c r="BF13" i="31"/>
  <c r="AX13" i="31"/>
  <c r="BH13" i="31"/>
  <c r="AZ13" i="31"/>
  <c r="AR13" i="31"/>
  <c r="BG13" i="31"/>
  <c r="AY13" i="31"/>
  <c r="AQ13" i="31"/>
  <c r="J14" i="31" a="1"/>
  <c r="G14" i="31" a="1"/>
  <c r="D14" i="31" a="1"/>
  <c r="D14" i="31" s="1"/>
  <c r="C14" i="31" a="1"/>
  <c r="D13" i="7" a="1"/>
  <c r="C13" i="7" a="1"/>
  <c r="C13" i="7" l="1"/>
  <c r="D13" i="7"/>
  <c r="F13" i="7" s="1"/>
  <c r="F21" i="7"/>
  <c r="F29" i="7"/>
  <c r="F37" i="7"/>
  <c r="F45" i="7"/>
  <c r="F53" i="7"/>
  <c r="F61" i="7"/>
  <c r="F69" i="7"/>
  <c r="F77" i="7"/>
  <c r="F85" i="7"/>
  <c r="F93" i="7"/>
  <c r="F101" i="7"/>
  <c r="F109" i="7"/>
  <c r="F117" i="7"/>
  <c r="F125" i="7"/>
  <c r="F133" i="7"/>
  <c r="F141" i="7"/>
  <c r="F149" i="7"/>
  <c r="F157" i="7"/>
  <c r="F165" i="7"/>
  <c r="F173" i="7"/>
  <c r="F181" i="7"/>
  <c r="F189" i="7"/>
  <c r="F197" i="7"/>
  <c r="F205" i="7"/>
  <c r="F213" i="7"/>
  <c r="F221" i="7"/>
  <c r="F229" i="7"/>
  <c r="F16" i="7"/>
  <c r="F25" i="7"/>
  <c r="F34" i="7"/>
  <c r="F43" i="7"/>
  <c r="F52" i="7"/>
  <c r="F62" i="7"/>
  <c r="F71" i="7"/>
  <c r="F80" i="7"/>
  <c r="F89" i="7"/>
  <c r="F98" i="7"/>
  <c r="F107" i="7"/>
  <c r="F116" i="7"/>
  <c r="F126" i="7"/>
  <c r="F135" i="7"/>
  <c r="F144" i="7"/>
  <c r="F153" i="7"/>
  <c r="F162" i="7"/>
  <c r="F171" i="7"/>
  <c r="F180" i="7"/>
  <c r="F190" i="7"/>
  <c r="F199" i="7"/>
  <c r="F208" i="7"/>
  <c r="F217" i="7"/>
  <c r="F226" i="7"/>
  <c r="F18" i="7"/>
  <c r="F27" i="7"/>
  <c r="F36" i="7"/>
  <c r="F46" i="7"/>
  <c r="F55" i="7"/>
  <c r="F64" i="7"/>
  <c r="F73" i="7"/>
  <c r="F82" i="7"/>
  <c r="F91" i="7"/>
  <c r="F100" i="7"/>
  <c r="F110" i="7"/>
  <c r="F119" i="7"/>
  <c r="F128" i="7"/>
  <c r="F137" i="7"/>
  <c r="F146" i="7"/>
  <c r="F155" i="7"/>
  <c r="F164" i="7"/>
  <c r="F174" i="7"/>
  <c r="F183" i="7"/>
  <c r="F192" i="7"/>
  <c r="F201" i="7"/>
  <c r="F210" i="7"/>
  <c r="F219" i="7"/>
  <c r="F228" i="7"/>
  <c r="F19" i="7"/>
  <c r="F28" i="7"/>
  <c r="F38" i="7"/>
  <c r="F47" i="7"/>
  <c r="F56" i="7"/>
  <c r="F65" i="7"/>
  <c r="F74" i="7"/>
  <c r="F83" i="7"/>
  <c r="F92" i="7"/>
  <c r="F102" i="7"/>
  <c r="F111" i="7"/>
  <c r="F120" i="7"/>
  <c r="F129" i="7"/>
  <c r="F138" i="7"/>
  <c r="F147" i="7"/>
  <c r="F156" i="7"/>
  <c r="F166" i="7"/>
  <c r="F175" i="7"/>
  <c r="F184" i="7"/>
  <c r="F193" i="7"/>
  <c r="F202" i="7"/>
  <c r="F211" i="7"/>
  <c r="F220" i="7"/>
  <c r="F230" i="7"/>
  <c r="F20" i="7"/>
  <c r="F30" i="7"/>
  <c r="F39" i="7"/>
  <c r="F48" i="7"/>
  <c r="F57" i="7"/>
  <c r="F66" i="7"/>
  <c r="F75" i="7"/>
  <c r="F84" i="7"/>
  <c r="F94" i="7"/>
  <c r="F103" i="7"/>
  <c r="F112" i="7"/>
  <c r="F121" i="7"/>
  <c r="F130" i="7"/>
  <c r="F139" i="7"/>
  <c r="F148" i="7"/>
  <c r="F158" i="7"/>
  <c r="F167" i="7"/>
  <c r="F176" i="7"/>
  <c r="F185" i="7"/>
  <c r="F194" i="7"/>
  <c r="F203" i="7"/>
  <c r="F212" i="7"/>
  <c r="F222" i="7"/>
  <c r="F87" i="7"/>
  <c r="F142" i="7"/>
  <c r="F178" i="7"/>
  <c r="F206" i="7"/>
  <c r="F224" i="7"/>
  <c r="F22" i="7"/>
  <c r="F31" i="7"/>
  <c r="F40" i="7"/>
  <c r="F49" i="7"/>
  <c r="F58" i="7"/>
  <c r="F67" i="7"/>
  <c r="F76" i="7"/>
  <c r="F86" i="7"/>
  <c r="F95" i="7"/>
  <c r="F104" i="7"/>
  <c r="F113" i="7"/>
  <c r="F122" i="7"/>
  <c r="F131" i="7"/>
  <c r="F140" i="7"/>
  <c r="F150" i="7"/>
  <c r="F159" i="7"/>
  <c r="F168" i="7"/>
  <c r="F177" i="7"/>
  <c r="F186" i="7"/>
  <c r="F195" i="7"/>
  <c r="F204" i="7"/>
  <c r="F214" i="7"/>
  <c r="F223" i="7"/>
  <c r="F14" i="7"/>
  <c r="F23" i="7"/>
  <c r="F32" i="7"/>
  <c r="F41" i="7"/>
  <c r="F50" i="7"/>
  <c r="F59" i="7"/>
  <c r="F68" i="7"/>
  <c r="F78" i="7"/>
  <c r="F96" i="7"/>
  <c r="F105" i="7"/>
  <c r="F114" i="7"/>
  <c r="F123" i="7"/>
  <c r="F132" i="7"/>
  <c r="F151" i="7"/>
  <c r="F160" i="7"/>
  <c r="F169" i="7"/>
  <c r="F187" i="7"/>
  <c r="F196" i="7"/>
  <c r="F215" i="7"/>
  <c r="F15" i="7"/>
  <c r="F24" i="7"/>
  <c r="F33" i="7"/>
  <c r="F42" i="7"/>
  <c r="F51" i="7"/>
  <c r="F60" i="7"/>
  <c r="F70" i="7"/>
  <c r="F79" i="7"/>
  <c r="F88" i="7"/>
  <c r="F97" i="7"/>
  <c r="F106" i="7"/>
  <c r="F115" i="7"/>
  <c r="F124" i="7"/>
  <c r="F134" i="7"/>
  <c r="F143" i="7"/>
  <c r="F152" i="7"/>
  <c r="F161" i="7"/>
  <c r="F170" i="7"/>
  <c r="F179" i="7"/>
  <c r="F188" i="7"/>
  <c r="F198" i="7"/>
  <c r="F207" i="7"/>
  <c r="F216" i="7"/>
  <c r="F225" i="7"/>
  <c r="F17" i="7"/>
  <c r="F44" i="7"/>
  <c r="F118" i="7"/>
  <c r="F191" i="7"/>
  <c r="F127" i="7"/>
  <c r="F209" i="7"/>
  <c r="F218" i="7"/>
  <c r="F90" i="7"/>
  <c r="F26" i="7"/>
  <c r="F35" i="7"/>
  <c r="F54" i="7"/>
  <c r="F200" i="7"/>
  <c r="F63" i="7"/>
  <c r="F145" i="7"/>
  <c r="F136" i="7"/>
  <c r="F172" i="7"/>
  <c r="F182" i="7"/>
  <c r="F72" i="7"/>
  <c r="F81" i="7"/>
  <c r="F154" i="7"/>
  <c r="F227" i="7"/>
  <c r="F163" i="7"/>
  <c r="F99" i="7"/>
  <c r="F108" i="7"/>
  <c r="AR27" i="31"/>
  <c r="AR25" i="31"/>
  <c r="AO25" i="31"/>
  <c r="AO27" i="31"/>
  <c r="AR33" i="31"/>
  <c r="AO34" i="31"/>
  <c r="AR41" i="31"/>
  <c r="AO42" i="31"/>
  <c r="AR43" i="31"/>
  <c r="AR36" i="31"/>
  <c r="AO37" i="31"/>
  <c r="AR44" i="31"/>
  <c r="AO45" i="31"/>
  <c r="AO32" i="31"/>
  <c r="AR39" i="31"/>
  <c r="AO40" i="31"/>
  <c r="AR35" i="31"/>
  <c r="AO44" i="31"/>
  <c r="AR34" i="31"/>
  <c r="AO35" i="31"/>
  <c r="AR42" i="31"/>
  <c r="AO43" i="31"/>
  <c r="AO36" i="31"/>
  <c r="AO39" i="31"/>
  <c r="AR37" i="31"/>
  <c r="AR45" i="31"/>
  <c r="AR32" i="31"/>
  <c r="AO33" i="31"/>
  <c r="AR40" i="31"/>
  <c r="AO41" i="31"/>
  <c r="AR16" i="31"/>
  <c r="AO17" i="31"/>
  <c r="AR17" i="31"/>
  <c r="AO18" i="31"/>
  <c r="AR18" i="31"/>
  <c r="AO19" i="31"/>
  <c r="AR19" i="31"/>
  <c r="AO20" i="31"/>
  <c r="AR20" i="31"/>
  <c r="AO15" i="31"/>
  <c r="AR15" i="31"/>
  <c r="AO16" i="31"/>
  <c r="G14" i="31"/>
  <c r="C14" i="31"/>
  <c r="K48" i="7" s="1"/>
  <c r="J14" i="31"/>
  <c r="AO54" i="31" l="1"/>
  <c r="H116" i="7" s="1"/>
  <c r="AR54" i="31"/>
  <c r="AR57" i="31"/>
  <c r="K228" i="7" s="1"/>
  <c r="AO57" i="31"/>
  <c r="AR50" i="31"/>
  <c r="AO50" i="31"/>
  <c r="H13" i="7" s="1"/>
  <c r="AR51" i="31"/>
  <c r="AR52" i="31"/>
  <c r="K125" i="7" s="1"/>
  <c r="AR56" i="31"/>
  <c r="AO51" i="31"/>
  <c r="AO52" i="31"/>
  <c r="H44" i="7" s="1"/>
  <c r="AO56" i="31"/>
  <c r="K225" i="7"/>
  <c r="H168" i="7"/>
  <c r="H192" i="7"/>
  <c r="H53" i="7"/>
  <c r="K71" i="7"/>
  <c r="K168" i="7"/>
  <c r="H206" i="7"/>
  <c r="H187" i="7"/>
  <c r="H169" i="7"/>
  <c r="H154" i="7"/>
  <c r="K193" i="7"/>
  <c r="H24" i="7"/>
  <c r="H103" i="7"/>
  <c r="H193" i="7"/>
  <c r="H200" i="7"/>
  <c r="K100" i="7"/>
  <c r="K111" i="7"/>
  <c r="K117" i="7"/>
  <c r="K106" i="7"/>
  <c r="K42" i="7"/>
  <c r="H186" i="7"/>
  <c r="H36" i="7"/>
  <c r="H160" i="7"/>
  <c r="K187" i="7"/>
  <c r="K53" i="7"/>
  <c r="K221" i="7"/>
  <c r="H139" i="7"/>
  <c r="H66" i="7"/>
  <c r="H152" i="7"/>
  <c r="K220" i="7"/>
  <c r="H102" i="7"/>
  <c r="K164" i="7"/>
  <c r="K206" i="7"/>
  <c r="K54" i="7"/>
  <c r="K160" i="7"/>
  <c r="K86" i="7"/>
  <c r="K65" i="7"/>
  <c r="K36" i="7"/>
  <c r="H89" i="7"/>
  <c r="H108" i="7"/>
  <c r="H173" i="7"/>
  <c r="H75" i="7"/>
  <c r="H42" i="7"/>
  <c r="H128" i="7"/>
  <c r="K173" i="7"/>
  <c r="H31" i="7"/>
  <c r="H86" i="7"/>
  <c r="H133" i="7"/>
  <c r="K103" i="7"/>
  <c r="K154" i="7"/>
  <c r="K128" i="7"/>
  <c r="K28" i="7"/>
  <c r="H71" i="7"/>
  <c r="H106" i="7"/>
  <c r="K81" i="7"/>
  <c r="H161" i="7"/>
  <c r="H190" i="7"/>
  <c r="H65" i="7"/>
  <c r="H220" i="7"/>
  <c r="H112" i="7"/>
  <c r="K169" i="7"/>
  <c r="H23" i="7"/>
  <c r="H117" i="7"/>
  <c r="K186" i="7"/>
  <c r="K152" i="7"/>
  <c r="K93" i="7"/>
  <c r="K75" i="7"/>
  <c r="K31" i="7"/>
  <c r="H122" i="7"/>
  <c r="K192" i="7"/>
  <c r="K80" i="7"/>
  <c r="H164" i="7"/>
  <c r="K109" i="7"/>
  <c r="H81" i="7"/>
  <c r="K217" i="7"/>
  <c r="H221" i="7"/>
  <c r="K200" i="7"/>
  <c r="H80" i="7"/>
  <c r="H225" i="7"/>
  <c r="H54" i="7"/>
  <c r="H109" i="7"/>
  <c r="K112" i="7"/>
  <c r="K133" i="7"/>
  <c r="K89" i="7"/>
  <c r="K24" i="7"/>
  <c r="K23" i="7"/>
  <c r="H100" i="7"/>
  <c r="K102" i="7"/>
  <c r="K122" i="7"/>
  <c r="H28" i="7"/>
  <c r="H219" i="7"/>
  <c r="K219" i="7"/>
  <c r="H170" i="7"/>
  <c r="K170" i="7"/>
  <c r="H48" i="7"/>
  <c r="H111" i="7"/>
  <c r="H217" i="7"/>
  <c r="K190" i="7"/>
  <c r="K66" i="7"/>
  <c r="K139" i="7"/>
  <c r="K108" i="7"/>
  <c r="K161" i="7"/>
  <c r="H113" i="7"/>
  <c r="H73" i="7"/>
  <c r="H35" i="7"/>
  <c r="H83" i="7"/>
  <c r="H82" i="7"/>
  <c r="H101" i="7"/>
  <c r="H37" i="7"/>
  <c r="K172" i="7"/>
  <c r="H90" i="7"/>
  <c r="H177" i="7"/>
  <c r="H21" i="7"/>
  <c r="H99" i="7"/>
  <c r="H22" i="7"/>
  <c r="H52" i="7"/>
  <c r="H141" i="7"/>
  <c r="H163" i="7"/>
  <c r="K96" i="7"/>
  <c r="H159" i="7"/>
  <c r="H119" i="7"/>
  <c r="H127" i="7"/>
  <c r="H78" i="7"/>
  <c r="H34" i="7"/>
  <c r="H188" i="7"/>
  <c r="H214" i="7"/>
  <c r="H174" i="7"/>
  <c r="K171" i="7"/>
  <c r="H181" i="7"/>
  <c r="H179" i="7"/>
  <c r="H92" i="7"/>
  <c r="H19" i="7"/>
  <c r="H162" i="7"/>
  <c r="H172" i="7"/>
  <c r="H96" i="7"/>
  <c r="K82" i="7"/>
  <c r="K163" i="7"/>
  <c r="H150" i="7"/>
  <c r="K67" i="7"/>
  <c r="K30" i="7"/>
  <c r="K27" i="7"/>
  <c r="K98" i="7"/>
  <c r="K25" i="7"/>
  <c r="H149" i="7"/>
  <c r="H137" i="7"/>
  <c r="H148" i="7"/>
  <c r="H155" i="7"/>
  <c r="H27" i="7"/>
  <c r="H98" i="7"/>
  <c r="H88" i="7"/>
  <c r="H151" i="7"/>
  <c r="H142" i="7"/>
  <c r="H29" i="7"/>
  <c r="K159" i="7"/>
  <c r="K150" i="7"/>
  <c r="K118" i="7"/>
  <c r="K179" i="7"/>
  <c r="K151" i="7"/>
  <c r="K142" i="7"/>
  <c r="K92" i="7"/>
  <c r="K19" i="7"/>
  <c r="H165" i="7"/>
  <c r="K201" i="7"/>
  <c r="H222" i="7"/>
  <c r="H153" i="7"/>
  <c r="H121" i="7"/>
  <c r="H26" i="7"/>
  <c r="H144" i="7"/>
  <c r="H226" i="7"/>
  <c r="H143" i="7"/>
  <c r="H79" i="7"/>
  <c r="K196" i="7"/>
  <c r="K155" i="7"/>
  <c r="H85" i="7"/>
  <c r="K212" i="7"/>
  <c r="K204" i="7"/>
  <c r="K203" i="7"/>
  <c r="K15" i="7"/>
  <c r="K78" i="7"/>
  <c r="K35" i="7"/>
  <c r="K83" i="7"/>
  <c r="H145" i="7"/>
  <c r="H129" i="7"/>
  <c r="K211" i="7"/>
  <c r="H146" i="7"/>
  <c r="H228" i="7"/>
  <c r="H136" i="7"/>
  <c r="H218" i="7"/>
  <c r="K226" i="7"/>
  <c r="H223" i="7"/>
  <c r="K64" i="7"/>
  <c r="K16" i="7"/>
  <c r="K97" i="7"/>
  <c r="K49" i="7"/>
  <c r="K158" i="7"/>
  <c r="K153" i="7"/>
  <c r="K101" i="7"/>
  <c r="K37" i="7"/>
  <c r="K26" i="7"/>
  <c r="K17" i="7"/>
  <c r="K88" i="7"/>
  <c r="K123" i="7"/>
  <c r="K41" i="7"/>
  <c r="K113" i="7"/>
  <c r="K40" i="7"/>
  <c r="K148" i="7"/>
  <c r="K146" i="7"/>
  <c r="K73" i="7"/>
  <c r="K144" i="7"/>
  <c r="K29" i="7"/>
  <c r="H15" i="7"/>
  <c r="H41" i="7"/>
  <c r="H97" i="7"/>
  <c r="H67" i="7"/>
  <c r="H213" i="7"/>
  <c r="K181" i="7"/>
  <c r="K174" i="7"/>
  <c r="K210" i="7"/>
  <c r="H64" i="7"/>
  <c r="H210" i="7"/>
  <c r="H63" i="7"/>
  <c r="H209" i="7"/>
  <c r="K209" i="7"/>
  <c r="H16" i="7"/>
  <c r="H118" i="7"/>
  <c r="H215" i="7"/>
  <c r="K116" i="7"/>
  <c r="K115" i="7"/>
  <c r="K184" i="7"/>
  <c r="K90" i="7"/>
  <c r="K79" i="7"/>
  <c r="K177" i="7"/>
  <c r="K137" i="7"/>
  <c r="K85" i="7"/>
  <c r="K21" i="7"/>
  <c r="H25" i="7"/>
  <c r="H123" i="7"/>
  <c r="H130" i="7"/>
  <c r="H212" i="7"/>
  <c r="K136" i="7"/>
  <c r="H120" i="7"/>
  <c r="H202" i="7"/>
  <c r="K222" i="7"/>
  <c r="K215" i="7"/>
  <c r="H17" i="7"/>
  <c r="H201" i="7"/>
  <c r="K129" i="7"/>
  <c r="H46" i="7"/>
  <c r="H61" i="7"/>
  <c r="H207" i="7"/>
  <c r="K185" i="7"/>
  <c r="K162" i="7"/>
  <c r="K127" i="7"/>
  <c r="K99" i="7"/>
  <c r="K130" i="7"/>
  <c r="K223" i="7"/>
  <c r="H203" i="7"/>
  <c r="H115" i="7"/>
  <c r="K194" i="7"/>
  <c r="H204" i="7"/>
  <c r="H176" i="7"/>
  <c r="H194" i="7"/>
  <c r="K165" i="7"/>
  <c r="K149" i="7"/>
  <c r="H38" i="7"/>
  <c r="H184" i="7"/>
  <c r="K104" i="7"/>
  <c r="K63" i="7"/>
  <c r="K38" i="7"/>
  <c r="K107" i="7"/>
  <c r="K61" i="7"/>
  <c r="K143" i="7"/>
  <c r="K22" i="7"/>
  <c r="K52" i="7"/>
  <c r="K141" i="7"/>
  <c r="K145" i="7"/>
  <c r="K207" i="7"/>
  <c r="K14" i="7"/>
  <c r="K121" i="7"/>
  <c r="K120" i="7"/>
  <c r="K119" i="7"/>
  <c r="K46" i="7"/>
  <c r="H49" i="7"/>
  <c r="H14" i="7"/>
  <c r="H211" i="7"/>
  <c r="H171" i="7"/>
  <c r="H107" i="7"/>
  <c r="K214" i="7"/>
  <c r="H196" i="7"/>
  <c r="H104" i="7"/>
  <c r="H40" i="7"/>
  <c r="K218" i="7"/>
  <c r="H185" i="7"/>
  <c r="K213" i="7"/>
  <c r="H158" i="7"/>
  <c r="H30" i="7"/>
  <c r="K176" i="7"/>
  <c r="K188" i="7"/>
  <c r="K34" i="7"/>
  <c r="K13" i="7"/>
  <c r="AO38" i="31"/>
  <c r="H72" i="7" s="1"/>
  <c r="AO26" i="31"/>
  <c r="AO53" i="31" s="1"/>
  <c r="AR38" i="31"/>
  <c r="K199" i="7" s="1"/>
  <c r="AR26" i="31"/>
  <c r="AR53" i="31" s="1"/>
  <c r="AR14" i="31"/>
  <c r="AO14" i="31"/>
  <c r="K20" i="7" l="1"/>
  <c r="AO55" i="31"/>
  <c r="AR55" i="31"/>
  <c r="K202" i="7"/>
  <c r="K55" i="7"/>
  <c r="H140" i="7"/>
  <c r="K69" i="7"/>
  <c r="H224" i="7"/>
  <c r="H59" i="7"/>
  <c r="K140" i="7"/>
  <c r="K59" i="7"/>
  <c r="H39" i="7"/>
  <c r="K167" i="7"/>
  <c r="K70" i="7"/>
  <c r="H110" i="7"/>
  <c r="H70" i="7"/>
  <c r="H55" i="7"/>
  <c r="K224" i="7"/>
  <c r="H167" i="7"/>
  <c r="H69" i="7"/>
  <c r="H93" i="7"/>
  <c r="K110" i="7"/>
  <c r="H20" i="7"/>
  <c r="K39" i="7"/>
  <c r="K216" i="7"/>
  <c r="K208" i="7"/>
  <c r="K183" i="7"/>
  <c r="K57" i="7"/>
  <c r="K43" i="7"/>
  <c r="K77" i="7"/>
  <c r="K51" i="7"/>
  <c r="K95" i="7"/>
  <c r="K131" i="7"/>
  <c r="K135" i="7"/>
  <c r="K44" i="7"/>
  <c r="K156" i="7"/>
  <c r="K74" i="7"/>
  <c r="K84" i="7"/>
  <c r="K50" i="7"/>
  <c r="K189" i="7"/>
  <c r="K147" i="7"/>
  <c r="K132" i="7"/>
  <c r="K175" i="7"/>
  <c r="H156" i="7"/>
  <c r="H183" i="7"/>
  <c r="H216" i="7"/>
  <c r="H147" i="7"/>
  <c r="H77" i="7"/>
  <c r="K191" i="7"/>
  <c r="H191" i="7"/>
  <c r="H175" i="7"/>
  <c r="H74" i="7"/>
  <c r="H208" i="7"/>
  <c r="H198" i="7"/>
  <c r="H84" i="7"/>
  <c r="H135" i="7"/>
  <c r="H51" i="7"/>
  <c r="H132" i="7"/>
  <c r="H50" i="7"/>
  <c r="H189" i="7"/>
  <c r="H125" i="7"/>
  <c r="K198" i="7"/>
  <c r="H43" i="7"/>
  <c r="H131" i="7"/>
  <c r="H57" i="7"/>
  <c r="H95" i="7"/>
  <c r="K68" i="7"/>
  <c r="K195" i="7"/>
  <c r="K91" i="7"/>
  <c r="H195" i="7"/>
  <c r="H199" i="7"/>
  <c r="K32" i="7"/>
  <c r="H68" i="7"/>
  <c r="K166" i="7"/>
  <c r="K197" i="7"/>
  <c r="H91" i="7"/>
  <c r="H62" i="7"/>
  <c r="H166" i="7"/>
  <c r="K62" i="7"/>
  <c r="K72" i="7"/>
  <c r="H32" i="7"/>
  <c r="H197" i="7"/>
  <c r="AA3" i="26"/>
  <c r="X18" i="26" s="1"/>
  <c r="U3" i="26"/>
  <c r="R52" i="26" s="1"/>
  <c r="O3" i="26"/>
  <c r="F3" i="26"/>
  <c r="I3" i="26"/>
  <c r="F14" i="26" s="1"/>
  <c r="D13" i="26" a="1"/>
  <c r="D13" i="26" s="1"/>
  <c r="C13" i="26" a="1"/>
  <c r="AB14" i="26" l="1"/>
  <c r="AB22" i="26"/>
  <c r="AB30" i="26"/>
  <c r="AB38" i="26"/>
  <c r="AB46" i="26"/>
  <c r="AB54" i="26"/>
  <c r="AB62" i="26"/>
  <c r="AB70" i="26"/>
  <c r="V16" i="26"/>
  <c r="V24" i="26"/>
  <c r="V32" i="26"/>
  <c r="V40" i="26"/>
  <c r="V48" i="26"/>
  <c r="V56" i="26"/>
  <c r="V64" i="26"/>
  <c r="V72" i="26"/>
  <c r="P18" i="26"/>
  <c r="P26" i="26"/>
  <c r="P34" i="26"/>
  <c r="P42" i="26"/>
  <c r="P50" i="26"/>
  <c r="P58" i="26"/>
  <c r="P66" i="26"/>
  <c r="P74" i="26"/>
  <c r="J20" i="26"/>
  <c r="J28" i="26"/>
  <c r="J36" i="26"/>
  <c r="J44" i="26"/>
  <c r="J52" i="26"/>
  <c r="J60" i="26"/>
  <c r="J68" i="26"/>
  <c r="AB33" i="26"/>
  <c r="AB65" i="26"/>
  <c r="V35" i="26"/>
  <c r="V67" i="26"/>
  <c r="P37" i="26"/>
  <c r="P69" i="26"/>
  <c r="J39" i="26"/>
  <c r="J63" i="26"/>
  <c r="AB42" i="26"/>
  <c r="AB74" i="26"/>
  <c r="V44" i="26"/>
  <c r="P14" i="26"/>
  <c r="P38" i="26"/>
  <c r="P70" i="26"/>
  <c r="J40" i="26"/>
  <c r="J56" i="26"/>
  <c r="AB27" i="26"/>
  <c r="V61" i="26"/>
  <c r="P31" i="26"/>
  <c r="P71" i="26"/>
  <c r="J41" i="26"/>
  <c r="J65" i="26"/>
  <c r="AB36" i="26"/>
  <c r="AB68" i="26"/>
  <c r="V38" i="26"/>
  <c r="V70" i="26"/>
  <c r="P40" i="26"/>
  <c r="P72" i="26"/>
  <c r="J34" i="26"/>
  <c r="J66" i="26"/>
  <c r="AB15" i="26"/>
  <c r="AB23" i="26"/>
  <c r="AB31" i="26"/>
  <c r="AB39" i="26"/>
  <c r="AB47" i="26"/>
  <c r="AB55" i="26"/>
  <c r="AB63" i="26"/>
  <c r="AB71" i="26"/>
  <c r="V17" i="26"/>
  <c r="V25" i="26"/>
  <c r="V33" i="26"/>
  <c r="V41" i="26"/>
  <c r="V49" i="26"/>
  <c r="V57" i="26"/>
  <c r="V65" i="26"/>
  <c r="V73" i="26"/>
  <c r="P19" i="26"/>
  <c r="P27" i="26"/>
  <c r="P35" i="26"/>
  <c r="P43" i="26"/>
  <c r="P51" i="26"/>
  <c r="P59" i="26"/>
  <c r="P67" i="26"/>
  <c r="J21" i="26"/>
  <c r="J29" i="26"/>
  <c r="J37" i="26"/>
  <c r="J45" i="26"/>
  <c r="J53" i="26"/>
  <c r="J61" i="26"/>
  <c r="J69" i="26"/>
  <c r="AB41" i="26"/>
  <c r="V19" i="26"/>
  <c r="V59" i="26"/>
  <c r="P29" i="26"/>
  <c r="P61" i="26"/>
  <c r="J31" i="26"/>
  <c r="J71" i="26"/>
  <c r="AB50" i="26"/>
  <c r="AB58" i="26"/>
  <c r="V28" i="26"/>
  <c r="V52" i="26"/>
  <c r="P22" i="26"/>
  <c r="P62" i="26"/>
  <c r="J32" i="26"/>
  <c r="J72" i="26"/>
  <c r="AB51" i="26"/>
  <c r="V21" i="26"/>
  <c r="V53" i="26"/>
  <c r="P23" i="26"/>
  <c r="P55" i="26"/>
  <c r="J33" i="26"/>
  <c r="J73" i="26"/>
  <c r="AB44" i="26"/>
  <c r="AB60" i="26"/>
  <c r="V30" i="26"/>
  <c r="V62" i="26"/>
  <c r="P32" i="26"/>
  <c r="P64" i="26"/>
  <c r="J42" i="26"/>
  <c r="AB16" i="26"/>
  <c r="AB24" i="26"/>
  <c r="AB32" i="26"/>
  <c r="AB40" i="26"/>
  <c r="AB48" i="26"/>
  <c r="AB56" i="26"/>
  <c r="AB64" i="26"/>
  <c r="AB72" i="26"/>
  <c r="V18" i="26"/>
  <c r="V26" i="26"/>
  <c r="V34" i="26"/>
  <c r="V42" i="26"/>
  <c r="V50" i="26"/>
  <c r="V58" i="26"/>
  <c r="V66" i="26"/>
  <c r="V74" i="26"/>
  <c r="P20" i="26"/>
  <c r="P28" i="26"/>
  <c r="P36" i="26"/>
  <c r="P44" i="26"/>
  <c r="P52" i="26"/>
  <c r="P60" i="26"/>
  <c r="P68" i="26"/>
  <c r="J14" i="26"/>
  <c r="J22" i="26"/>
  <c r="J30" i="26"/>
  <c r="J38" i="26"/>
  <c r="J46" i="26"/>
  <c r="J54" i="26"/>
  <c r="J62" i="26"/>
  <c r="J70" i="26"/>
  <c r="AB25" i="26"/>
  <c r="AB57" i="26"/>
  <c r="V27" i="26"/>
  <c r="V51" i="26"/>
  <c r="P21" i="26"/>
  <c r="P53" i="26"/>
  <c r="J15" i="26"/>
  <c r="J47" i="26"/>
  <c r="AB34" i="26"/>
  <c r="V20" i="26"/>
  <c r="V60" i="26"/>
  <c r="P30" i="26"/>
  <c r="P54" i="26"/>
  <c r="J16" i="26"/>
  <c r="J48" i="26"/>
  <c r="AB35" i="26"/>
  <c r="AB67" i="26"/>
  <c r="V37" i="26"/>
  <c r="P15" i="26"/>
  <c r="P47" i="26"/>
  <c r="P63" i="26"/>
  <c r="J25" i="26"/>
  <c r="J57" i="26"/>
  <c r="AB28" i="26"/>
  <c r="AB52" i="26"/>
  <c r="V22" i="26"/>
  <c r="V46" i="26"/>
  <c r="P16" i="26"/>
  <c r="P48" i="26"/>
  <c r="J18" i="26"/>
  <c r="J50" i="26"/>
  <c r="J74" i="26"/>
  <c r="AB17" i="26"/>
  <c r="AB18" i="26"/>
  <c r="AB19" i="26"/>
  <c r="AB21" i="26"/>
  <c r="AB29" i="26"/>
  <c r="AB37" i="26"/>
  <c r="AB45" i="26"/>
  <c r="AB53" i="26"/>
  <c r="AB61" i="26"/>
  <c r="AB69" i="26"/>
  <c r="V15" i="26"/>
  <c r="V23" i="26"/>
  <c r="V31" i="26"/>
  <c r="V39" i="26"/>
  <c r="V47" i="26"/>
  <c r="V55" i="26"/>
  <c r="V63" i="26"/>
  <c r="V71" i="26"/>
  <c r="P17" i="26"/>
  <c r="P25" i="26"/>
  <c r="P33" i="26"/>
  <c r="P41" i="26"/>
  <c r="P49" i="26"/>
  <c r="P57" i="26"/>
  <c r="P65" i="26"/>
  <c r="P73" i="26"/>
  <c r="J19" i="26"/>
  <c r="J27" i="26"/>
  <c r="J35" i="26"/>
  <c r="J43" i="26"/>
  <c r="J51" i="26"/>
  <c r="J59" i="26"/>
  <c r="J67" i="26"/>
  <c r="AB49" i="26"/>
  <c r="AB73" i="26"/>
  <c r="V43" i="26"/>
  <c r="P45" i="26"/>
  <c r="J23" i="26"/>
  <c r="J55" i="26"/>
  <c r="AB26" i="26"/>
  <c r="AB66" i="26"/>
  <c r="V36" i="26"/>
  <c r="V68" i="26"/>
  <c r="P46" i="26"/>
  <c r="J24" i="26"/>
  <c r="J64" i="26"/>
  <c r="AB43" i="26"/>
  <c r="AB59" i="26"/>
  <c r="V29" i="26"/>
  <c r="V45" i="26"/>
  <c r="V69" i="26"/>
  <c r="P39" i="26"/>
  <c r="J17" i="26"/>
  <c r="J49" i="26"/>
  <c r="AB20" i="26"/>
  <c r="V14" i="26"/>
  <c r="V54" i="26"/>
  <c r="P24" i="26"/>
  <c r="P56" i="26"/>
  <c r="J26" i="26"/>
  <c r="J58" i="26"/>
  <c r="C13" i="26"/>
  <c r="E14" i="26"/>
  <c r="E22" i="26"/>
  <c r="E30" i="26"/>
  <c r="E38" i="26"/>
  <c r="E46" i="26"/>
  <c r="E54" i="26"/>
  <c r="E62" i="26"/>
  <c r="E70" i="26"/>
  <c r="E51" i="26"/>
  <c r="E20" i="26"/>
  <c r="E60" i="26"/>
  <c r="E15" i="26"/>
  <c r="E23" i="26"/>
  <c r="E31" i="26"/>
  <c r="E39" i="26"/>
  <c r="E47" i="26"/>
  <c r="E55" i="26"/>
  <c r="E63" i="26"/>
  <c r="E71" i="26"/>
  <c r="E35" i="26"/>
  <c r="E68" i="26"/>
  <c r="E16" i="26"/>
  <c r="E24" i="26"/>
  <c r="E32" i="26"/>
  <c r="E40" i="26"/>
  <c r="E48" i="26"/>
  <c r="E56" i="26"/>
  <c r="E64" i="26"/>
  <c r="E72" i="26"/>
  <c r="E59" i="26"/>
  <c r="E52" i="26"/>
  <c r="E17" i="26"/>
  <c r="E25" i="26"/>
  <c r="E33" i="26"/>
  <c r="E41" i="26"/>
  <c r="E49" i="26"/>
  <c r="E57" i="26"/>
  <c r="E65" i="26"/>
  <c r="E73" i="26"/>
  <c r="E19" i="26"/>
  <c r="E36" i="26"/>
  <c r="E18" i="26"/>
  <c r="E26" i="26"/>
  <c r="E34" i="26"/>
  <c r="E42" i="26"/>
  <c r="E50" i="26"/>
  <c r="E58" i="26"/>
  <c r="E66" i="26"/>
  <c r="E74" i="26"/>
  <c r="E27" i="26"/>
  <c r="E44" i="26"/>
  <c r="E21" i="26"/>
  <c r="E29" i="26"/>
  <c r="E37" i="26"/>
  <c r="E45" i="26"/>
  <c r="E53" i="26"/>
  <c r="E61" i="26"/>
  <c r="E69" i="26"/>
  <c r="E43" i="26"/>
  <c r="E67" i="26"/>
  <c r="E28" i="26"/>
  <c r="S73" i="26"/>
  <c r="S65" i="26"/>
  <c r="S57" i="26"/>
  <c r="S49" i="26"/>
  <c r="S41" i="26"/>
  <c r="S33" i="26"/>
  <c r="S25" i="26"/>
  <c r="S17" i="26"/>
  <c r="Y71" i="26"/>
  <c r="Y63" i="26"/>
  <c r="Y55" i="26"/>
  <c r="Y47" i="26"/>
  <c r="Y39" i="26"/>
  <c r="Y31" i="26"/>
  <c r="Y23" i="26"/>
  <c r="Y15" i="26"/>
  <c r="S34" i="26"/>
  <c r="Y64" i="26"/>
  <c r="Y16" i="26"/>
  <c r="S72" i="26"/>
  <c r="S64" i="26"/>
  <c r="S56" i="26"/>
  <c r="S48" i="26"/>
  <c r="S40" i="26"/>
  <c r="S32" i="26"/>
  <c r="S24" i="26"/>
  <c r="S16" i="26"/>
  <c r="Y70" i="26"/>
  <c r="Y62" i="26"/>
  <c r="Y54" i="26"/>
  <c r="Y46" i="26"/>
  <c r="Y38" i="26"/>
  <c r="Y30" i="26"/>
  <c r="Y22" i="26"/>
  <c r="Y14" i="26"/>
  <c r="S58" i="26"/>
  <c r="S18" i="26"/>
  <c r="Y40" i="26"/>
  <c r="S71" i="26"/>
  <c r="S63" i="26"/>
  <c r="S55" i="26"/>
  <c r="S47" i="26"/>
  <c r="S39" i="26"/>
  <c r="S31" i="26"/>
  <c r="S23" i="26"/>
  <c r="S15" i="26"/>
  <c r="Y69" i="26"/>
  <c r="Y61" i="26"/>
  <c r="Y53" i="26"/>
  <c r="Y45" i="26"/>
  <c r="Y37" i="26"/>
  <c r="Y29" i="26"/>
  <c r="Y21" i="26"/>
  <c r="S42" i="26"/>
  <c r="Y48" i="26"/>
  <c r="S70" i="26"/>
  <c r="S62" i="26"/>
  <c r="S54" i="26"/>
  <c r="S46" i="26"/>
  <c r="S38" i="26"/>
  <c r="S30" i="26"/>
  <c r="S22" i="26"/>
  <c r="S14" i="26"/>
  <c r="Y68" i="26"/>
  <c r="Y60" i="26"/>
  <c r="Y52" i="26"/>
  <c r="Y44" i="26"/>
  <c r="Y36" i="26"/>
  <c r="Y28" i="26"/>
  <c r="Y20" i="26"/>
  <c r="S26" i="26"/>
  <c r="S69" i="26"/>
  <c r="S61" i="26"/>
  <c r="S53" i="26"/>
  <c r="S45" i="26"/>
  <c r="S37" i="26"/>
  <c r="S29" i="26"/>
  <c r="S21" i="26"/>
  <c r="Y67" i="26"/>
  <c r="Y59" i="26"/>
  <c r="Y51" i="26"/>
  <c r="Y43" i="26"/>
  <c r="Y35" i="26"/>
  <c r="Y27" i="26"/>
  <c r="Y19" i="26"/>
  <c r="S74" i="26"/>
  <c r="S50" i="26"/>
  <c r="Y56" i="26"/>
  <c r="Y24" i="26"/>
  <c r="S68" i="26"/>
  <c r="S60" i="26"/>
  <c r="S52" i="26"/>
  <c r="S44" i="26"/>
  <c r="S36" i="26"/>
  <c r="S28" i="26"/>
  <c r="S20" i="26"/>
  <c r="Y74" i="26"/>
  <c r="Y66" i="26"/>
  <c r="Y58" i="26"/>
  <c r="Y50" i="26"/>
  <c r="Y42" i="26"/>
  <c r="Y34" i="26"/>
  <c r="Y26" i="26"/>
  <c r="Y18" i="26"/>
  <c r="S66" i="26"/>
  <c r="Y72" i="26"/>
  <c r="Y32" i="26"/>
  <c r="S13" i="26"/>
  <c r="S67" i="26"/>
  <c r="S59" i="26"/>
  <c r="S51" i="26"/>
  <c r="S43" i="26"/>
  <c r="S35" i="26"/>
  <c r="S27" i="26"/>
  <c r="S19" i="26"/>
  <c r="Y73" i="26"/>
  <c r="Y65" i="26"/>
  <c r="Y57" i="26"/>
  <c r="Y49" i="26"/>
  <c r="Y41" i="26"/>
  <c r="Y33" i="26"/>
  <c r="Y25" i="26"/>
  <c r="Y17" i="26"/>
  <c r="L14" i="26"/>
  <c r="L21" i="26"/>
  <c r="R38" i="26"/>
  <c r="R30" i="26"/>
  <c r="R22" i="26"/>
  <c r="R14" i="26"/>
  <c r="R67" i="26"/>
  <c r="R59" i="26"/>
  <c r="R51" i="26"/>
  <c r="X73" i="26"/>
  <c r="X65" i="26"/>
  <c r="X57" i="26"/>
  <c r="X49" i="26"/>
  <c r="X41" i="26"/>
  <c r="X33" i="26"/>
  <c r="X25" i="26"/>
  <c r="X17" i="26"/>
  <c r="R13" i="26"/>
  <c r="R37" i="26"/>
  <c r="R29" i="26"/>
  <c r="R21" i="26"/>
  <c r="R74" i="26"/>
  <c r="R66" i="26"/>
  <c r="R58" i="26"/>
  <c r="R50" i="26"/>
  <c r="X72" i="26"/>
  <c r="X64" i="26"/>
  <c r="X56" i="26"/>
  <c r="X48" i="26"/>
  <c r="X40" i="26"/>
  <c r="X32" i="26"/>
  <c r="X24" i="26"/>
  <c r="X16" i="26"/>
  <c r="R44" i="26"/>
  <c r="R36" i="26"/>
  <c r="R28" i="26"/>
  <c r="R20" i="26"/>
  <c r="R73" i="26"/>
  <c r="R65" i="26"/>
  <c r="R57" i="26"/>
  <c r="R49" i="26"/>
  <c r="X71" i="26"/>
  <c r="X63" i="26"/>
  <c r="X55" i="26"/>
  <c r="X47" i="26"/>
  <c r="X39" i="26"/>
  <c r="X31" i="26"/>
  <c r="X23" i="26"/>
  <c r="X15" i="26"/>
  <c r="R43" i="26"/>
  <c r="R35" i="26"/>
  <c r="R27" i="26"/>
  <c r="R19" i="26"/>
  <c r="R72" i="26"/>
  <c r="R64" i="26"/>
  <c r="R56" i="26"/>
  <c r="R48" i="26"/>
  <c r="X70" i="26"/>
  <c r="X62" i="26"/>
  <c r="X54" i="26"/>
  <c r="X46" i="26"/>
  <c r="X38" i="26"/>
  <c r="X30" i="26"/>
  <c r="X22" i="26"/>
  <c r="X14" i="26"/>
  <c r="R42" i="26"/>
  <c r="R34" i="26"/>
  <c r="R26" i="26"/>
  <c r="R18" i="26"/>
  <c r="R71" i="26"/>
  <c r="R63" i="26"/>
  <c r="R55" i="26"/>
  <c r="R47" i="26"/>
  <c r="X69" i="26"/>
  <c r="X61" i="26"/>
  <c r="X53" i="26"/>
  <c r="X45" i="26"/>
  <c r="X37" i="26"/>
  <c r="X29" i="26"/>
  <c r="X21" i="26"/>
  <c r="R41" i="26"/>
  <c r="R33" i="26"/>
  <c r="R25" i="26"/>
  <c r="R17" i="26"/>
  <c r="R70" i="26"/>
  <c r="R62" i="26"/>
  <c r="R54" i="26"/>
  <c r="R46" i="26"/>
  <c r="X68" i="26"/>
  <c r="X60" i="26"/>
  <c r="X52" i="26"/>
  <c r="X44" i="26"/>
  <c r="X36" i="26"/>
  <c r="X28" i="26"/>
  <c r="X20" i="26"/>
  <c r="R40" i="26"/>
  <c r="R32" i="26"/>
  <c r="R24" i="26"/>
  <c r="R16" i="26"/>
  <c r="R69" i="26"/>
  <c r="R61" i="26"/>
  <c r="R53" i="26"/>
  <c r="R45" i="26"/>
  <c r="X13" i="26"/>
  <c r="X67" i="26"/>
  <c r="X59" i="26"/>
  <c r="X51" i="26"/>
  <c r="X43" i="26"/>
  <c r="X35" i="26"/>
  <c r="X27" i="26"/>
  <c r="X19" i="26"/>
  <c r="R39" i="26"/>
  <c r="R31" i="26"/>
  <c r="R23" i="26"/>
  <c r="R15" i="26"/>
  <c r="R68" i="26"/>
  <c r="R60" i="26"/>
  <c r="X74" i="26"/>
  <c r="X66" i="26"/>
  <c r="X58" i="26"/>
  <c r="X50" i="26"/>
  <c r="X42" i="26"/>
  <c r="X34" i="26"/>
  <c r="X26" i="26"/>
  <c r="L69" i="26"/>
  <c r="L61" i="26"/>
  <c r="L45" i="26"/>
  <c r="L37" i="26"/>
  <c r="L53" i="26"/>
  <c r="L29" i="26"/>
  <c r="L13" i="26"/>
  <c r="L67" i="26"/>
  <c r="L59" i="26"/>
  <c r="L51" i="26"/>
  <c r="L43" i="26"/>
  <c r="L35" i="26"/>
  <c r="L27" i="26"/>
  <c r="L19" i="26"/>
  <c r="L74" i="26"/>
  <c r="L66" i="26"/>
  <c r="L58" i="26"/>
  <c r="L50" i="26"/>
  <c r="L42" i="26"/>
  <c r="L34" i="26"/>
  <c r="L26" i="26"/>
  <c r="L18" i="26"/>
  <c r="L68" i="26"/>
  <c r="L60" i="26"/>
  <c r="L52" i="26"/>
  <c r="L44" i="26"/>
  <c r="L36" i="26"/>
  <c r="L28" i="26"/>
  <c r="L20" i="26"/>
  <c r="L73" i="26"/>
  <c r="L65" i="26"/>
  <c r="L57" i="26"/>
  <c r="L49" i="26"/>
  <c r="L41" i="26"/>
  <c r="L33" i="26"/>
  <c r="L25" i="26"/>
  <c r="L17" i="26"/>
  <c r="L72" i="26"/>
  <c r="L64" i="26"/>
  <c r="L56" i="26"/>
  <c r="L48" i="26"/>
  <c r="L40" i="26"/>
  <c r="L32" i="26"/>
  <c r="L24" i="26"/>
  <c r="L16" i="26"/>
  <c r="L71" i="26"/>
  <c r="L63" i="26"/>
  <c r="L55" i="26"/>
  <c r="L47" i="26"/>
  <c r="L39" i="26"/>
  <c r="L31" i="26"/>
  <c r="L23" i="26"/>
  <c r="L15" i="26"/>
  <c r="L70" i="26"/>
  <c r="L62" i="26"/>
  <c r="L54" i="26"/>
  <c r="L46" i="26"/>
  <c r="L38" i="26"/>
  <c r="L30" i="26"/>
  <c r="L22" i="26"/>
  <c r="F13" i="26"/>
  <c r="F73" i="26"/>
  <c r="F37" i="26"/>
  <c r="F65" i="26"/>
  <c r="M69" i="26"/>
  <c r="M37" i="26"/>
  <c r="F35" i="26"/>
  <c r="F63" i="26"/>
  <c r="M67" i="26"/>
  <c r="M35" i="26"/>
  <c r="F29" i="26"/>
  <c r="F57" i="26"/>
  <c r="M61" i="26"/>
  <c r="M29" i="26"/>
  <c r="M45" i="26"/>
  <c r="M13" i="26"/>
  <c r="F27" i="26"/>
  <c r="F55" i="26"/>
  <c r="M59" i="26"/>
  <c r="M27" i="26"/>
  <c r="F21" i="26"/>
  <c r="F49" i="26"/>
  <c r="M53" i="26"/>
  <c r="M21" i="26"/>
  <c r="F71" i="26"/>
  <c r="M43" i="26"/>
  <c r="F19" i="26"/>
  <c r="F47" i="26"/>
  <c r="M51" i="26"/>
  <c r="M19" i="26"/>
  <c r="F42" i="26"/>
  <c r="F34" i="26"/>
  <c r="F26" i="26"/>
  <c r="F18" i="26"/>
  <c r="F70" i="26"/>
  <c r="F62" i="26"/>
  <c r="F54" i="26"/>
  <c r="F46" i="26"/>
  <c r="M74" i="26"/>
  <c r="M66" i="26"/>
  <c r="M58" i="26"/>
  <c r="M50" i="26"/>
  <c r="M42" i="26"/>
  <c r="M34" i="26"/>
  <c r="M26" i="26"/>
  <c r="M18" i="26"/>
  <c r="F41" i="26"/>
  <c r="F33" i="26"/>
  <c r="F25" i="26"/>
  <c r="F17" i="26"/>
  <c r="F69" i="26"/>
  <c r="F61" i="26"/>
  <c r="F53" i="26"/>
  <c r="F45" i="26"/>
  <c r="M73" i="26"/>
  <c r="M65" i="26"/>
  <c r="M57" i="26"/>
  <c r="M49" i="26"/>
  <c r="M41" i="26"/>
  <c r="M33" i="26"/>
  <c r="M25" i="26"/>
  <c r="M17" i="26"/>
  <c r="F40" i="26"/>
  <c r="F32" i="26"/>
  <c r="F24" i="26"/>
  <c r="F16" i="26"/>
  <c r="F68" i="26"/>
  <c r="F60" i="26"/>
  <c r="F52" i="26"/>
  <c r="F44" i="26"/>
  <c r="M72" i="26"/>
  <c r="M64" i="26"/>
  <c r="M56" i="26"/>
  <c r="M48" i="26"/>
  <c r="M40" i="26"/>
  <c r="M32" i="26"/>
  <c r="M24" i="26"/>
  <c r="M16" i="26"/>
  <c r="F39" i="26"/>
  <c r="F31" i="26"/>
  <c r="F23" i="26"/>
  <c r="F15" i="26"/>
  <c r="F67" i="26"/>
  <c r="F59" i="26"/>
  <c r="F51" i="26"/>
  <c r="F43" i="26"/>
  <c r="M71" i="26"/>
  <c r="M63" i="26"/>
  <c r="M55" i="26"/>
  <c r="M47" i="26"/>
  <c r="M39" i="26"/>
  <c r="M31" i="26"/>
  <c r="M23" i="26"/>
  <c r="M15" i="26"/>
  <c r="F38" i="26"/>
  <c r="F30" i="26"/>
  <c r="F22" i="26"/>
  <c r="F74" i="26"/>
  <c r="F66" i="26"/>
  <c r="F58" i="26"/>
  <c r="F50" i="26"/>
  <c r="M70" i="26"/>
  <c r="M62" i="26"/>
  <c r="M54" i="26"/>
  <c r="M46" i="26"/>
  <c r="M38" i="26"/>
  <c r="M30" i="26"/>
  <c r="M22" i="26"/>
  <c r="M14" i="26"/>
  <c r="F36" i="26"/>
  <c r="F28" i="26"/>
  <c r="F20" i="26"/>
  <c r="F72" i="26"/>
  <c r="F64" i="26"/>
  <c r="F56" i="26"/>
  <c r="F48" i="26"/>
  <c r="M68" i="26"/>
  <c r="M60" i="26"/>
  <c r="M52" i="26"/>
  <c r="M44" i="26"/>
  <c r="M36" i="26"/>
  <c r="M28" i="26"/>
  <c r="M20" i="26"/>
  <c r="G42" i="26"/>
  <c r="G34" i="26"/>
  <c r="G26" i="26"/>
  <c r="G18" i="26"/>
  <c r="G71" i="26"/>
  <c r="G63" i="26"/>
  <c r="G55" i="26"/>
  <c r="G49" i="26"/>
  <c r="G41" i="26"/>
  <c r="G33" i="26"/>
  <c r="G25" i="26"/>
  <c r="G17" i="26"/>
  <c r="G70" i="26"/>
  <c r="G62" i="26"/>
  <c r="G54" i="26"/>
  <c r="G48" i="26"/>
  <c r="G61" i="26"/>
  <c r="G40" i="26"/>
  <c r="G32" i="26"/>
  <c r="G24" i="26"/>
  <c r="G16" i="26"/>
  <c r="G69" i="26"/>
  <c r="G53" i="26"/>
  <c r="G47" i="26"/>
  <c r="G39" i="26"/>
  <c r="G31" i="26"/>
  <c r="G23" i="26"/>
  <c r="G15" i="26"/>
  <c r="G68" i="26"/>
  <c r="G60" i="26"/>
  <c r="G52" i="26"/>
  <c r="G51" i="26"/>
  <c r="G46" i="26"/>
  <c r="G38" i="26"/>
  <c r="G30" i="26"/>
  <c r="G22" i="26"/>
  <c r="G14" i="26"/>
  <c r="G67" i="26"/>
  <c r="G59" i="26"/>
  <c r="G45" i="26"/>
  <c r="G37" i="26"/>
  <c r="G29" i="26"/>
  <c r="G21" i="26"/>
  <c r="G74" i="26"/>
  <c r="G66" i="26"/>
  <c r="G58" i="26"/>
  <c r="G50" i="26"/>
  <c r="G44" i="26"/>
  <c r="G36" i="26"/>
  <c r="G28" i="26"/>
  <c r="G20" i="26"/>
  <c r="G73" i="26"/>
  <c r="G65" i="26"/>
  <c r="G57" i="26"/>
  <c r="G43" i="26"/>
  <c r="G35" i="26"/>
  <c r="G27" i="26"/>
  <c r="G19" i="26"/>
  <c r="G72" i="26"/>
  <c r="G64" i="26"/>
  <c r="G56" i="26"/>
  <c r="N70" i="26" l="1"/>
  <c r="N14" i="26"/>
  <c r="Z74" i="26"/>
  <c r="AB13" i="26"/>
  <c r="P13" i="26"/>
  <c r="J13" i="26"/>
  <c r="V13" i="26"/>
  <c r="Y13" i="26"/>
  <c r="N38" i="26"/>
  <c r="T35" i="26"/>
  <c r="T49" i="26"/>
  <c r="T25" i="26"/>
  <c r="U25" i="26" s="1"/>
  <c r="W25" i="26" s="1"/>
  <c r="Z23" i="26"/>
  <c r="AA23" i="26" s="1"/>
  <c r="AC23" i="26" s="1"/>
  <c r="Z33" i="26"/>
  <c r="AA33" i="26" s="1"/>
  <c r="AC33" i="26" s="1"/>
  <c r="Z51" i="26"/>
  <c r="AA51" i="26" s="1"/>
  <c r="AC51" i="26" s="1"/>
  <c r="N53" i="26"/>
  <c r="O53" i="26" s="1"/>
  <c r="Q53" i="26" s="1"/>
  <c r="T19" i="26"/>
  <c r="U19" i="26" s="1"/>
  <c r="W19" i="26" s="1"/>
  <c r="Z32" i="26"/>
  <c r="AA32" i="26" s="1"/>
  <c r="AC32" i="26" s="1"/>
  <c r="T43" i="26"/>
  <c r="U43" i="26" s="1"/>
  <c r="W43" i="26" s="1"/>
  <c r="Z56" i="26"/>
  <c r="AA56" i="26" s="1"/>
  <c r="AC56" i="26" s="1"/>
  <c r="Z60" i="26"/>
  <c r="AA60" i="26" s="1"/>
  <c r="AC60" i="26" s="1"/>
  <c r="Z30" i="26"/>
  <c r="AA30" i="26" s="1"/>
  <c r="AC30" i="26" s="1"/>
  <c r="Z26" i="26"/>
  <c r="AA26" i="26" s="1"/>
  <c r="AC26" i="26" s="1"/>
  <c r="N41" i="26"/>
  <c r="O41" i="26" s="1"/>
  <c r="Q41" i="26" s="1"/>
  <c r="N71" i="26"/>
  <c r="O71" i="26" s="1"/>
  <c r="Q71" i="26" s="1"/>
  <c r="T55" i="26"/>
  <c r="U55" i="26" s="1"/>
  <c r="W55" i="26" s="1"/>
  <c r="Z40" i="26"/>
  <c r="AA40" i="26" s="1"/>
  <c r="AC40" i="26" s="1"/>
  <c r="T47" i="26"/>
  <c r="U47" i="26" s="1"/>
  <c r="W47" i="26" s="1"/>
  <c r="N73" i="26"/>
  <c r="O73" i="26" s="1"/>
  <c r="Q73" i="26" s="1"/>
  <c r="Z24" i="26"/>
  <c r="AA24" i="26" s="1"/>
  <c r="AC24" i="26" s="1"/>
  <c r="U35" i="26"/>
  <c r="W35" i="26" s="1"/>
  <c r="Z64" i="26"/>
  <c r="AA64" i="26" s="1"/>
  <c r="AC64" i="26" s="1"/>
  <c r="T34" i="26"/>
  <c r="U34" i="26" s="1"/>
  <c r="W34" i="26" s="1"/>
  <c r="Z45" i="26"/>
  <c r="AA45" i="26" s="1"/>
  <c r="AC45" i="26" s="1"/>
  <c r="N52" i="26"/>
  <c r="O52" i="26" s="1"/>
  <c r="Q52" i="26" s="1"/>
  <c r="T62" i="26"/>
  <c r="U62" i="26" s="1"/>
  <c r="W62" i="26" s="1"/>
  <c r="Z37" i="26"/>
  <c r="AA37" i="26" s="1"/>
  <c r="AC37" i="26" s="1"/>
  <c r="Z50" i="26"/>
  <c r="AA50" i="26" s="1"/>
  <c r="AC50" i="26" s="1"/>
  <c r="Z16" i="26"/>
  <c r="AA16" i="26" s="1"/>
  <c r="AC16" i="26" s="1"/>
  <c r="Z31" i="26"/>
  <c r="AA31" i="26" s="1"/>
  <c r="AC31" i="26" s="1"/>
  <c r="T54" i="26"/>
  <c r="U54" i="26" s="1"/>
  <c r="W54" i="26" s="1"/>
  <c r="Z39" i="26"/>
  <c r="AA39" i="26" s="1"/>
  <c r="AC39" i="26" s="1"/>
  <c r="Z59" i="26"/>
  <c r="AA59" i="26" s="1"/>
  <c r="AC59" i="26" s="1"/>
  <c r="Z29" i="26"/>
  <c r="AA29" i="26" s="1"/>
  <c r="AC29" i="26" s="1"/>
  <c r="N57" i="26"/>
  <c r="O57" i="26" s="1"/>
  <c r="Q57" i="26" s="1"/>
  <c r="Z72" i="26"/>
  <c r="AA72" i="26" s="1"/>
  <c r="AC72" i="26" s="1"/>
  <c r="N46" i="26"/>
  <c r="O46" i="26" s="1"/>
  <c r="Q46" i="26" s="1"/>
  <c r="T27" i="26"/>
  <c r="U27" i="26" s="1"/>
  <c r="W27" i="26" s="1"/>
  <c r="T48" i="26"/>
  <c r="U48" i="26" s="1"/>
  <c r="W48" i="26" s="1"/>
  <c r="Z42" i="26"/>
  <c r="AA42" i="26" s="1"/>
  <c r="AC42" i="26" s="1"/>
  <c r="Z20" i="26"/>
  <c r="AA20" i="26" s="1"/>
  <c r="AC20" i="26" s="1"/>
  <c r="T22" i="26"/>
  <c r="U22" i="26" s="1"/>
  <c r="W22" i="26" s="1"/>
  <c r="G13" i="26"/>
  <c r="E13" i="26"/>
  <c r="T63" i="26"/>
  <c r="U63" i="26" s="1"/>
  <c r="W63" i="26" s="1"/>
  <c r="T17" i="26"/>
  <c r="U17" i="26" s="1"/>
  <c r="W17" i="26" s="1"/>
  <c r="Z67" i="26"/>
  <c r="AA67" i="26" s="1"/>
  <c r="AC67" i="26" s="1"/>
  <c r="N58" i="26"/>
  <c r="O58" i="26" s="1"/>
  <c r="Q58" i="26" s="1"/>
  <c r="T69" i="26"/>
  <c r="U69" i="26" s="1"/>
  <c r="W69" i="26" s="1"/>
  <c r="T28" i="26"/>
  <c r="U28" i="26" s="1"/>
  <c r="W28" i="26" s="1"/>
  <c r="Z21" i="26"/>
  <c r="AA21" i="26" s="1"/>
  <c r="AC21" i="26" s="1"/>
  <c r="N36" i="26"/>
  <c r="O36" i="26" s="1"/>
  <c r="Q36" i="26" s="1"/>
  <c r="Z15" i="26"/>
  <c r="AA15" i="26" s="1"/>
  <c r="AC15" i="26" s="1"/>
  <c r="T18" i="26"/>
  <c r="U18" i="26" s="1"/>
  <c r="W18" i="26" s="1"/>
  <c r="N61" i="26"/>
  <c r="O61" i="26" s="1"/>
  <c r="Q61" i="26" s="1"/>
  <c r="N68" i="26"/>
  <c r="O68" i="26" s="1"/>
  <c r="Q68" i="26" s="1"/>
  <c r="U49" i="26"/>
  <c r="W49" i="26" s="1"/>
  <c r="O14" i="26"/>
  <c r="Q14" i="26" s="1"/>
  <c r="N65" i="26"/>
  <c r="O65" i="26" s="1"/>
  <c r="Q65" i="26" s="1"/>
  <c r="N66" i="26"/>
  <c r="O66" i="26" s="1"/>
  <c r="Q66" i="26" s="1"/>
  <c r="N44" i="26"/>
  <c r="O44" i="26" s="1"/>
  <c r="Q44" i="26" s="1"/>
  <c r="T50" i="26"/>
  <c r="U50" i="26" s="1"/>
  <c r="W50" i="26" s="1"/>
  <c r="Z53" i="26"/>
  <c r="AA53" i="26" s="1"/>
  <c r="AC53" i="26" s="1"/>
  <c r="N50" i="26"/>
  <c r="O50" i="26" s="1"/>
  <c r="Q50" i="26" s="1"/>
  <c r="T60" i="26"/>
  <c r="U60" i="26" s="1"/>
  <c r="W60" i="26" s="1"/>
  <c r="N19" i="26"/>
  <c r="O19" i="26" s="1"/>
  <c r="Q19" i="26" s="1"/>
  <c r="Z47" i="26"/>
  <c r="AA47" i="26" s="1"/>
  <c r="AC47" i="26" s="1"/>
  <c r="N34" i="26"/>
  <c r="O34" i="26" s="1"/>
  <c r="Q34" i="26" s="1"/>
  <c r="T53" i="26"/>
  <c r="U53" i="26" s="1"/>
  <c r="W53" i="26" s="1"/>
  <c r="Z17" i="26"/>
  <c r="AA17" i="26" s="1"/>
  <c r="AC17" i="26" s="1"/>
  <c r="Z41" i="26"/>
  <c r="AA41" i="26" s="1"/>
  <c r="AC41" i="26" s="1"/>
  <c r="N22" i="26"/>
  <c r="O22" i="26" s="1"/>
  <c r="Q22" i="26" s="1"/>
  <c r="T68" i="26"/>
  <c r="U68" i="26" s="1"/>
  <c r="W68" i="26" s="1"/>
  <c r="T71" i="26"/>
  <c r="U71" i="26" s="1"/>
  <c r="W71" i="26" s="1"/>
  <c r="Z58" i="26"/>
  <c r="AA58" i="26" s="1"/>
  <c r="AC58" i="26" s="1"/>
  <c r="T70" i="26"/>
  <c r="U70" i="26" s="1"/>
  <c r="W70" i="26" s="1"/>
  <c r="Z69" i="26"/>
  <c r="AA69" i="26" s="1"/>
  <c r="AC69" i="26" s="1"/>
  <c r="N39" i="26"/>
  <c r="O39" i="26" s="1"/>
  <c r="Q39" i="26" s="1"/>
  <c r="T57" i="26"/>
  <c r="U57" i="26" s="1"/>
  <c r="W57" i="26" s="1"/>
  <c r="N17" i="26"/>
  <c r="O17" i="26" s="1"/>
  <c r="Q17" i="26" s="1"/>
  <c r="T16" i="26"/>
  <c r="U16" i="26" s="1"/>
  <c r="W16" i="26" s="1"/>
  <c r="Z71" i="26"/>
  <c r="AA71" i="26" s="1"/>
  <c r="AC71" i="26" s="1"/>
  <c r="T56" i="26"/>
  <c r="U56" i="26" s="1"/>
  <c r="W56" i="26" s="1"/>
  <c r="N25" i="26"/>
  <c r="O25" i="26" s="1"/>
  <c r="Q25" i="26" s="1"/>
  <c r="T58" i="26"/>
  <c r="U58" i="26" s="1"/>
  <c r="W58" i="26" s="1"/>
  <c r="N27" i="26"/>
  <c r="O27" i="26" s="1"/>
  <c r="Q27" i="26" s="1"/>
  <c r="T61" i="26"/>
  <c r="U61" i="26" s="1"/>
  <c r="W61" i="26" s="1"/>
  <c r="N30" i="26"/>
  <c r="O30" i="26" s="1"/>
  <c r="Q30" i="26" s="1"/>
  <c r="T42" i="26"/>
  <c r="U42" i="26" s="1"/>
  <c r="W42" i="26" s="1"/>
  <c r="T33" i="26"/>
  <c r="U33" i="26" s="1"/>
  <c r="W33" i="26" s="1"/>
  <c r="N47" i="26"/>
  <c r="O47" i="26" s="1"/>
  <c r="Q47" i="26" s="1"/>
  <c r="N16" i="26"/>
  <c r="O16" i="26" s="1"/>
  <c r="Q16" i="26" s="1"/>
  <c r="Z61" i="26"/>
  <c r="AA61" i="26" s="1"/>
  <c r="AC61" i="26" s="1"/>
  <c r="N69" i="26"/>
  <c r="O69" i="26" s="1"/>
  <c r="Q69" i="26" s="1"/>
  <c r="Z38" i="26"/>
  <c r="AA38" i="26" s="1"/>
  <c r="AC38" i="26" s="1"/>
  <c r="T38" i="26"/>
  <c r="U38" i="26" s="1"/>
  <c r="W38" i="26" s="1"/>
  <c r="Z55" i="26"/>
  <c r="AA55" i="26" s="1"/>
  <c r="AC55" i="26" s="1"/>
  <c r="Z25" i="26"/>
  <c r="AA25" i="26" s="1"/>
  <c r="AC25" i="26" s="1"/>
  <c r="Z49" i="26"/>
  <c r="AA49" i="26" s="1"/>
  <c r="AC49" i="26" s="1"/>
  <c r="T46" i="26"/>
  <c r="U46" i="26" s="1"/>
  <c r="W46" i="26" s="1"/>
  <c r="Z66" i="26"/>
  <c r="AA66" i="26" s="1"/>
  <c r="AC66" i="26" s="1"/>
  <c r="N42" i="26"/>
  <c r="O42" i="26" s="1"/>
  <c r="Q42" i="26" s="1"/>
  <c r="Z28" i="26"/>
  <c r="AA28" i="26" s="1"/>
  <c r="AC28" i="26" s="1"/>
  <c r="Z36" i="26"/>
  <c r="AA36" i="26" s="1"/>
  <c r="AC36" i="26" s="1"/>
  <c r="T31" i="26"/>
  <c r="U31" i="26" s="1"/>
  <c r="W31" i="26" s="1"/>
  <c r="T64" i="26"/>
  <c r="U64" i="26" s="1"/>
  <c r="W64" i="26" s="1"/>
  <c r="N33" i="26"/>
  <c r="O33" i="26" s="1"/>
  <c r="Q33" i="26" s="1"/>
  <c r="T66" i="26"/>
  <c r="U66" i="26" s="1"/>
  <c r="W66" i="26" s="1"/>
  <c r="N35" i="26"/>
  <c r="O35" i="26" s="1"/>
  <c r="Q35" i="26" s="1"/>
  <c r="T24" i="26"/>
  <c r="U24" i="26" s="1"/>
  <c r="W24" i="26" s="1"/>
  <c r="T41" i="26"/>
  <c r="U41" i="26" s="1"/>
  <c r="W41" i="26" s="1"/>
  <c r="N55" i="26"/>
  <c r="O55" i="26" s="1"/>
  <c r="Q55" i="26" s="1"/>
  <c r="N32" i="26"/>
  <c r="O32" i="26" s="1"/>
  <c r="Q32" i="26" s="1"/>
  <c r="Z14" i="26"/>
  <c r="AA14" i="26" s="1"/>
  <c r="AC14" i="26" s="1"/>
  <c r="Z46" i="26"/>
  <c r="AA46" i="26" s="1"/>
  <c r="AC46" i="26" s="1"/>
  <c r="T26" i="26"/>
  <c r="U26" i="26" s="1"/>
  <c r="W26" i="26" s="1"/>
  <c r="Z63" i="26"/>
  <c r="AA63" i="26" s="1"/>
  <c r="AC63" i="26" s="1"/>
  <c r="N74" i="26"/>
  <c r="O74" i="26" s="1"/>
  <c r="Q74" i="26" s="1"/>
  <c r="T67" i="26"/>
  <c r="U67" i="26" s="1"/>
  <c r="W67" i="26" s="1"/>
  <c r="Z57" i="26"/>
  <c r="AA57" i="26" s="1"/>
  <c r="AC57" i="26" s="1"/>
  <c r="N18" i="26"/>
  <c r="O18" i="26" s="1"/>
  <c r="Q18" i="26" s="1"/>
  <c r="Z19" i="26"/>
  <c r="AA19" i="26" s="1"/>
  <c r="AC19" i="26" s="1"/>
  <c r="T52" i="26"/>
  <c r="U52" i="26" s="1"/>
  <c r="W52" i="26" s="1"/>
  <c r="Z44" i="26"/>
  <c r="AA44" i="26" s="1"/>
  <c r="AC44" i="26" s="1"/>
  <c r="T20" i="26"/>
  <c r="U20" i="26" s="1"/>
  <c r="W20" i="26" s="1"/>
  <c r="N20" i="26"/>
  <c r="O20" i="26" s="1"/>
  <c r="Q20" i="26" s="1"/>
  <c r="T72" i="26"/>
  <c r="U72" i="26" s="1"/>
  <c r="W72" i="26" s="1"/>
  <c r="T74" i="26"/>
  <c r="U74" i="26" s="1"/>
  <c r="W74" i="26" s="1"/>
  <c r="N43" i="26"/>
  <c r="O43" i="26" s="1"/>
  <c r="Q43" i="26" s="1"/>
  <c r="T32" i="26"/>
  <c r="U32" i="26" s="1"/>
  <c r="W32" i="26" s="1"/>
  <c r="N24" i="26"/>
  <c r="O24" i="26" s="1"/>
  <c r="Q24" i="26" s="1"/>
  <c r="T15" i="26"/>
  <c r="U15" i="26" s="1"/>
  <c r="W15" i="26" s="1"/>
  <c r="N63" i="26"/>
  <c r="O63" i="26" s="1"/>
  <c r="Q63" i="26" s="1"/>
  <c r="N48" i="26"/>
  <c r="O48" i="26" s="1"/>
  <c r="Q48" i="26" s="1"/>
  <c r="Z22" i="26"/>
  <c r="AA22" i="26" s="1"/>
  <c r="AC22" i="26" s="1"/>
  <c r="AA74" i="26"/>
  <c r="AC74" i="26" s="1"/>
  <c r="Z54" i="26"/>
  <c r="AA54" i="26" s="1"/>
  <c r="AC54" i="26" s="1"/>
  <c r="N29" i="26"/>
  <c r="O29" i="26" s="1"/>
  <c r="Q29" i="26" s="1"/>
  <c r="Z73" i="26"/>
  <c r="AA73" i="26" s="1"/>
  <c r="AC73" i="26" s="1"/>
  <c r="T44" i="26"/>
  <c r="U44" i="26" s="1"/>
  <c r="W44" i="26" s="1"/>
  <c r="Z65" i="26"/>
  <c r="AA65" i="26" s="1"/>
  <c r="AC65" i="26" s="1"/>
  <c r="N37" i="26"/>
  <c r="O37" i="26" s="1"/>
  <c r="Q37" i="26" s="1"/>
  <c r="Z27" i="26"/>
  <c r="AA27" i="26" s="1"/>
  <c r="AC27" i="26" s="1"/>
  <c r="Z35" i="26"/>
  <c r="AA35" i="26" s="1"/>
  <c r="AC35" i="26" s="1"/>
  <c r="T30" i="26"/>
  <c r="U30" i="26" s="1"/>
  <c r="W30" i="26" s="1"/>
  <c r="Z52" i="26"/>
  <c r="AA52" i="26" s="1"/>
  <c r="AC52" i="26" s="1"/>
  <c r="N26" i="26"/>
  <c r="O26" i="26" s="1"/>
  <c r="Q26" i="26" s="1"/>
  <c r="N49" i="26"/>
  <c r="O49" i="26" s="1"/>
  <c r="Q49" i="26" s="1"/>
  <c r="T37" i="26"/>
  <c r="U37" i="26" s="1"/>
  <c r="W37" i="26" s="1"/>
  <c r="N51" i="26"/>
  <c r="O51" i="26" s="1"/>
  <c r="Q51" i="26" s="1"/>
  <c r="T40" i="26"/>
  <c r="U40" i="26" s="1"/>
  <c r="W40" i="26" s="1"/>
  <c r="N54" i="26"/>
  <c r="O54" i="26" s="1"/>
  <c r="Q54" i="26" s="1"/>
  <c r="N40" i="26"/>
  <c r="O40" i="26" s="1"/>
  <c r="Q40" i="26" s="1"/>
  <c r="T23" i="26"/>
  <c r="U23" i="26" s="1"/>
  <c r="W23" i="26" s="1"/>
  <c r="N64" i="26"/>
  <c r="O64" i="26" s="1"/>
  <c r="Q64" i="26" s="1"/>
  <c r="T59" i="26"/>
  <c r="U59" i="26" s="1"/>
  <c r="W59" i="26" s="1"/>
  <c r="Z62" i="26"/>
  <c r="AA62" i="26" s="1"/>
  <c r="AC62" i="26" s="1"/>
  <c r="T29" i="26"/>
  <c r="U29" i="26" s="1"/>
  <c r="W29" i="26" s="1"/>
  <c r="Z18" i="26"/>
  <c r="AA18" i="26" s="1"/>
  <c r="AC18" i="26" s="1"/>
  <c r="N60" i="26"/>
  <c r="O60" i="26" s="1"/>
  <c r="Q60" i="26" s="1"/>
  <c r="Z43" i="26"/>
  <c r="AA43" i="26" s="1"/>
  <c r="AC43" i="26" s="1"/>
  <c r="N45" i="26"/>
  <c r="O45" i="26" s="1"/>
  <c r="Q45" i="26" s="1"/>
  <c r="T45" i="26"/>
  <c r="U45" i="26" s="1"/>
  <c r="W45" i="26" s="1"/>
  <c r="N59" i="26"/>
  <c r="O59" i="26" s="1"/>
  <c r="Q59" i="26" s="1"/>
  <c r="T14" i="26"/>
  <c r="U14" i="26" s="1"/>
  <c r="W14" i="26" s="1"/>
  <c r="N62" i="26"/>
  <c r="O62" i="26" s="1"/>
  <c r="Q62" i="26" s="1"/>
  <c r="N56" i="26"/>
  <c r="O56" i="26" s="1"/>
  <c r="Q56" i="26" s="1"/>
  <c r="N15" i="26"/>
  <c r="O15" i="26" s="1"/>
  <c r="Q15" i="26" s="1"/>
  <c r="Z70" i="26"/>
  <c r="AA70" i="26" s="1"/>
  <c r="AC70" i="26" s="1"/>
  <c r="T36" i="26"/>
  <c r="U36" i="26" s="1"/>
  <c r="W36" i="26" s="1"/>
  <c r="N72" i="26"/>
  <c r="O72" i="26" s="1"/>
  <c r="Q72" i="26" s="1"/>
  <c r="T65" i="26"/>
  <c r="U65" i="26" s="1"/>
  <c r="W65" i="26" s="1"/>
  <c r="Z48" i="26"/>
  <c r="AA48" i="26" s="1"/>
  <c r="AC48" i="26" s="1"/>
  <c r="Z34" i="26"/>
  <c r="AA34" i="26" s="1"/>
  <c r="AC34" i="26" s="1"/>
  <c r="T51" i="26"/>
  <c r="U51" i="26" s="1"/>
  <c r="W51" i="26" s="1"/>
  <c r="N21" i="26"/>
  <c r="O21" i="26" s="1"/>
  <c r="Q21" i="26" s="1"/>
  <c r="Z68" i="26"/>
  <c r="AA68" i="26" s="1"/>
  <c r="AC68" i="26" s="1"/>
  <c r="N67" i="26"/>
  <c r="O67" i="26" s="1"/>
  <c r="Q67" i="26" s="1"/>
  <c r="N23" i="26"/>
  <c r="O23" i="26" s="1"/>
  <c r="Q23" i="26" s="1"/>
  <c r="T21" i="26"/>
  <c r="U21" i="26" s="1"/>
  <c r="W21" i="26" s="1"/>
  <c r="T39" i="26"/>
  <c r="U39" i="26" s="1"/>
  <c r="W39" i="26" s="1"/>
  <c r="T73" i="26"/>
  <c r="U73" i="26" s="1"/>
  <c r="W73" i="26" s="1"/>
  <c r="N31" i="26"/>
  <c r="O31" i="26" s="1"/>
  <c r="Q31" i="26" s="1"/>
  <c r="N28" i="26"/>
  <c r="O28" i="26" s="1"/>
  <c r="Q28" i="26" s="1"/>
  <c r="O38" i="26"/>
  <c r="Q38" i="26" s="1"/>
  <c r="O70" i="26"/>
  <c r="Q70" i="26" s="1"/>
  <c r="H55" i="26"/>
  <c r="I55" i="26" s="1"/>
  <c r="K55" i="26" s="1"/>
  <c r="H52" i="26"/>
  <c r="I52" i="26" s="1"/>
  <c r="K52" i="26" s="1"/>
  <c r="H30" i="26"/>
  <c r="I30" i="26" s="1"/>
  <c r="K30" i="26" s="1"/>
  <c r="H17" i="26"/>
  <c r="I17" i="26" s="1"/>
  <c r="K17" i="26" s="1"/>
  <c r="H14" i="26"/>
  <c r="I14" i="26" s="1"/>
  <c r="K14" i="26" s="1"/>
  <c r="H31" i="26"/>
  <c r="I31" i="26" s="1"/>
  <c r="K31" i="26" s="1"/>
  <c r="H42" i="26"/>
  <c r="I42" i="26" s="1"/>
  <c r="K42" i="26" s="1"/>
  <c r="H68" i="26"/>
  <c r="I68" i="26" s="1"/>
  <c r="K68" i="26" s="1"/>
  <c r="H41" i="26"/>
  <c r="I41" i="26" s="1"/>
  <c r="K41" i="26" s="1"/>
  <c r="H49" i="26"/>
  <c r="I49" i="26" s="1"/>
  <c r="K49" i="26" s="1"/>
  <c r="H36" i="26"/>
  <c r="I36" i="26" s="1"/>
  <c r="K36" i="26" s="1"/>
  <c r="H15" i="26"/>
  <c r="I15" i="26" s="1"/>
  <c r="K15" i="26" s="1"/>
  <c r="H18" i="26"/>
  <c r="I18" i="26" s="1"/>
  <c r="K18" i="26" s="1"/>
  <c r="H74" i="26"/>
  <c r="I74" i="26" s="1"/>
  <c r="K74" i="26" s="1"/>
  <c r="H44" i="26"/>
  <c r="I44" i="26" s="1"/>
  <c r="K44" i="26" s="1"/>
  <c r="H22" i="26"/>
  <c r="I22" i="26" s="1"/>
  <c r="K22" i="26" s="1"/>
  <c r="H47" i="26"/>
  <c r="I47" i="26" s="1"/>
  <c r="K47" i="26" s="1"/>
  <c r="H26" i="26"/>
  <c r="I26" i="26" s="1"/>
  <c r="K26" i="26" s="1"/>
  <c r="H63" i="26"/>
  <c r="I63" i="26" s="1"/>
  <c r="K63" i="26" s="1"/>
  <c r="H34" i="26"/>
  <c r="I34" i="26" s="1"/>
  <c r="K34" i="26" s="1"/>
  <c r="H62" i="26"/>
  <c r="I62" i="26" s="1"/>
  <c r="K62" i="26" s="1"/>
  <c r="H21" i="26"/>
  <c r="I21" i="26" s="1"/>
  <c r="K21" i="26" s="1"/>
  <c r="H54" i="26"/>
  <c r="I54" i="26" s="1"/>
  <c r="K54" i="26" s="1"/>
  <c r="H28" i="26"/>
  <c r="I28" i="26" s="1"/>
  <c r="K28" i="26" s="1"/>
  <c r="H37" i="26"/>
  <c r="I37" i="26" s="1"/>
  <c r="K37" i="26" s="1"/>
  <c r="H70" i="26"/>
  <c r="I70" i="26" s="1"/>
  <c r="K70" i="26" s="1"/>
  <c r="H23" i="26"/>
  <c r="I23" i="26" s="1"/>
  <c r="K23" i="26" s="1"/>
  <c r="H40" i="26"/>
  <c r="I40" i="26" s="1"/>
  <c r="K40" i="26" s="1"/>
  <c r="H53" i="26"/>
  <c r="I53" i="26" s="1"/>
  <c r="K53" i="26" s="1"/>
  <c r="H64" i="26"/>
  <c r="I64" i="26" s="1"/>
  <c r="K64" i="26" s="1"/>
  <c r="H60" i="26"/>
  <c r="I60" i="26" s="1"/>
  <c r="K60" i="26" s="1"/>
  <c r="H38" i="26"/>
  <c r="I38" i="26" s="1"/>
  <c r="K38" i="26" s="1"/>
  <c r="H71" i="26"/>
  <c r="I71" i="26" s="1"/>
  <c r="K71" i="26" s="1"/>
  <c r="H35" i="26"/>
  <c r="I35" i="26" s="1"/>
  <c r="K35" i="26" s="1"/>
  <c r="H72" i="26"/>
  <c r="I72" i="26" s="1"/>
  <c r="K72" i="26" s="1"/>
  <c r="H25" i="26"/>
  <c r="I25" i="26" s="1"/>
  <c r="K25" i="26" s="1"/>
  <c r="H33" i="26"/>
  <c r="I33" i="26" s="1"/>
  <c r="K33" i="26" s="1"/>
  <c r="H46" i="26"/>
  <c r="I46" i="26" s="1"/>
  <c r="K46" i="26" s="1"/>
  <c r="H27" i="26"/>
  <c r="I27" i="26" s="1"/>
  <c r="K27" i="26" s="1"/>
  <c r="H16" i="26"/>
  <c r="I16" i="26" s="1"/>
  <c r="K16" i="26" s="1"/>
  <c r="H57" i="26"/>
  <c r="I57" i="26" s="1"/>
  <c r="K57" i="26" s="1"/>
  <c r="H50" i="26"/>
  <c r="I50" i="26" s="1"/>
  <c r="K50" i="26" s="1"/>
  <c r="H67" i="26"/>
  <c r="I67" i="26" s="1"/>
  <c r="K67" i="26" s="1"/>
  <c r="H24" i="26"/>
  <c r="I24" i="26" s="1"/>
  <c r="K24" i="26" s="1"/>
  <c r="H73" i="26"/>
  <c r="I73" i="26" s="1"/>
  <c r="K73" i="26" s="1"/>
  <c r="H58" i="26"/>
  <c r="I58" i="26" s="1"/>
  <c r="K58" i="26" s="1"/>
  <c r="H20" i="26"/>
  <c r="I20" i="26" s="1"/>
  <c r="K20" i="26" s="1"/>
  <c r="H29" i="26"/>
  <c r="I29" i="26" s="1"/>
  <c r="K29" i="26" s="1"/>
  <c r="H69" i="26"/>
  <c r="I69" i="26" s="1"/>
  <c r="K69" i="26" s="1"/>
  <c r="H32" i="26"/>
  <c r="I32" i="26" s="1"/>
  <c r="K32" i="26" s="1"/>
  <c r="H65" i="26"/>
  <c r="I65" i="26" s="1"/>
  <c r="K65" i="26" s="1"/>
  <c r="H51" i="26"/>
  <c r="I51" i="26" s="1"/>
  <c r="K51" i="26" s="1"/>
  <c r="H66" i="26"/>
  <c r="I66" i="26" s="1"/>
  <c r="K66" i="26" s="1"/>
  <c r="H43" i="26"/>
  <c r="I43" i="26" s="1"/>
  <c r="K43" i="26" s="1"/>
  <c r="H19" i="26"/>
  <c r="I19" i="26" s="1"/>
  <c r="K19" i="26" s="1"/>
  <c r="H48" i="26"/>
  <c r="I48" i="26" s="1"/>
  <c r="K48" i="26" s="1"/>
  <c r="H45" i="26"/>
  <c r="I45" i="26" s="1"/>
  <c r="K45" i="26" s="1"/>
  <c r="H59" i="26"/>
  <c r="I59" i="26" s="1"/>
  <c r="K59" i="26" s="1"/>
  <c r="H39" i="26"/>
  <c r="I39" i="26" s="1"/>
  <c r="K39" i="26" s="1"/>
  <c r="H56" i="26"/>
  <c r="I56" i="26" s="1"/>
  <c r="K56" i="26" s="1"/>
  <c r="H61" i="26"/>
  <c r="I61" i="26" s="1"/>
  <c r="K61" i="26" s="1"/>
  <c r="N13" i="26" l="1"/>
  <c r="O13" i="26" s="1"/>
  <c r="Q13" i="26" s="1"/>
  <c r="H13" i="26"/>
  <c r="I13" i="26" s="1"/>
  <c r="K13" i="26" s="1"/>
  <c r="T13" i="26"/>
  <c r="U13" i="26" s="1"/>
  <c r="W13" i="26" s="1"/>
  <c r="Z13" i="26"/>
  <c r="AA13" i="26" s="1"/>
  <c r="AC13" i="26" s="1"/>
  <c r="AE52" i="26"/>
  <c r="AD52" i="26"/>
  <c r="AE19" i="26"/>
  <c r="AD19" i="26"/>
  <c r="AE54" i="26"/>
  <c r="AD54" i="26"/>
  <c r="AE42" i="26"/>
  <c r="AD42" i="26"/>
  <c r="AE43" i="26"/>
  <c r="AD43" i="26"/>
  <c r="AE58" i="26"/>
  <c r="AD58" i="26"/>
  <c r="AE46" i="26"/>
  <c r="AD46" i="26"/>
  <c r="AE64" i="26"/>
  <c r="AD64" i="26"/>
  <c r="AE21" i="26"/>
  <c r="AD21" i="26"/>
  <c r="AE74" i="26"/>
  <c r="AD74" i="26"/>
  <c r="AE48" i="26"/>
  <c r="AD48" i="26"/>
  <c r="AE61" i="26"/>
  <c r="AD61" i="26"/>
  <c r="AE66" i="26"/>
  <c r="AD66" i="26"/>
  <c r="AE73" i="26"/>
  <c r="AD73" i="26"/>
  <c r="AE33" i="26"/>
  <c r="AD33" i="26"/>
  <c r="AE53" i="26"/>
  <c r="AD53" i="26"/>
  <c r="AE62" i="26"/>
  <c r="AD62" i="26"/>
  <c r="AE18" i="26"/>
  <c r="AD18" i="26"/>
  <c r="AE31" i="26"/>
  <c r="AD31" i="26"/>
  <c r="AE27" i="26"/>
  <c r="AD27" i="26"/>
  <c r="AE51" i="26"/>
  <c r="AD51" i="26"/>
  <c r="AE24" i="26"/>
  <c r="AD24" i="26"/>
  <c r="AE25" i="26"/>
  <c r="AD25" i="26"/>
  <c r="AE40" i="26"/>
  <c r="AD40" i="26"/>
  <c r="AE34" i="26"/>
  <c r="AD34" i="26"/>
  <c r="AE15" i="26"/>
  <c r="AD15" i="26"/>
  <c r="AE14" i="26"/>
  <c r="AD14" i="26"/>
  <c r="AE20" i="26"/>
  <c r="AD20" i="26"/>
  <c r="AE56" i="26"/>
  <c r="AD56" i="26"/>
  <c r="AE72" i="26"/>
  <c r="AD72" i="26"/>
  <c r="AE23" i="26"/>
  <c r="AD23" i="26"/>
  <c r="AE63" i="26"/>
  <c r="AD63" i="26"/>
  <c r="AE36" i="26"/>
  <c r="AD36" i="26"/>
  <c r="AE17" i="26"/>
  <c r="AD17" i="26"/>
  <c r="AE60" i="26"/>
  <c r="AD60" i="26"/>
  <c r="AE39" i="26"/>
  <c r="AD39" i="26"/>
  <c r="AE65" i="26"/>
  <c r="AD65" i="26"/>
  <c r="AE67" i="26"/>
  <c r="AD67" i="26"/>
  <c r="AE59" i="26"/>
  <c r="AD59" i="26"/>
  <c r="AE32" i="26"/>
  <c r="AD32" i="26"/>
  <c r="AE50" i="26"/>
  <c r="AD50" i="26"/>
  <c r="AE35" i="26"/>
  <c r="AD35" i="26"/>
  <c r="AE70" i="26"/>
  <c r="AD70" i="26"/>
  <c r="AE26" i="26"/>
  <c r="AD26" i="26"/>
  <c r="AE49" i="26"/>
  <c r="AD49" i="26"/>
  <c r="AE30" i="26"/>
  <c r="AD30" i="26"/>
  <c r="AE44" i="26"/>
  <c r="AD44" i="26"/>
  <c r="AE45" i="26"/>
  <c r="AD45" i="26"/>
  <c r="AE69" i="26"/>
  <c r="AD69" i="26"/>
  <c r="AE57" i="26"/>
  <c r="AD57" i="26"/>
  <c r="AE71" i="26"/>
  <c r="AD71" i="26"/>
  <c r="AE37" i="26"/>
  <c r="AD37" i="26"/>
  <c r="AE47" i="26"/>
  <c r="AD47" i="26"/>
  <c r="AE41" i="26"/>
  <c r="AD41" i="26"/>
  <c r="AE29" i="26"/>
  <c r="AD29" i="26"/>
  <c r="AE16" i="26"/>
  <c r="AD16" i="26"/>
  <c r="AE38" i="26"/>
  <c r="AD38" i="26"/>
  <c r="AE28" i="26"/>
  <c r="AD28" i="26"/>
  <c r="AE22" i="26"/>
  <c r="AD22" i="26"/>
  <c r="AE68" i="26"/>
  <c r="AD68" i="26"/>
  <c r="AE55" i="26"/>
  <c r="AD55" i="26"/>
  <c r="AE13" i="26" l="1"/>
  <c r="R14" i="31" s="1" a="1"/>
  <c r="AD13" i="26"/>
  <c r="N14" i="31" s="1" a="1"/>
  <c r="AV25" i="31" l="1"/>
  <c r="AV27" i="31"/>
  <c r="AZ27" i="31"/>
  <c r="AZ25" i="31"/>
  <c r="N14" i="31"/>
  <c r="AV36" i="31"/>
  <c r="O42" i="7" s="1"/>
  <c r="AV39" i="31"/>
  <c r="O36" i="7" s="1"/>
  <c r="AV33" i="31"/>
  <c r="O206" i="7" s="1"/>
  <c r="AV40" i="31"/>
  <c r="O53" i="7" s="1"/>
  <c r="AV43" i="31"/>
  <c r="O34" i="7" s="1"/>
  <c r="AV37" i="31"/>
  <c r="O217" i="7" s="1"/>
  <c r="AV41" i="31"/>
  <c r="O71" i="7" s="1"/>
  <c r="AV34" i="31"/>
  <c r="O168" i="7" s="1"/>
  <c r="AV45" i="31"/>
  <c r="O139" i="7" s="1"/>
  <c r="AV44" i="31"/>
  <c r="O28" i="7" s="1"/>
  <c r="AV32" i="31"/>
  <c r="O23" i="7" s="1"/>
  <c r="AV35" i="31"/>
  <c r="O75" i="7" s="1"/>
  <c r="AV42" i="31"/>
  <c r="O108" i="7" s="1"/>
  <c r="AZ36" i="31"/>
  <c r="S42" i="7" s="1"/>
  <c r="AZ33" i="31"/>
  <c r="S133" i="7" s="1"/>
  <c r="AZ42" i="31"/>
  <c r="S108" i="7" s="1"/>
  <c r="AZ35" i="31"/>
  <c r="S128" i="7" s="1"/>
  <c r="AZ45" i="31"/>
  <c r="S190" i="7" s="1"/>
  <c r="AZ32" i="31"/>
  <c r="S154" i="7" s="1"/>
  <c r="AZ44" i="31"/>
  <c r="S102" i="7" s="1"/>
  <c r="AZ39" i="31"/>
  <c r="S36" i="7" s="1"/>
  <c r="AZ43" i="31"/>
  <c r="S34" i="7" s="1"/>
  <c r="AZ40" i="31"/>
  <c r="S221" i="7" s="1"/>
  <c r="AZ34" i="31"/>
  <c r="S168" i="7" s="1"/>
  <c r="AZ41" i="31"/>
  <c r="S71" i="7" s="1"/>
  <c r="AZ37" i="31"/>
  <c r="S217" i="7" s="1"/>
  <c r="R14" i="31"/>
  <c r="AZ18" i="31"/>
  <c r="AZ20" i="31"/>
  <c r="AZ15" i="31"/>
  <c r="AZ17" i="31"/>
  <c r="AZ19" i="31"/>
  <c r="AZ16" i="31"/>
  <c r="AV17" i="31"/>
  <c r="AV19" i="31"/>
  <c r="AV16" i="31"/>
  <c r="AV18" i="31"/>
  <c r="AV20" i="31"/>
  <c r="AV15" i="31"/>
  <c r="AV54" i="31" l="1"/>
  <c r="O116" i="7" s="1"/>
  <c r="S169" i="7"/>
  <c r="S206" i="7"/>
  <c r="S219" i="7"/>
  <c r="S81" i="7"/>
  <c r="S170" i="7"/>
  <c r="S65" i="7"/>
  <c r="S54" i="7"/>
  <c r="S192" i="7"/>
  <c r="S103" i="7"/>
  <c r="S174" i="7"/>
  <c r="S173" i="7"/>
  <c r="S117" i="7"/>
  <c r="S100" i="7"/>
  <c r="O174" i="7"/>
  <c r="O193" i="7"/>
  <c r="O190" i="7"/>
  <c r="O103" i="7"/>
  <c r="O66" i="7"/>
  <c r="S89" i="7"/>
  <c r="S112" i="7"/>
  <c r="S200" i="7"/>
  <c r="S193" i="7"/>
  <c r="S80" i="7"/>
  <c r="S53" i="7"/>
  <c r="S109" i="7"/>
  <c r="S139" i="7"/>
  <c r="O186" i="7"/>
  <c r="O219" i="7"/>
  <c r="O221" i="7"/>
  <c r="O109" i="7"/>
  <c r="O112" i="7"/>
  <c r="S48" i="7"/>
  <c r="S187" i="7"/>
  <c r="S152" i="7"/>
  <c r="S186" i="7"/>
  <c r="S24" i="7"/>
  <c r="S28" i="7"/>
  <c r="O31" i="7"/>
  <c r="O220" i="7"/>
  <c r="O164" i="7"/>
  <c r="O54" i="7"/>
  <c r="O89" i="7"/>
  <c r="O106" i="7"/>
  <c r="S164" i="7"/>
  <c r="S23" i="7"/>
  <c r="S106" i="7"/>
  <c r="S122" i="7"/>
  <c r="S86" i="7"/>
  <c r="S160" i="7"/>
  <c r="S111" i="7"/>
  <c r="O173" i="7"/>
  <c r="O133" i="7"/>
  <c r="O187" i="7"/>
  <c r="O117" i="7"/>
  <c r="O24" i="7"/>
  <c r="S31" i="7"/>
  <c r="O170" i="7"/>
  <c r="O225" i="7"/>
  <c r="O102" i="7"/>
  <c r="O48" i="7"/>
  <c r="O80" i="7"/>
  <c r="O154" i="7"/>
  <c r="S66" i="7"/>
  <c r="S75" i="7"/>
  <c r="O192" i="7"/>
  <c r="O81" i="7"/>
  <c r="O65" i="7"/>
  <c r="S225" i="7"/>
  <c r="O169" i="7"/>
  <c r="O160" i="7"/>
  <c r="O152" i="7"/>
  <c r="O122" i="7"/>
  <c r="O100" i="7"/>
  <c r="O86" i="7"/>
  <c r="S220" i="7"/>
  <c r="O200" i="7"/>
  <c r="O111" i="7"/>
  <c r="O128" i="7"/>
  <c r="AZ54" i="31"/>
  <c r="S116" i="7" s="1"/>
  <c r="AZ50" i="31"/>
  <c r="S13" i="7" s="1"/>
  <c r="AZ57" i="31"/>
  <c r="AV52" i="31"/>
  <c r="AV56" i="31"/>
  <c r="AV51" i="31"/>
  <c r="AZ51" i="31"/>
  <c r="AZ52" i="31"/>
  <c r="AZ56" i="31"/>
  <c r="AV57" i="31"/>
  <c r="AV50" i="31"/>
  <c r="O13" i="7" s="1"/>
  <c r="S19" i="7"/>
  <c r="S226" i="7"/>
  <c r="S185" i="7"/>
  <c r="S22" i="7"/>
  <c r="S49" i="7"/>
  <c r="S210" i="7"/>
  <c r="S214" i="7"/>
  <c r="S63" i="7"/>
  <c r="S196" i="7"/>
  <c r="S40" i="7"/>
  <c r="S29" i="7"/>
  <c r="S194" i="7"/>
  <c r="S26" i="7"/>
  <c r="S96" i="7"/>
  <c r="S171" i="7"/>
  <c r="S215" i="7"/>
  <c r="S137" i="7"/>
  <c r="S163" i="7"/>
  <c r="S79" i="7"/>
  <c r="S209" i="7"/>
  <c r="O207" i="7"/>
  <c r="O121" i="7"/>
  <c r="O223" i="7"/>
  <c r="O144" i="7"/>
  <c r="O188" i="7"/>
  <c r="O148" i="7"/>
  <c r="O115" i="7"/>
  <c r="O176" i="7"/>
  <c r="O165" i="7"/>
  <c r="O141" i="7"/>
  <c r="O46" i="7"/>
  <c r="AV26" i="31"/>
  <c r="AV53" i="31" s="1"/>
  <c r="O149" i="7"/>
  <c r="O83" i="7"/>
  <c r="O38" i="7"/>
  <c r="O73" i="7"/>
  <c r="S142" i="7"/>
  <c r="S85" i="7"/>
  <c r="S30" i="7"/>
  <c r="S21" i="7"/>
  <c r="S118" i="7"/>
  <c r="S213" i="7"/>
  <c r="S158" i="7"/>
  <c r="S37" i="7"/>
  <c r="S14" i="7"/>
  <c r="S113" i="7"/>
  <c r="S212" i="7"/>
  <c r="S181" i="7"/>
  <c r="S25" i="7"/>
  <c r="S145" i="7"/>
  <c r="O15" i="7"/>
  <c r="O146" i="7"/>
  <c r="O104" i="7"/>
  <c r="O67" i="7"/>
  <c r="O123" i="7"/>
  <c r="O211" i="7"/>
  <c r="S223" i="7"/>
  <c r="S141" i="7"/>
  <c r="S121" i="7"/>
  <c r="S46" i="7"/>
  <c r="S176" i="7"/>
  <c r="S148" i="7"/>
  <c r="S144" i="7"/>
  <c r="S115" i="7"/>
  <c r="S188" i="7"/>
  <c r="S165" i="7"/>
  <c r="S207" i="7"/>
  <c r="S97" i="7"/>
  <c r="S98" i="7"/>
  <c r="S155" i="7"/>
  <c r="O120" i="7"/>
  <c r="O222" i="7"/>
  <c r="O204" i="7"/>
  <c r="S35" i="7"/>
  <c r="S162" i="7"/>
  <c r="S151" i="7"/>
  <c r="O27" i="7"/>
  <c r="O136" i="7"/>
  <c r="O218" i="7"/>
  <c r="O172" i="7"/>
  <c r="O119" i="7"/>
  <c r="O161" i="7"/>
  <c r="O179" i="7"/>
  <c r="AZ26" i="31"/>
  <c r="AZ55" i="31" s="1"/>
  <c r="S16" i="7"/>
  <c r="S82" i="7"/>
  <c r="S153" i="7"/>
  <c r="S130" i="7"/>
  <c r="S92" i="7"/>
  <c r="S41" i="7"/>
  <c r="S184" i="7"/>
  <c r="S159" i="7"/>
  <c r="S203" i="7"/>
  <c r="S150" i="7"/>
  <c r="S99" i="7"/>
  <c r="O129" i="7"/>
  <c r="O52" i="7"/>
  <c r="O90" i="7"/>
  <c r="O177" i="7"/>
  <c r="O17" i="7"/>
  <c r="O201" i="7"/>
  <c r="O88" i="7"/>
  <c r="O64" i="7"/>
  <c r="O127" i="7"/>
  <c r="O78" i="7"/>
  <c r="O61" i="7"/>
  <c r="O107" i="7"/>
  <c r="O143" i="7"/>
  <c r="O101" i="7"/>
  <c r="O96" i="7"/>
  <c r="O63" i="7"/>
  <c r="O185" i="7"/>
  <c r="O194" i="7"/>
  <c r="O19" i="7"/>
  <c r="O49" i="7"/>
  <c r="O214" i="7"/>
  <c r="O196" i="7"/>
  <c r="O40" i="7"/>
  <c r="O226" i="7"/>
  <c r="O210" i="7"/>
  <c r="O26" i="7"/>
  <c r="O171" i="7"/>
  <c r="O22" i="7"/>
  <c r="O29" i="7"/>
  <c r="O213" i="7"/>
  <c r="O212" i="7"/>
  <c r="O30" i="7"/>
  <c r="O158" i="7"/>
  <c r="O181" i="7"/>
  <c r="O118" i="7"/>
  <c r="O142" i="7"/>
  <c r="O85" i="7"/>
  <c r="O113" i="7"/>
  <c r="O25" i="7"/>
  <c r="O21" i="7"/>
  <c r="O14" i="7"/>
  <c r="O145" i="7"/>
  <c r="O37" i="7"/>
  <c r="S222" i="7"/>
  <c r="S120" i="7"/>
  <c r="S204" i="7"/>
  <c r="S149" i="7"/>
  <c r="S83" i="7"/>
  <c r="S38" i="7"/>
  <c r="S73" i="7"/>
  <c r="O184" i="7"/>
  <c r="O92" i="7"/>
  <c r="O130" i="7"/>
  <c r="O150" i="7"/>
  <c r="O82" i="7"/>
  <c r="O203" i="7"/>
  <c r="O159" i="7"/>
  <c r="O16" i="7"/>
  <c r="O41" i="7"/>
  <c r="O99" i="7"/>
  <c r="O153" i="7"/>
  <c r="O137" i="7"/>
  <c r="O209" i="7"/>
  <c r="O163" i="7"/>
  <c r="O79" i="7"/>
  <c r="O215" i="7"/>
  <c r="S179" i="7"/>
  <c r="S27" i="7"/>
  <c r="S119" i="7"/>
  <c r="S172" i="7"/>
  <c r="S218" i="7"/>
  <c r="S136" i="7"/>
  <c r="S161" i="7"/>
  <c r="S15" i="7"/>
  <c r="S146" i="7"/>
  <c r="S211" i="7"/>
  <c r="S104" i="7"/>
  <c r="S123" i="7"/>
  <c r="S67" i="7"/>
  <c r="S17" i="7"/>
  <c r="S90" i="7"/>
  <c r="S107" i="7"/>
  <c r="S143" i="7"/>
  <c r="S201" i="7"/>
  <c r="S61" i="7"/>
  <c r="S129" i="7"/>
  <c r="S78" i="7"/>
  <c r="S177" i="7"/>
  <c r="S101" i="7"/>
  <c r="S127" i="7"/>
  <c r="S88" i="7"/>
  <c r="S64" i="7"/>
  <c r="S52" i="7"/>
  <c r="O35" i="7"/>
  <c r="O151" i="7"/>
  <c r="O162" i="7"/>
  <c r="O97" i="7"/>
  <c r="O98" i="7"/>
  <c r="O155" i="7"/>
  <c r="AV14" i="31"/>
  <c r="AZ38" i="31"/>
  <c r="AV38" i="31"/>
  <c r="AZ14" i="31"/>
  <c r="O110" i="7" l="1"/>
  <c r="O69" i="7"/>
  <c r="O93" i="7"/>
  <c r="O59" i="7"/>
  <c r="O70" i="7"/>
  <c r="O55" i="7"/>
  <c r="O224" i="7"/>
  <c r="O39" i="7"/>
  <c r="O140" i="7"/>
  <c r="O167" i="7"/>
  <c r="O20" i="7"/>
  <c r="S55" i="7"/>
  <c r="S59" i="7"/>
  <c r="S140" i="7"/>
  <c r="S69" i="7"/>
  <c r="S70" i="7"/>
  <c r="S110" i="7"/>
  <c r="S39" i="7"/>
  <c r="S93" i="7"/>
  <c r="S224" i="7"/>
  <c r="S167" i="7"/>
  <c r="S20" i="7"/>
  <c r="AV55" i="31"/>
  <c r="AZ53" i="31"/>
  <c r="S125" i="7"/>
  <c r="S131" i="7"/>
  <c r="S74" i="7"/>
  <c r="S135" i="7"/>
  <c r="S156" i="7"/>
  <c r="S191" i="7"/>
  <c r="S175" i="7"/>
  <c r="S147" i="7"/>
  <c r="S183" i="7"/>
  <c r="S216" i="7"/>
  <c r="S208" i="7"/>
  <c r="S95" i="7"/>
  <c r="S77" i="7"/>
  <c r="S189" i="7"/>
  <c r="S84" i="7"/>
  <c r="S44" i="7"/>
  <c r="S57" i="7"/>
  <c r="S43" i="7"/>
  <c r="S132" i="7"/>
  <c r="S51" i="7"/>
  <c r="S198" i="7"/>
  <c r="S50" i="7"/>
  <c r="O62" i="7"/>
  <c r="O199" i="7"/>
  <c r="O72" i="7"/>
  <c r="O197" i="7"/>
  <c r="O195" i="7"/>
  <c r="O32" i="7"/>
  <c r="O166" i="7"/>
  <c r="O68" i="7"/>
  <c r="O91" i="7"/>
  <c r="O175" i="7"/>
  <c r="O57" i="7"/>
  <c r="O156" i="7"/>
  <c r="O147" i="7"/>
  <c r="O95" i="7"/>
  <c r="O84" i="7"/>
  <c r="O183" i="7"/>
  <c r="O189" i="7"/>
  <c r="O50" i="7"/>
  <c r="O191" i="7"/>
  <c r="O208" i="7"/>
  <c r="O51" i="7"/>
  <c r="O125" i="7"/>
  <c r="O135" i="7"/>
  <c r="O74" i="7"/>
  <c r="O198" i="7"/>
  <c r="O77" i="7"/>
  <c r="O131" i="7"/>
  <c r="O216" i="7"/>
  <c r="O132" i="7"/>
  <c r="O43" i="7"/>
  <c r="O44" i="7"/>
  <c r="S62" i="7"/>
  <c r="S199" i="7"/>
  <c r="S91" i="7"/>
  <c r="S68" i="7"/>
  <c r="S32" i="7"/>
  <c r="S197" i="7"/>
  <c r="S72" i="7"/>
  <c r="S166" i="7"/>
  <c r="S195" i="7"/>
  <c r="S202" i="7"/>
  <c r="S228" i="7"/>
  <c r="O202" i="7"/>
  <c r="O228" i="7"/>
  <c r="I3" i="29" l="1"/>
  <c r="F3" i="29"/>
  <c r="D13" i="29" a="1"/>
  <c r="D13" i="29" s="1"/>
  <c r="C13" i="29" a="1"/>
  <c r="I3" i="28"/>
  <c r="D13" i="28" a="1"/>
  <c r="D13" i="28" s="1"/>
  <c r="C13" i="28" a="1"/>
  <c r="D13" i="27" a="1"/>
  <c r="D13" i="27" s="1"/>
  <c r="C13" i="27" a="1"/>
  <c r="S5" i="21"/>
  <c r="S3" i="21"/>
  <c r="Z5" i="21"/>
  <c r="Z4" i="21"/>
  <c r="D13" i="25"/>
  <c r="D14" i="25" s="1"/>
  <c r="D15" i="25" s="1"/>
  <c r="D16" i="25" l="1"/>
  <c r="D17" i="25" s="1"/>
  <c r="D18" i="25" s="1"/>
  <c r="D19" i="25" s="1"/>
  <c r="D20" i="25" s="1"/>
  <c r="D21" i="25" s="1"/>
  <c r="D22" i="25" s="1"/>
  <c r="D23" i="25" s="1"/>
  <c r="D24" i="25" s="1"/>
  <c r="D25" i="25" s="1"/>
  <c r="D26" i="25" s="1"/>
  <c r="D27" i="25" s="1"/>
  <c r="D28" i="25" s="1"/>
  <c r="D29" i="25" s="1"/>
  <c r="D30" i="25" s="1"/>
  <c r="AZ51" i="28"/>
  <c r="AX68" i="28"/>
  <c r="AZ39" i="28"/>
  <c r="BE30" i="29"/>
  <c r="BB19" i="29"/>
  <c r="AX54" i="29"/>
  <c r="BB59" i="29"/>
  <c r="BD47" i="29"/>
  <c r="AW72" i="29"/>
  <c r="AX42" i="29"/>
  <c r="BA34" i="29"/>
  <c r="E14" i="28"/>
  <c r="BA14" i="28" s="1"/>
  <c r="E22" i="28"/>
  <c r="E30" i="28"/>
  <c r="E38" i="28"/>
  <c r="BA38" i="28" s="1"/>
  <c r="E46" i="28"/>
  <c r="E54" i="28"/>
  <c r="E62" i="28"/>
  <c r="E70" i="28"/>
  <c r="E34" i="28"/>
  <c r="BD34" i="28" s="1"/>
  <c r="E35" i="28"/>
  <c r="E59" i="28"/>
  <c r="E28" i="28"/>
  <c r="BA28" i="28" s="1"/>
  <c r="E29" i="28"/>
  <c r="AZ29" i="28" s="1"/>
  <c r="E15" i="28"/>
  <c r="E23" i="28"/>
  <c r="E31" i="28"/>
  <c r="E39" i="28"/>
  <c r="E47" i="28"/>
  <c r="E55" i="28"/>
  <c r="E63" i="28"/>
  <c r="E71" i="28"/>
  <c r="BF71" i="28" s="1"/>
  <c r="E42" i="28"/>
  <c r="E58" i="28"/>
  <c r="E74" i="28"/>
  <c r="E43" i="28"/>
  <c r="H43" i="28" s="1"/>
  <c r="E51" i="28"/>
  <c r="E67" i="28"/>
  <c r="AW67" i="28" s="1"/>
  <c r="E44" i="28"/>
  <c r="BB44" i="28" s="1"/>
  <c r="E68" i="28"/>
  <c r="E45" i="28"/>
  <c r="E61" i="28"/>
  <c r="E16" i="28"/>
  <c r="E24" i="28"/>
  <c r="BF24" i="28" s="1"/>
  <c r="E32" i="28"/>
  <c r="E40" i="28"/>
  <c r="E48" i="28"/>
  <c r="E56" i="28"/>
  <c r="BA56" i="28" s="1"/>
  <c r="E64" i="28"/>
  <c r="E72" i="28"/>
  <c r="E26" i="28"/>
  <c r="E19" i="28"/>
  <c r="E20" i="28"/>
  <c r="BC20" i="28" s="1"/>
  <c r="E60" i="28"/>
  <c r="E37" i="28"/>
  <c r="BE37" i="28" s="1"/>
  <c r="E69" i="28"/>
  <c r="AW69" i="28" s="1"/>
  <c r="E17" i="28"/>
  <c r="E25" i="28"/>
  <c r="E33" i="28"/>
  <c r="E41" i="28"/>
  <c r="E49" i="28"/>
  <c r="E57" i="28"/>
  <c r="E65" i="28"/>
  <c r="E73" i="28"/>
  <c r="E18" i="28"/>
  <c r="E50" i="28"/>
  <c r="E66" i="28"/>
  <c r="E27" i="28"/>
  <c r="E36" i="28"/>
  <c r="E52" i="28"/>
  <c r="E21" i="28"/>
  <c r="E53" i="28"/>
  <c r="AX53" i="28" s="1"/>
  <c r="C13" i="29"/>
  <c r="E18" i="29"/>
  <c r="BA18" i="29" s="1"/>
  <c r="E26" i="29"/>
  <c r="BB26" i="29" s="1"/>
  <c r="E34" i="29"/>
  <c r="AW34" i="29" s="1"/>
  <c r="E42" i="29"/>
  <c r="AN42" i="29" s="1"/>
  <c r="E50" i="29"/>
  <c r="AW50" i="29" s="1"/>
  <c r="E58" i="29"/>
  <c r="BC58" i="29" s="1"/>
  <c r="E66" i="29"/>
  <c r="AZ66" i="29" s="1"/>
  <c r="E74" i="29"/>
  <c r="BE74" i="29" s="1"/>
  <c r="E48" i="29"/>
  <c r="AY48" i="29" s="1"/>
  <c r="E19" i="29"/>
  <c r="BD19" i="29" s="1"/>
  <c r="E27" i="29"/>
  <c r="AY27" i="29" s="1"/>
  <c r="E35" i="29"/>
  <c r="AZ35" i="29" s="1"/>
  <c r="E43" i="29"/>
  <c r="BE43" i="29" s="1"/>
  <c r="E51" i="29"/>
  <c r="AX51" i="29" s="1"/>
  <c r="E59" i="29"/>
  <c r="BD59" i="29" s="1"/>
  <c r="E67" i="29"/>
  <c r="E56" i="29"/>
  <c r="BB56" i="29" s="1"/>
  <c r="E72" i="29"/>
  <c r="BF72" i="29" s="1"/>
  <c r="E20" i="29"/>
  <c r="E28" i="29"/>
  <c r="BC28" i="29" s="1"/>
  <c r="E36" i="29"/>
  <c r="E44" i="29"/>
  <c r="AW44" i="29" s="1"/>
  <c r="E52" i="29"/>
  <c r="BF52" i="29" s="1"/>
  <c r="E60" i="29"/>
  <c r="BD60" i="29" s="1"/>
  <c r="E68" i="29"/>
  <c r="AW68" i="29" s="1"/>
  <c r="E24" i="29"/>
  <c r="AX24" i="29" s="1"/>
  <c r="E40" i="29"/>
  <c r="AW40" i="29" s="1"/>
  <c r="E64" i="29"/>
  <c r="AZ64" i="29" s="1"/>
  <c r="E21" i="29"/>
  <c r="E29" i="29"/>
  <c r="BD29" i="29" s="1"/>
  <c r="E37" i="29"/>
  <c r="AZ37" i="29" s="1"/>
  <c r="E45" i="29"/>
  <c r="E53" i="29"/>
  <c r="BE53" i="29" s="1"/>
  <c r="E61" i="29"/>
  <c r="BA61" i="29" s="1"/>
  <c r="E69" i="29"/>
  <c r="AY69" i="29" s="1"/>
  <c r="E16" i="29"/>
  <c r="BF16" i="29" s="1"/>
  <c r="E14" i="29"/>
  <c r="BB14" i="29" s="1"/>
  <c r="E22" i="29"/>
  <c r="BD22" i="29" s="1"/>
  <c r="E30" i="29"/>
  <c r="E38" i="29"/>
  <c r="AZ38" i="29" s="1"/>
  <c r="E46" i="29"/>
  <c r="BA46" i="29" s="1"/>
  <c r="E54" i="29"/>
  <c r="AZ54" i="29" s="1"/>
  <c r="E62" i="29"/>
  <c r="AZ62" i="29" s="1"/>
  <c r="E70" i="29"/>
  <c r="BC70" i="29" s="1"/>
  <c r="E15" i="29"/>
  <c r="AY15" i="29" s="1"/>
  <c r="E23" i="29"/>
  <c r="E31" i="29"/>
  <c r="BC31" i="29" s="1"/>
  <c r="E39" i="29"/>
  <c r="BA39" i="29" s="1"/>
  <c r="E47" i="29"/>
  <c r="BA47" i="29" s="1"/>
  <c r="E55" i="29"/>
  <c r="BF55" i="29" s="1"/>
  <c r="E63" i="29"/>
  <c r="BF63" i="29" s="1"/>
  <c r="E71" i="29"/>
  <c r="AZ71" i="29" s="1"/>
  <c r="E32" i="29"/>
  <c r="BC32" i="29" s="1"/>
  <c r="E17" i="29"/>
  <c r="AY17" i="29" s="1"/>
  <c r="E25" i="29"/>
  <c r="BF25" i="29" s="1"/>
  <c r="E33" i="29"/>
  <c r="E41" i="29"/>
  <c r="E49" i="29"/>
  <c r="BE49" i="29" s="1"/>
  <c r="E57" i="29"/>
  <c r="BB57" i="29" s="1"/>
  <c r="E65" i="29"/>
  <c r="BB65" i="29" s="1"/>
  <c r="E73" i="29"/>
  <c r="BF73" i="29" s="1"/>
  <c r="C13" i="27"/>
  <c r="H13" i="27" s="1"/>
  <c r="N14" i="27"/>
  <c r="N22" i="27"/>
  <c r="N30" i="27"/>
  <c r="N38" i="27"/>
  <c r="N46" i="27"/>
  <c r="N54" i="27"/>
  <c r="N62" i="27"/>
  <c r="N70" i="27"/>
  <c r="N52" i="27"/>
  <c r="N15" i="27"/>
  <c r="N23" i="27"/>
  <c r="N31" i="27"/>
  <c r="N39" i="27"/>
  <c r="N47" i="27"/>
  <c r="N55" i="27"/>
  <c r="N63" i="27"/>
  <c r="N71" i="27"/>
  <c r="N68" i="27"/>
  <c r="N16" i="27"/>
  <c r="N24" i="27"/>
  <c r="N32" i="27"/>
  <c r="N40" i="27"/>
  <c r="N48" i="27"/>
  <c r="N56" i="27"/>
  <c r="N64" i="27"/>
  <c r="N72" i="27"/>
  <c r="N44" i="27"/>
  <c r="N17" i="27"/>
  <c r="N25" i="27"/>
  <c r="N33" i="27"/>
  <c r="N41" i="27"/>
  <c r="N49" i="27"/>
  <c r="N57" i="27"/>
  <c r="N65" i="27"/>
  <c r="N73" i="27"/>
  <c r="N36" i="27"/>
  <c r="N18" i="27"/>
  <c r="N26" i="27"/>
  <c r="N34" i="27"/>
  <c r="N42" i="27"/>
  <c r="N50" i="27"/>
  <c r="N58" i="27"/>
  <c r="N66" i="27"/>
  <c r="N74" i="27"/>
  <c r="N28" i="27"/>
  <c r="N19" i="27"/>
  <c r="N27" i="27"/>
  <c r="N35" i="27"/>
  <c r="N43" i="27"/>
  <c r="N51" i="27"/>
  <c r="N59" i="27"/>
  <c r="N67" i="27"/>
  <c r="N20" i="27"/>
  <c r="N21" i="27"/>
  <c r="N29" i="27"/>
  <c r="N37" i="27"/>
  <c r="N45" i="27"/>
  <c r="N53" i="27"/>
  <c r="N61" i="27"/>
  <c r="N69" i="27"/>
  <c r="N60" i="27"/>
  <c r="H27" i="27"/>
  <c r="H66" i="27"/>
  <c r="H50" i="27"/>
  <c r="H69" i="27"/>
  <c r="H26" i="27"/>
  <c r="H65" i="27"/>
  <c r="H49" i="27"/>
  <c r="H39" i="27"/>
  <c r="H23" i="27"/>
  <c r="H62" i="27"/>
  <c r="H46" i="27"/>
  <c r="H38" i="27"/>
  <c r="H22" i="27"/>
  <c r="H61" i="27"/>
  <c r="H45" i="27"/>
  <c r="H35" i="27"/>
  <c r="H19" i="27"/>
  <c r="H58" i="27"/>
  <c r="H42" i="27"/>
  <c r="H18" i="27"/>
  <c r="H57" i="27"/>
  <c r="H41" i="27"/>
  <c r="I31" i="27"/>
  <c r="H31" i="27"/>
  <c r="H15" i="27"/>
  <c r="H54" i="27"/>
  <c r="H73" i="27"/>
  <c r="I23" i="27"/>
  <c r="H30" i="27"/>
  <c r="H14" i="27"/>
  <c r="H53" i="27"/>
  <c r="H72" i="27"/>
  <c r="C13" i="28"/>
  <c r="H33" i="27"/>
  <c r="H25" i="27"/>
  <c r="H17" i="27"/>
  <c r="H64" i="27"/>
  <c r="H56" i="27"/>
  <c r="H48" i="27"/>
  <c r="H40" i="27"/>
  <c r="H32" i="27"/>
  <c r="H24" i="27"/>
  <c r="H16" i="27"/>
  <c r="H63" i="27"/>
  <c r="H55" i="27"/>
  <c r="H47" i="27"/>
  <c r="H74" i="27"/>
  <c r="E46" i="27"/>
  <c r="H37" i="27"/>
  <c r="H29" i="27"/>
  <c r="H21" i="27"/>
  <c r="H68" i="27"/>
  <c r="H60" i="27"/>
  <c r="H52" i="27"/>
  <c r="H71" i="27"/>
  <c r="E38" i="27"/>
  <c r="H36" i="27"/>
  <c r="H28" i="27"/>
  <c r="H20" i="27"/>
  <c r="H67" i="27"/>
  <c r="H59" i="27"/>
  <c r="H51" i="27"/>
  <c r="H43" i="27"/>
  <c r="H70" i="27"/>
  <c r="I15" i="27"/>
  <c r="E30" i="27"/>
  <c r="I50" i="27"/>
  <c r="E22" i="27"/>
  <c r="I42" i="27"/>
  <c r="E14" i="27"/>
  <c r="I34" i="27"/>
  <c r="F27" i="27"/>
  <c r="I59" i="27"/>
  <c r="F19" i="27"/>
  <c r="E54" i="27"/>
  <c r="F64" i="27"/>
  <c r="F56" i="27"/>
  <c r="F40" i="27"/>
  <c r="I30" i="27"/>
  <c r="I22" i="27"/>
  <c r="I14" i="27"/>
  <c r="I49" i="27"/>
  <c r="I41" i="27"/>
  <c r="I74" i="27"/>
  <c r="I66" i="27"/>
  <c r="I58" i="27"/>
  <c r="E69" i="27"/>
  <c r="E61" i="27"/>
  <c r="E53" i="27"/>
  <c r="E45" i="27"/>
  <c r="E37" i="27"/>
  <c r="E29" i="27"/>
  <c r="E21" i="27"/>
  <c r="F26" i="27"/>
  <c r="F18" i="27"/>
  <c r="F71" i="27"/>
  <c r="F63" i="27"/>
  <c r="F55" i="27"/>
  <c r="F47" i="27"/>
  <c r="F39" i="27"/>
  <c r="E62" i="27"/>
  <c r="F72" i="27"/>
  <c r="F48" i="27"/>
  <c r="I29" i="27"/>
  <c r="I21" i="27"/>
  <c r="I56" i="27"/>
  <c r="I48" i="27"/>
  <c r="I40" i="27"/>
  <c r="I73" i="27"/>
  <c r="I65" i="27"/>
  <c r="I57" i="27"/>
  <c r="E68" i="27"/>
  <c r="E60" i="27"/>
  <c r="E52" i="27"/>
  <c r="E44" i="27"/>
  <c r="E36" i="27"/>
  <c r="E28" i="27"/>
  <c r="E20" i="27"/>
  <c r="F33" i="27"/>
  <c r="F25" i="27"/>
  <c r="F17" i="27"/>
  <c r="F70" i="27"/>
  <c r="F62" i="27"/>
  <c r="F54" i="27"/>
  <c r="F46" i="27"/>
  <c r="F38" i="27"/>
  <c r="I28" i="27"/>
  <c r="I20" i="27"/>
  <c r="I55" i="27"/>
  <c r="I47" i="27"/>
  <c r="I39" i="27"/>
  <c r="I72" i="27"/>
  <c r="I64" i="27"/>
  <c r="E67" i="27"/>
  <c r="E59" i="27"/>
  <c r="E51" i="27"/>
  <c r="E43" i="27"/>
  <c r="E35" i="27"/>
  <c r="E27" i="27"/>
  <c r="E19" i="27"/>
  <c r="F32" i="27"/>
  <c r="F24" i="27"/>
  <c r="F16" i="27"/>
  <c r="F69" i="27"/>
  <c r="F61" i="27"/>
  <c r="F53" i="27"/>
  <c r="F45" i="27"/>
  <c r="F37" i="27"/>
  <c r="I67" i="27"/>
  <c r="E70" i="27"/>
  <c r="I27" i="27"/>
  <c r="I19" i="27"/>
  <c r="I54" i="27"/>
  <c r="I46" i="27"/>
  <c r="I38" i="27"/>
  <c r="I71" i="27"/>
  <c r="I63" i="27"/>
  <c r="E74" i="27"/>
  <c r="E66" i="27"/>
  <c r="E58" i="27"/>
  <c r="E50" i="27"/>
  <c r="E42" i="27"/>
  <c r="E34" i="27"/>
  <c r="E26" i="27"/>
  <c r="E18" i="27"/>
  <c r="F31" i="27"/>
  <c r="F23" i="27"/>
  <c r="F15" i="27"/>
  <c r="F68" i="27"/>
  <c r="F60" i="27"/>
  <c r="F52" i="27"/>
  <c r="F44" i="27"/>
  <c r="F36" i="27"/>
  <c r="I26" i="27"/>
  <c r="I18" i="27"/>
  <c r="I53" i="27"/>
  <c r="I45" i="27"/>
  <c r="I37" i="27"/>
  <c r="I70" i="27"/>
  <c r="I62" i="27"/>
  <c r="E73" i="27"/>
  <c r="E65" i="27"/>
  <c r="E57" i="27"/>
  <c r="E49" i="27"/>
  <c r="E41" i="27"/>
  <c r="E33" i="27"/>
  <c r="E25" i="27"/>
  <c r="E17" i="27"/>
  <c r="F30" i="27"/>
  <c r="F22" i="27"/>
  <c r="F14" i="27"/>
  <c r="F67" i="27"/>
  <c r="F59" i="27"/>
  <c r="F51" i="27"/>
  <c r="F43" i="27"/>
  <c r="F35" i="27"/>
  <c r="I33" i="27"/>
  <c r="I25" i="27"/>
  <c r="I17" i="27"/>
  <c r="I52" i="27"/>
  <c r="I44" i="27"/>
  <c r="I36" i="27"/>
  <c r="I69" i="27"/>
  <c r="I61" i="27"/>
  <c r="E72" i="27"/>
  <c r="E64" i="27"/>
  <c r="E56" i="27"/>
  <c r="E48" i="27"/>
  <c r="E40" i="27"/>
  <c r="E32" i="27"/>
  <c r="E24" i="27"/>
  <c r="E16" i="27"/>
  <c r="F29" i="27"/>
  <c r="F21" i="27"/>
  <c r="F74" i="27"/>
  <c r="F66" i="27"/>
  <c r="F58" i="27"/>
  <c r="F50" i="27"/>
  <c r="F42" i="27"/>
  <c r="F34" i="27"/>
  <c r="I32" i="27"/>
  <c r="I24" i="27"/>
  <c r="I16" i="27"/>
  <c r="I51" i="27"/>
  <c r="I43" i="27"/>
  <c r="I35" i="27"/>
  <c r="I68" i="27"/>
  <c r="I60" i="27"/>
  <c r="E71" i="27"/>
  <c r="E63" i="27"/>
  <c r="E55" i="27"/>
  <c r="E47" i="27"/>
  <c r="E39" i="27"/>
  <c r="E31" i="27"/>
  <c r="E23" i="27"/>
  <c r="E15" i="27"/>
  <c r="F28" i="27"/>
  <c r="F20" i="27"/>
  <c r="F73" i="27"/>
  <c r="F65" i="27"/>
  <c r="F57" i="27"/>
  <c r="F49" i="27"/>
  <c r="F41" i="27"/>
  <c r="H13" i="25" l="1"/>
  <c r="Z3" i="21"/>
  <c r="G3" i="17"/>
  <c r="O3" i="17"/>
  <c r="S4" i="21"/>
  <c r="J4" i="27"/>
  <c r="J34" i="27" s="1"/>
  <c r="AZ56" i="29"/>
  <c r="BB46" i="29"/>
  <c r="BF53" i="29"/>
  <c r="BB42" i="29"/>
  <c r="AY34" i="29"/>
  <c r="AW18" i="29"/>
  <c r="BA71" i="28"/>
  <c r="BE61" i="29"/>
  <c r="AZ48" i="29"/>
  <c r="BE59" i="29"/>
  <c r="AX44" i="29"/>
  <c r="AX53" i="29"/>
  <c r="BA52" i="29"/>
  <c r="BE25" i="29"/>
  <c r="BD42" i="29"/>
  <c r="AX47" i="29"/>
  <c r="BC59" i="29"/>
  <c r="BA42" i="29"/>
  <c r="BA19" i="29"/>
  <c r="AW27" i="29"/>
  <c r="AW61" i="29"/>
  <c r="BC72" i="29"/>
  <c r="BA59" i="29"/>
  <c r="AY53" i="29"/>
  <c r="BC27" i="29"/>
  <c r="AY28" i="28"/>
  <c r="BA49" i="29"/>
  <c r="AW55" i="29"/>
  <c r="AW59" i="29"/>
  <c r="BE52" i="29"/>
  <c r="BD25" i="29"/>
  <c r="BB34" i="29"/>
  <c r="AY72" i="29"/>
  <c r="BF56" i="29"/>
  <c r="AZ34" i="29"/>
  <c r="BF22" i="29"/>
  <c r="BF61" i="29"/>
  <c r="BC54" i="29"/>
  <c r="AY25" i="29"/>
  <c r="BE34" i="29"/>
  <c r="AK41" i="29"/>
  <c r="BA41" i="29"/>
  <c r="BB41" i="29"/>
  <c r="BF41" i="29"/>
  <c r="AW41" i="29"/>
  <c r="AY41" i="29"/>
  <c r="AZ41" i="29"/>
  <c r="BD41" i="29"/>
  <c r="BE41" i="29"/>
  <c r="AR47" i="29"/>
  <c r="BB47" i="29"/>
  <c r="AY47" i="29"/>
  <c r="AW47" i="29"/>
  <c r="BF47" i="29"/>
  <c r="BE47" i="29"/>
  <c r="AM46" i="29"/>
  <c r="BC46" i="29"/>
  <c r="BD46" i="29"/>
  <c r="BE46" i="29"/>
  <c r="AX46" i="29"/>
  <c r="BF46" i="29"/>
  <c r="AY46" i="29"/>
  <c r="AP53" i="29"/>
  <c r="BB53" i="29"/>
  <c r="BC53" i="29"/>
  <c r="BD53" i="29"/>
  <c r="AW53" i="29"/>
  <c r="BA53" i="29"/>
  <c r="AR68" i="29"/>
  <c r="AZ68" i="29"/>
  <c r="BA68" i="29"/>
  <c r="AY68" i="29"/>
  <c r="BE68" i="29"/>
  <c r="BB68" i="29"/>
  <c r="BC68" i="29"/>
  <c r="AQ56" i="29"/>
  <c r="AY56" i="29"/>
  <c r="BD56" i="29"/>
  <c r="AW56" i="29"/>
  <c r="AX56" i="29"/>
  <c r="AK48" i="29"/>
  <c r="BD48" i="29"/>
  <c r="BA48" i="29"/>
  <c r="BE48" i="29"/>
  <c r="BF48" i="29"/>
  <c r="BB48" i="29"/>
  <c r="BC48" i="29"/>
  <c r="AK18" i="29"/>
  <c r="BC18" i="29"/>
  <c r="AX18" i="29"/>
  <c r="BE18" i="29"/>
  <c r="BD18" i="29"/>
  <c r="AY18" i="29"/>
  <c r="AZ18" i="29"/>
  <c r="AY50" i="28"/>
  <c r="AZ50" i="28"/>
  <c r="AW50" i="28"/>
  <c r="BC50" i="28"/>
  <c r="BF50" i="28"/>
  <c r="BD50" i="28"/>
  <c r="AX50" i="28"/>
  <c r="BA50" i="28"/>
  <c r="BB50" i="28"/>
  <c r="BE50" i="28"/>
  <c r="BB25" i="28"/>
  <c r="BC25" i="28"/>
  <c r="AW25" i="28"/>
  <c r="AY25" i="28"/>
  <c r="AZ25" i="28"/>
  <c r="BD25" i="28"/>
  <c r="BF25" i="28"/>
  <c r="BA25" i="28"/>
  <c r="AX25" i="28"/>
  <c r="BE25" i="28"/>
  <c r="BD72" i="28"/>
  <c r="BF72" i="28"/>
  <c r="BA72" i="28"/>
  <c r="AY72" i="28"/>
  <c r="AX72" i="28"/>
  <c r="AZ72" i="28"/>
  <c r="BB72" i="28"/>
  <c r="BC72" i="28"/>
  <c r="AW72" i="28"/>
  <c r="BE72" i="28"/>
  <c r="BF61" i="28"/>
  <c r="AY61" i="28"/>
  <c r="AX61" i="28"/>
  <c r="BE61" i="28"/>
  <c r="BC61" i="28"/>
  <c r="BA61" i="28"/>
  <c r="AW61" i="28"/>
  <c r="BB61" i="28"/>
  <c r="BD61" i="28"/>
  <c r="AZ61" i="28"/>
  <c r="AX58" i="28"/>
  <c r="BF58" i="28"/>
  <c r="AZ58" i="28"/>
  <c r="AY58" i="28"/>
  <c r="BC58" i="28"/>
  <c r="BA58" i="28"/>
  <c r="BD58" i="28"/>
  <c r="AW58" i="28"/>
  <c r="BB58" i="28"/>
  <c r="BE58" i="28"/>
  <c r="BC23" i="28"/>
  <c r="BE23" i="28"/>
  <c r="AY23" i="28"/>
  <c r="BD23" i="28"/>
  <c r="BB23" i="28"/>
  <c r="BF23" i="28"/>
  <c r="AZ23" i="28"/>
  <c r="AW23" i="28"/>
  <c r="AX23" i="28"/>
  <c r="BA23" i="28"/>
  <c r="BC62" i="28"/>
  <c r="AZ62" i="28"/>
  <c r="BD62" i="28"/>
  <c r="AY62" i="28"/>
  <c r="AX62" i="28"/>
  <c r="BA62" i="28"/>
  <c r="BE62" i="28"/>
  <c r="BB62" i="28"/>
  <c r="AW62" i="28"/>
  <c r="BF62" i="28"/>
  <c r="AX70" i="29"/>
  <c r="AY71" i="29"/>
  <c r="BE28" i="29"/>
  <c r="BF69" i="29"/>
  <c r="BD15" i="29"/>
  <c r="AX68" i="29"/>
  <c r="BE65" i="29"/>
  <c r="BA73" i="29"/>
  <c r="BF68" i="29"/>
  <c r="AZ53" i="29"/>
  <c r="AW60" i="29"/>
  <c r="BC47" i="29"/>
  <c r="BD44" i="29"/>
  <c r="AW32" i="29"/>
  <c r="AZ47" i="29"/>
  <c r="BA56" i="29"/>
  <c r="BB16" i="29"/>
  <c r="AW22" i="29"/>
  <c r="AV33" i="29"/>
  <c r="BA33" i="29"/>
  <c r="BE33" i="29"/>
  <c r="BF33" i="29"/>
  <c r="BD33" i="29"/>
  <c r="AY33" i="29"/>
  <c r="BC33" i="29"/>
  <c r="AW33" i="29"/>
  <c r="AX33" i="29"/>
  <c r="AZ33" i="29"/>
  <c r="AT39" i="29"/>
  <c r="AW39" i="29"/>
  <c r="BE39" i="29"/>
  <c r="AZ39" i="29"/>
  <c r="AY39" i="29"/>
  <c r="BC39" i="29"/>
  <c r="BD39" i="29"/>
  <c r="AX39" i="29"/>
  <c r="BB39" i="29"/>
  <c r="AL38" i="29"/>
  <c r="BC38" i="29"/>
  <c r="AW38" i="29"/>
  <c r="BF38" i="29"/>
  <c r="BE38" i="29"/>
  <c r="BD38" i="29"/>
  <c r="AO45" i="29"/>
  <c r="BC45" i="29"/>
  <c r="BF45" i="29"/>
  <c r="AY45" i="29"/>
  <c r="AZ45" i="29"/>
  <c r="BB45" i="29"/>
  <c r="BD45" i="29"/>
  <c r="AW45" i="29"/>
  <c r="BE45" i="29"/>
  <c r="BA45" i="29"/>
  <c r="AX45" i="29"/>
  <c r="AQ60" i="29"/>
  <c r="AZ60" i="29"/>
  <c r="BA60" i="29"/>
  <c r="AU67" i="29"/>
  <c r="AW67" i="29"/>
  <c r="AY67" i="29"/>
  <c r="BA67" i="29"/>
  <c r="BE67" i="29"/>
  <c r="AZ67" i="29"/>
  <c r="BB67" i="29"/>
  <c r="AV74" i="29"/>
  <c r="BB74" i="29"/>
  <c r="AX74" i="29"/>
  <c r="BD74" i="29"/>
  <c r="AW18" i="28"/>
  <c r="BF18" i="28"/>
  <c r="AX18" i="28"/>
  <c r="BE18" i="28"/>
  <c r="AY18" i="28"/>
  <c r="BA18" i="28"/>
  <c r="BD18" i="28"/>
  <c r="BC18" i="28"/>
  <c r="BB18" i="28"/>
  <c r="AZ18" i="28"/>
  <c r="BF17" i="28"/>
  <c r="BC17" i="28"/>
  <c r="AW17" i="28"/>
  <c r="AZ17" i="28"/>
  <c r="BA17" i="28"/>
  <c r="BB17" i="28"/>
  <c r="BE17" i="28"/>
  <c r="BD17" i="28"/>
  <c r="AX17" i="28"/>
  <c r="AY17" i="28"/>
  <c r="AY64" i="28"/>
  <c r="BB64" i="28"/>
  <c r="AX64" i="28"/>
  <c r="BF64" i="28"/>
  <c r="AZ64" i="28"/>
  <c r="AW64" i="28"/>
  <c r="BC64" i="28"/>
  <c r="BD64" i="28"/>
  <c r="BA64" i="28"/>
  <c r="BE64" i="28"/>
  <c r="AW45" i="28"/>
  <c r="BD45" i="28"/>
  <c r="AZ45" i="28"/>
  <c r="BE45" i="28"/>
  <c r="BF45" i="28"/>
  <c r="AX45" i="28"/>
  <c r="AY45" i="28"/>
  <c r="BC45" i="28"/>
  <c r="BA45" i="28"/>
  <c r="BB45" i="28"/>
  <c r="BC42" i="28"/>
  <c r="BE42" i="28"/>
  <c r="BB42" i="28"/>
  <c r="BA42" i="28"/>
  <c r="AX42" i="28"/>
  <c r="AW42" i="28"/>
  <c r="AY42" i="28"/>
  <c r="BF42" i="28"/>
  <c r="BD42" i="28"/>
  <c r="AZ42" i="28"/>
  <c r="BD15" i="28"/>
  <c r="BF15" i="28"/>
  <c r="BB15" i="28"/>
  <c r="AW15" i="28"/>
  <c r="AZ15" i="28"/>
  <c r="BE15" i="28"/>
  <c r="AX15" i="28"/>
  <c r="BC15" i="28"/>
  <c r="AY15" i="28"/>
  <c r="BA15" i="28"/>
  <c r="BB54" i="28"/>
  <c r="BD54" i="28"/>
  <c r="AY54" i="28"/>
  <c r="BF54" i="28"/>
  <c r="AW54" i="28"/>
  <c r="AX54" i="28"/>
  <c r="BE54" i="28"/>
  <c r="BA54" i="28"/>
  <c r="AZ54" i="28"/>
  <c r="BC54" i="28"/>
  <c r="AX73" i="29"/>
  <c r="AW69" i="29"/>
  <c r="BE71" i="29"/>
  <c r="BB38" i="29"/>
  <c r="AX67" i="29"/>
  <c r="AZ65" i="29"/>
  <c r="BA38" i="29"/>
  <c r="AW16" i="29"/>
  <c r="AX38" i="29"/>
  <c r="AY43" i="29"/>
  <c r="BE35" i="29"/>
  <c r="AP25" i="29"/>
  <c r="BB25" i="29"/>
  <c r="BA25" i="29"/>
  <c r="BC25" i="29"/>
  <c r="AW25" i="29"/>
  <c r="AX25" i="29"/>
  <c r="AZ25" i="29"/>
  <c r="AP31" i="29"/>
  <c r="AW31" i="29"/>
  <c r="BE31" i="29"/>
  <c r="AY31" i="29"/>
  <c r="AX31" i="29"/>
  <c r="BF31" i="29"/>
  <c r="BA31" i="29"/>
  <c r="BB31" i="29"/>
  <c r="BD31" i="29"/>
  <c r="AK30" i="29"/>
  <c r="BC30" i="29"/>
  <c r="AW30" i="29"/>
  <c r="BF30" i="29"/>
  <c r="BD30" i="29"/>
  <c r="BA30" i="29"/>
  <c r="AY30" i="29"/>
  <c r="AZ30" i="29"/>
  <c r="AX30" i="29"/>
  <c r="BA37" i="29"/>
  <c r="BD37" i="29"/>
  <c r="BB37" i="29"/>
  <c r="AW37" i="29"/>
  <c r="AX37" i="29"/>
  <c r="BE37" i="29"/>
  <c r="BF37" i="29"/>
  <c r="AP52" i="29"/>
  <c r="BD52" i="29"/>
  <c r="AW52" i="29"/>
  <c r="AX52" i="29"/>
  <c r="AZ52" i="29"/>
  <c r="BB52" i="29"/>
  <c r="BC52" i="29"/>
  <c r="AY52" i="29"/>
  <c r="AP59" i="29"/>
  <c r="AY59" i="29"/>
  <c r="AX59" i="29"/>
  <c r="AZ59" i="29"/>
  <c r="BF59" i="29"/>
  <c r="AM66" i="29"/>
  <c r="BD66" i="29"/>
  <c r="AW66" i="29"/>
  <c r="BE66" i="29"/>
  <c r="AX66" i="29"/>
  <c r="BC66" i="29"/>
  <c r="AY66" i="29"/>
  <c r="BC53" i="28"/>
  <c r="BA53" i="28"/>
  <c r="AW53" i="28"/>
  <c r="BF53" i="28"/>
  <c r="BB53" i="28"/>
  <c r="BE53" i="28"/>
  <c r="AY53" i="28"/>
  <c r="BD53" i="28"/>
  <c r="AZ53" i="28"/>
  <c r="AZ73" i="28"/>
  <c r="BE73" i="28"/>
  <c r="BA73" i="28"/>
  <c r="BF73" i="28"/>
  <c r="AX73" i="28"/>
  <c r="BD73" i="28"/>
  <c r="AW73" i="28"/>
  <c r="AY73" i="28"/>
  <c r="BC73" i="28"/>
  <c r="BB73" i="28"/>
  <c r="BB18" i="29"/>
  <c r="BC67" i="29"/>
  <c r="BA71" i="29"/>
  <c r="BB66" i="29"/>
  <c r="BA63" i="29"/>
  <c r="BE69" i="29"/>
  <c r="AZ74" i="29"/>
  <c r="BD68" i="29"/>
  <c r="BF65" i="29"/>
  <c r="BD63" i="29"/>
  <c r="BB50" i="29"/>
  <c r="AX28" i="29"/>
  <c r="BE56" i="29"/>
  <c r="AX57" i="29"/>
  <c r="AX16" i="29"/>
  <c r="BF66" i="29"/>
  <c r="BB30" i="29"/>
  <c r="BD32" i="29"/>
  <c r="BC41" i="29"/>
  <c r="AQ17" i="29"/>
  <c r="BB17" i="29"/>
  <c r="BA17" i="29"/>
  <c r="BC17" i="29"/>
  <c r="AZ17" i="29"/>
  <c r="AW17" i="29"/>
  <c r="AX17" i="29"/>
  <c r="BE17" i="29"/>
  <c r="BF17" i="29"/>
  <c r="BD17" i="29"/>
  <c r="AM23" i="29"/>
  <c r="BF23" i="29"/>
  <c r="BE23" i="29"/>
  <c r="AX23" i="29"/>
  <c r="AY23" i="29"/>
  <c r="BD23" i="29"/>
  <c r="BA23" i="29"/>
  <c r="BB23" i="29"/>
  <c r="BC23" i="29"/>
  <c r="AW23" i="29"/>
  <c r="AZ23" i="29"/>
  <c r="AV22" i="29"/>
  <c r="BC22" i="29"/>
  <c r="AY22" i="29"/>
  <c r="AZ22" i="29"/>
  <c r="BB22" i="29"/>
  <c r="AX22" i="29"/>
  <c r="BA22" i="29"/>
  <c r="BE22" i="29"/>
  <c r="AU29" i="29"/>
  <c r="AW29" i="29"/>
  <c r="AX29" i="29"/>
  <c r="AZ29" i="29"/>
  <c r="BE29" i="29"/>
  <c r="BF29" i="29"/>
  <c r="AY29" i="29"/>
  <c r="BA29" i="29"/>
  <c r="BC29" i="29"/>
  <c r="AV44" i="29"/>
  <c r="BB44" i="29"/>
  <c r="BC44" i="29"/>
  <c r="AZ44" i="29"/>
  <c r="BA44" i="29"/>
  <c r="BE44" i="29"/>
  <c r="BF44" i="29"/>
  <c r="AQ51" i="29"/>
  <c r="AY51" i="29"/>
  <c r="AZ51" i="29"/>
  <c r="BA51" i="29"/>
  <c r="BE51" i="29"/>
  <c r="BB51" i="29"/>
  <c r="BC51" i="29"/>
  <c r="BD51" i="29"/>
  <c r="AW51" i="29"/>
  <c r="BF51" i="29"/>
  <c r="AU58" i="29"/>
  <c r="AW58" i="29"/>
  <c r="AZ58" i="29"/>
  <c r="BA58" i="29"/>
  <c r="BB58" i="29"/>
  <c r="AX58" i="29"/>
  <c r="BF58" i="29"/>
  <c r="AY58" i="29"/>
  <c r="BD58" i="29"/>
  <c r="BD64" i="29"/>
  <c r="AY62" i="29"/>
  <c r="AY74" i="29"/>
  <c r="BA66" i="29"/>
  <c r="BC40" i="29"/>
  <c r="BD69" i="29"/>
  <c r="BC60" i="29"/>
  <c r="BF60" i="29"/>
  <c r="AX48" i="29"/>
  <c r="BA54" i="29"/>
  <c r="BC56" i="29"/>
  <c r="BF62" i="29"/>
  <c r="AW46" i="29"/>
  <c r="BD28" i="29"/>
  <c r="AZ31" i="29"/>
  <c r="BC37" i="29"/>
  <c r="AL73" i="29"/>
  <c r="AY73" i="29"/>
  <c r="BD73" i="29"/>
  <c r="BB73" i="29"/>
  <c r="AW73" i="29"/>
  <c r="AZ73" i="29"/>
  <c r="BE73" i="29"/>
  <c r="AQ32" i="29"/>
  <c r="AY32" i="29"/>
  <c r="BE32" i="29"/>
  <c r="BB32" i="29"/>
  <c r="BA32" i="29"/>
  <c r="AX32" i="29"/>
  <c r="AZ32" i="29"/>
  <c r="BF32" i="29"/>
  <c r="AR15" i="29"/>
  <c r="BE15" i="29"/>
  <c r="AX15" i="29"/>
  <c r="AW15" i="29"/>
  <c r="BF15" i="29"/>
  <c r="AZ15" i="29"/>
  <c r="BC15" i="29"/>
  <c r="AO14" i="29"/>
  <c r="BD14" i="29"/>
  <c r="AY14" i="29"/>
  <c r="AZ14" i="29"/>
  <c r="BC14" i="29"/>
  <c r="AX14" i="29"/>
  <c r="AW14" i="29"/>
  <c r="BF14" i="29"/>
  <c r="BE14" i="29"/>
  <c r="BA14" i="29"/>
  <c r="AS21" i="29"/>
  <c r="BB21" i="29"/>
  <c r="BA21" i="29"/>
  <c r="AW21" i="29"/>
  <c r="AX21" i="29"/>
  <c r="AY21" i="29"/>
  <c r="BD21" i="29"/>
  <c r="BC21" i="29"/>
  <c r="AT36" i="29"/>
  <c r="AY36" i="29"/>
  <c r="BA36" i="29"/>
  <c r="AX36" i="29"/>
  <c r="AZ36" i="29"/>
  <c r="BC36" i="29"/>
  <c r="BD36" i="29"/>
  <c r="AW36" i="29"/>
  <c r="BF36" i="29"/>
  <c r="BB36" i="29"/>
  <c r="BE36" i="29"/>
  <c r="AQ43" i="29"/>
  <c r="AW43" i="29"/>
  <c r="AX43" i="29"/>
  <c r="BB43" i="29"/>
  <c r="BA43" i="29"/>
  <c r="BC43" i="29"/>
  <c r="BD43" i="29"/>
  <c r="BF43" i="29"/>
  <c r="AR50" i="29"/>
  <c r="BF50" i="29"/>
  <c r="AY50" i="29"/>
  <c r="BD50" i="29"/>
  <c r="BE50" i="29"/>
  <c r="BF52" i="28"/>
  <c r="AW52" i="28"/>
  <c r="BB52" i="28"/>
  <c r="BC52" i="28"/>
  <c r="AY52" i="28"/>
  <c r="BA52" i="28"/>
  <c r="AZ52" i="28"/>
  <c r="BD52" i="28"/>
  <c r="AX52" i="28"/>
  <c r="BE52" i="28"/>
  <c r="BE57" i="28"/>
  <c r="AZ57" i="28"/>
  <c r="BC57" i="28"/>
  <c r="BA57" i="28"/>
  <c r="AW57" i="28"/>
  <c r="AX57" i="28"/>
  <c r="BD57" i="28"/>
  <c r="BF57" i="28"/>
  <c r="AY57" i="28"/>
  <c r="BB57" i="28"/>
  <c r="BB60" i="28"/>
  <c r="AX60" i="28"/>
  <c r="BF60" i="28"/>
  <c r="BD60" i="28"/>
  <c r="BC60" i="28"/>
  <c r="AW60" i="28"/>
  <c r="AY60" i="28"/>
  <c r="BE60" i="28"/>
  <c r="BA60" i="28"/>
  <c r="AZ60" i="28"/>
  <c r="AD40" i="28"/>
  <c r="AZ40" i="28"/>
  <c r="BE40" i="28"/>
  <c r="BD40" i="28"/>
  <c r="BC40" i="28"/>
  <c r="BF40" i="28"/>
  <c r="BB40" i="28"/>
  <c r="BA40" i="28"/>
  <c r="AW40" i="28"/>
  <c r="AX40" i="28"/>
  <c r="AY40" i="28"/>
  <c r="BE67" i="28"/>
  <c r="AY67" i="28"/>
  <c r="AX67" i="28"/>
  <c r="BF67" i="28"/>
  <c r="BA67" i="28"/>
  <c r="BD67" i="28"/>
  <c r="BB67" i="28"/>
  <c r="AZ67" i="28"/>
  <c r="BC67" i="28"/>
  <c r="BC55" i="28"/>
  <c r="BA55" i="28"/>
  <c r="BD55" i="28"/>
  <c r="BB55" i="28"/>
  <c r="AX55" i="28"/>
  <c r="AZ55" i="28"/>
  <c r="BF55" i="28"/>
  <c r="AY55" i="28"/>
  <c r="AW55" i="28"/>
  <c r="BE55" i="28"/>
  <c r="S59" i="28"/>
  <c r="AY59" i="28"/>
  <c r="AZ59" i="28"/>
  <c r="BC59" i="28"/>
  <c r="BD59" i="28"/>
  <c r="AX59" i="28"/>
  <c r="BA59" i="28"/>
  <c r="AW59" i="28"/>
  <c r="BB59" i="28"/>
  <c r="BF59" i="28"/>
  <c r="BE59" i="28"/>
  <c r="BA30" i="28"/>
  <c r="BC30" i="28"/>
  <c r="BB30" i="28"/>
  <c r="AX30" i="28"/>
  <c r="AW30" i="28"/>
  <c r="BE30" i="28"/>
  <c r="BF30" i="28"/>
  <c r="BD30" i="28"/>
  <c r="AZ30" i="28"/>
  <c r="AY30" i="28"/>
  <c r="AZ69" i="29"/>
  <c r="BF74" i="29"/>
  <c r="AX60" i="29"/>
  <c r="AY38" i="29"/>
  <c r="BB60" i="29"/>
  <c r="BC69" i="29"/>
  <c r="BF39" i="29"/>
  <c r="AL65" i="29"/>
  <c r="BD65" i="29"/>
  <c r="AX65" i="29"/>
  <c r="AW65" i="29"/>
  <c r="BA65" i="29"/>
  <c r="AL71" i="29"/>
  <c r="AW71" i="29"/>
  <c r="BB71" i="29"/>
  <c r="AX71" i="29"/>
  <c r="BF71" i="29"/>
  <c r="BC71" i="29"/>
  <c r="AR70" i="29"/>
  <c r="BE70" i="29"/>
  <c r="AY70" i="29"/>
  <c r="AZ70" i="29"/>
  <c r="AW70" i="29"/>
  <c r="BF70" i="29"/>
  <c r="BA70" i="29"/>
  <c r="AM16" i="29"/>
  <c r="AZ16" i="29"/>
  <c r="BC16" i="29"/>
  <c r="BD16" i="29"/>
  <c r="AY16" i="29"/>
  <c r="BA16" i="29"/>
  <c r="AN64" i="29"/>
  <c r="BA64" i="29"/>
  <c r="BE64" i="29"/>
  <c r="BF64" i="29"/>
  <c r="AY64" i="29"/>
  <c r="BB64" i="29"/>
  <c r="BC64" i="29"/>
  <c r="AW64" i="29"/>
  <c r="AX64" i="29"/>
  <c r="AN28" i="29"/>
  <c r="AY28" i="29"/>
  <c r="AZ28" i="29"/>
  <c r="BB28" i="29"/>
  <c r="AW28" i="29"/>
  <c r="BF28" i="29"/>
  <c r="AN35" i="29"/>
  <c r="AW35" i="29"/>
  <c r="AX35" i="29"/>
  <c r="BD35" i="29"/>
  <c r="BA35" i="29"/>
  <c r="BB35" i="29"/>
  <c r="AY35" i="29"/>
  <c r="AY60" i="29"/>
  <c r="BA74" i="29"/>
  <c r="AY65" i="29"/>
  <c r="BC35" i="29"/>
  <c r="BC65" i="29"/>
  <c r="BF21" i="29"/>
  <c r="BE21" i="29"/>
  <c r="BF35" i="29"/>
  <c r="AO57" i="29"/>
  <c r="BD57" i="29"/>
  <c r="AW57" i="29"/>
  <c r="BE57" i="29"/>
  <c r="BC57" i="29"/>
  <c r="BF57" i="29"/>
  <c r="AY57" i="29"/>
  <c r="AZ57" i="29"/>
  <c r="BA57" i="29"/>
  <c r="AK63" i="29"/>
  <c r="AZ63" i="29"/>
  <c r="BB63" i="29"/>
  <c r="AX63" i="29"/>
  <c r="AY63" i="29"/>
  <c r="BE63" i="29"/>
  <c r="AW63" i="29"/>
  <c r="AV62" i="29"/>
  <c r="AX62" i="29"/>
  <c r="AW62" i="29"/>
  <c r="BA62" i="29"/>
  <c r="BB62" i="29"/>
  <c r="BD62" i="29"/>
  <c r="BC62" i="29"/>
  <c r="AM69" i="29"/>
  <c r="AX69" i="29"/>
  <c r="BA69" i="29"/>
  <c r="AY40" i="29"/>
  <c r="BD40" i="29"/>
  <c r="BB40" i="29"/>
  <c r="BE40" i="29"/>
  <c r="BA40" i="29"/>
  <c r="BF40" i="29"/>
  <c r="AZ40" i="29"/>
  <c r="AK20" i="29"/>
  <c r="AZ20" i="29"/>
  <c r="BE20" i="29"/>
  <c r="BB20" i="29"/>
  <c r="AX20" i="29"/>
  <c r="AY20" i="29"/>
  <c r="BA20" i="29"/>
  <c r="BC20" i="29"/>
  <c r="BD20" i="29"/>
  <c r="AW20" i="29"/>
  <c r="BF20" i="29"/>
  <c r="BD67" i="29"/>
  <c r="BC50" i="29"/>
  <c r="BD70" i="29"/>
  <c r="BC73" i="29"/>
  <c r="AW74" i="29"/>
  <c r="BC63" i="29"/>
  <c r="BA50" i="29"/>
  <c r="AZ50" i="29"/>
  <c r="BE62" i="29"/>
  <c r="BA28" i="29"/>
  <c r="BB33" i="29"/>
  <c r="AL49" i="29"/>
  <c r="BD49" i="29"/>
  <c r="AW49" i="29"/>
  <c r="AX49" i="29"/>
  <c r="BC49" i="29"/>
  <c r="BF49" i="29"/>
  <c r="AY49" i="29"/>
  <c r="AZ49" i="29"/>
  <c r="BB49" i="29"/>
  <c r="AR55" i="29"/>
  <c r="AZ55" i="29"/>
  <c r="BA55" i="29"/>
  <c r="BE55" i="29"/>
  <c r="BB55" i="29"/>
  <c r="BC55" i="29"/>
  <c r="BD55" i="29"/>
  <c r="AX55" i="29"/>
  <c r="AY55" i="29"/>
  <c r="AQ54" i="29"/>
  <c r="BD54" i="29"/>
  <c r="AW54" i="29"/>
  <c r="BE54" i="29"/>
  <c r="BF54" i="29"/>
  <c r="AY54" i="29"/>
  <c r="AL61" i="29"/>
  <c r="BB61" i="29"/>
  <c r="BC61" i="29"/>
  <c r="AY61" i="29"/>
  <c r="AZ61" i="29"/>
  <c r="AX61" i="29"/>
  <c r="BD61" i="29"/>
  <c r="AY24" i="29"/>
  <c r="BB24" i="29"/>
  <c r="BE24" i="29"/>
  <c r="BC24" i="29"/>
  <c r="BD24" i="29"/>
  <c r="BF24" i="29"/>
  <c r="AZ24" i="29"/>
  <c r="AW24" i="29"/>
  <c r="AR72" i="29"/>
  <c r="AZ72" i="29"/>
  <c r="AX72" i="29"/>
  <c r="BD72" i="29"/>
  <c r="BE72" i="29"/>
  <c r="BB72" i="29"/>
  <c r="AT19" i="29"/>
  <c r="AX19" i="29"/>
  <c r="BF19" i="29"/>
  <c r="AW19" i="29"/>
  <c r="BE19" i="29"/>
  <c r="AZ19" i="29"/>
  <c r="AY19" i="29"/>
  <c r="BC19" i="29"/>
  <c r="AT26" i="29"/>
  <c r="BD26" i="29"/>
  <c r="BC26" i="29"/>
  <c r="AX26" i="29"/>
  <c r="AW26" i="29"/>
  <c r="BF26" i="29"/>
  <c r="BE26" i="29"/>
  <c r="BA26" i="29"/>
  <c r="AY26" i="29"/>
  <c r="AZ26" i="29"/>
  <c r="AX66" i="28"/>
  <c r="BF66" i="28"/>
  <c r="AY66" i="28"/>
  <c r="AW66" i="28"/>
  <c r="BD66" i="28"/>
  <c r="AZ66" i="28"/>
  <c r="BE66" i="28"/>
  <c r="BC66" i="28"/>
  <c r="BB66" i="28"/>
  <c r="BA66" i="28"/>
  <c r="BE33" i="28"/>
  <c r="AX33" i="28"/>
  <c r="BA33" i="28"/>
  <c r="BC33" i="28"/>
  <c r="BD33" i="28"/>
  <c r="AZ33" i="28"/>
  <c r="AY33" i="28"/>
  <c r="BF33" i="28"/>
  <c r="BB33" i="28"/>
  <c r="AW33" i="28"/>
  <c r="AW26" i="28"/>
  <c r="BE26" i="28"/>
  <c r="BD26" i="28"/>
  <c r="AX26" i="28"/>
  <c r="BA26" i="28"/>
  <c r="BF26" i="28"/>
  <c r="AY26" i="28"/>
  <c r="AZ26" i="28"/>
  <c r="BC26" i="28"/>
  <c r="BB26" i="28"/>
  <c r="BC16" i="28"/>
  <c r="BD16" i="28"/>
  <c r="BE16" i="28"/>
  <c r="AY16" i="28"/>
  <c r="AX16" i="28"/>
  <c r="AZ16" i="28"/>
  <c r="AW16" i="28"/>
  <c r="BA16" i="28"/>
  <c r="BF16" i="28"/>
  <c r="BB16" i="28"/>
  <c r="BD74" i="28"/>
  <c r="BB74" i="28"/>
  <c r="AX74" i="28"/>
  <c r="AW74" i="28"/>
  <c r="AZ74" i="28"/>
  <c r="BF74" i="28"/>
  <c r="BC74" i="28"/>
  <c r="AY74" i="28"/>
  <c r="BE74" i="28"/>
  <c r="BA74" i="28"/>
  <c r="AX31" i="28"/>
  <c r="BC31" i="28"/>
  <c r="AW31" i="28"/>
  <c r="AY31" i="28"/>
  <c r="BE31" i="28"/>
  <c r="BA31" i="28"/>
  <c r="AZ31" i="28"/>
  <c r="BB31" i="28"/>
  <c r="BD31" i="28"/>
  <c r="BF31" i="28"/>
  <c r="AX70" i="28"/>
  <c r="BA70" i="28"/>
  <c r="BE70" i="28"/>
  <c r="BC70" i="28"/>
  <c r="BD70" i="28"/>
  <c r="BF70" i="28"/>
  <c r="AY70" i="28"/>
  <c r="AW70" i="28"/>
  <c r="BB70" i="28"/>
  <c r="AZ70" i="28"/>
  <c r="BA72" i="29"/>
  <c r="BB70" i="29"/>
  <c r="AZ21" i="29"/>
  <c r="AY44" i="29"/>
  <c r="BD71" i="29"/>
  <c r="BF67" i="29"/>
  <c r="BC74" i="29"/>
  <c r="BB69" i="29"/>
  <c r="AY37" i="29"/>
  <c r="BB54" i="29"/>
  <c r="AX40" i="29"/>
  <c r="BE60" i="29"/>
  <c r="AW48" i="29"/>
  <c r="BE16" i="29"/>
  <c r="AZ46" i="29"/>
  <c r="AZ43" i="29"/>
  <c r="AX50" i="29"/>
  <c r="BE58" i="29"/>
  <c r="AX41" i="29"/>
  <c r="BB15" i="29"/>
  <c r="BA15" i="29"/>
  <c r="BF18" i="29"/>
  <c r="BA24" i="29"/>
  <c r="BB29" i="29"/>
  <c r="AW21" i="28"/>
  <c r="AX21" i="28"/>
  <c r="BC21" i="28"/>
  <c r="BF21" i="28"/>
  <c r="BE21" i="28"/>
  <c r="AZ21" i="28"/>
  <c r="AY21" i="28"/>
  <c r="BA21" i="28"/>
  <c r="BD21" i="28"/>
  <c r="BE65" i="28"/>
  <c r="BD65" i="28"/>
  <c r="BA65" i="28"/>
  <c r="AX65" i="28"/>
  <c r="BC65" i="28"/>
  <c r="AY65" i="28"/>
  <c r="BF65" i="28"/>
  <c r="AW65" i="28"/>
  <c r="BB65" i="28"/>
  <c r="AZ65" i="28"/>
  <c r="AY37" i="28"/>
  <c r="AX37" i="28"/>
  <c r="BF37" i="28"/>
  <c r="AW37" i="28"/>
  <c r="BC37" i="28"/>
  <c r="BB37" i="28"/>
  <c r="BA37" i="28"/>
  <c r="AY48" i="28"/>
  <c r="AZ48" i="28"/>
  <c r="AX48" i="28"/>
  <c r="BC48" i="28"/>
  <c r="BE48" i="28"/>
  <c r="BF48" i="28"/>
  <c r="BD48" i="28"/>
  <c r="BA48" i="28"/>
  <c r="AW48" i="28"/>
  <c r="BB48" i="28"/>
  <c r="BA44" i="28"/>
  <c r="AZ44" i="28"/>
  <c r="AX44" i="28"/>
  <c r="BE44" i="28"/>
  <c r="BD44" i="28"/>
  <c r="BF44" i="28"/>
  <c r="AW44" i="28"/>
  <c r="AY44" i="28"/>
  <c r="BE63" i="28"/>
  <c r="BB63" i="28"/>
  <c r="BD63" i="28"/>
  <c r="AZ63" i="28"/>
  <c r="AX63" i="28"/>
  <c r="AY63" i="28"/>
  <c r="BF63" i="28"/>
  <c r="BA63" i="28"/>
  <c r="AZ28" i="28"/>
  <c r="AX28" i="28"/>
  <c r="AW28" i="28"/>
  <c r="BD28" i="28"/>
  <c r="BF28" i="28"/>
  <c r="BE28" i="28"/>
  <c r="BC28" i="28"/>
  <c r="BB28" i="28"/>
  <c r="BB38" i="28"/>
  <c r="AY38" i="28"/>
  <c r="AX38" i="28"/>
  <c r="BF38" i="28"/>
  <c r="BD38" i="28"/>
  <c r="AZ38" i="28"/>
  <c r="BE38" i="28"/>
  <c r="AW38" i="28"/>
  <c r="BC38" i="28"/>
  <c r="AW42" i="29"/>
  <c r="BD34" i="29"/>
  <c r="BD37" i="28"/>
  <c r="AX56" i="28"/>
  <c r="BC63" i="28"/>
  <c r="BC44" i="28"/>
  <c r="BC36" i="28"/>
  <c r="BA36" i="28"/>
  <c r="AZ36" i="28"/>
  <c r="BE36" i="28"/>
  <c r="AX36" i="28"/>
  <c r="BD36" i="28"/>
  <c r="BF36" i="28"/>
  <c r="AY36" i="28"/>
  <c r="BB36" i="28"/>
  <c r="AW36" i="28"/>
  <c r="BF49" i="28"/>
  <c r="AX49" i="28"/>
  <c r="BA49" i="28"/>
  <c r="AW49" i="28"/>
  <c r="BE49" i="28"/>
  <c r="BB49" i="28"/>
  <c r="BC49" i="28"/>
  <c r="BD49" i="28"/>
  <c r="AY49" i="28"/>
  <c r="AZ49" i="28"/>
  <c r="AX20" i="28"/>
  <c r="AW20" i="28"/>
  <c r="BF20" i="28"/>
  <c r="BB20" i="28"/>
  <c r="AY20" i="28"/>
  <c r="BE20" i="28"/>
  <c r="BA20" i="28"/>
  <c r="BD20" i="28"/>
  <c r="AZ20" i="28"/>
  <c r="BE32" i="28"/>
  <c r="BC32" i="28"/>
  <c r="AW32" i="28"/>
  <c r="AX32" i="28"/>
  <c r="BD32" i="28"/>
  <c r="BA32" i="28"/>
  <c r="AY32" i="28"/>
  <c r="AZ32" i="28"/>
  <c r="BB32" i="28"/>
  <c r="BF32" i="28"/>
  <c r="AF51" i="28"/>
  <c r="BC51" i="28"/>
  <c r="BA51" i="28"/>
  <c r="AX51" i="28"/>
  <c r="AY51" i="28"/>
  <c r="BF51" i="28"/>
  <c r="BB51" i="28"/>
  <c r="AW51" i="28"/>
  <c r="BE51" i="28"/>
  <c r="AX47" i="28"/>
  <c r="BD47" i="28"/>
  <c r="BA47" i="28"/>
  <c r="BC47" i="28"/>
  <c r="AY47" i="28"/>
  <c r="AZ47" i="28"/>
  <c r="AW47" i="28"/>
  <c r="BE47" i="28"/>
  <c r="BF47" i="28"/>
  <c r="BB47" i="28"/>
  <c r="BA35" i="28"/>
  <c r="BF35" i="28"/>
  <c r="AW35" i="28"/>
  <c r="AY35" i="28"/>
  <c r="BE35" i="28"/>
  <c r="AZ35" i="28"/>
  <c r="AX35" i="28"/>
  <c r="BB35" i="28"/>
  <c r="BE22" i="28"/>
  <c r="BA22" i="28"/>
  <c r="AW22" i="28"/>
  <c r="AX22" i="28"/>
  <c r="AZ22" i="28"/>
  <c r="BD22" i="28"/>
  <c r="BF22" i="28"/>
  <c r="BB22" i="28"/>
  <c r="BC22" i="28"/>
  <c r="AY22" i="28"/>
  <c r="BD27" i="29"/>
  <c r="BF34" i="29"/>
  <c r="BD51" i="28"/>
  <c r="AY69" i="28"/>
  <c r="AO27" i="29"/>
  <c r="AX27" i="29"/>
  <c r="BF27" i="29"/>
  <c r="BE27" i="29"/>
  <c r="AN34" i="29"/>
  <c r="BC34" i="29"/>
  <c r="AH27" i="28"/>
  <c r="AW27" i="28"/>
  <c r="BE27" i="28"/>
  <c r="BD27" i="28"/>
  <c r="AY27" i="28"/>
  <c r="AZ27" i="28"/>
  <c r="AX27" i="28"/>
  <c r="BB27" i="28"/>
  <c r="BF27" i="28"/>
  <c r="BA27" i="28"/>
  <c r="BC27" i="28"/>
  <c r="BD41" i="28"/>
  <c r="BB41" i="28"/>
  <c r="BE41" i="28"/>
  <c r="AW41" i="28"/>
  <c r="AY41" i="28"/>
  <c r="BA41" i="28"/>
  <c r="BC41" i="28"/>
  <c r="AZ41" i="28"/>
  <c r="BF41" i="28"/>
  <c r="T19" i="28"/>
  <c r="BA19" i="28"/>
  <c r="BC19" i="28"/>
  <c r="BD19" i="28"/>
  <c r="AY19" i="28"/>
  <c r="BF19" i="28"/>
  <c r="AZ19" i="28"/>
  <c r="BB19" i="28"/>
  <c r="AW19" i="28"/>
  <c r="BE19" i="28"/>
  <c r="AX19" i="28"/>
  <c r="BA24" i="28"/>
  <c r="BC24" i="28"/>
  <c r="AW24" i="28"/>
  <c r="BD24" i="28"/>
  <c r="AY24" i="28"/>
  <c r="AZ24" i="28"/>
  <c r="BE24" i="28"/>
  <c r="BB24" i="28"/>
  <c r="BA43" i="28"/>
  <c r="AX43" i="28"/>
  <c r="BB43" i="28"/>
  <c r="BD43" i="28"/>
  <c r="AY43" i="28"/>
  <c r="BF43" i="28"/>
  <c r="AW43" i="28"/>
  <c r="BE43" i="28"/>
  <c r="AZ43" i="28"/>
  <c r="BC43" i="28"/>
  <c r="BB39" i="28"/>
  <c r="AX39" i="28"/>
  <c r="BC39" i="28"/>
  <c r="AY39" i="28"/>
  <c r="AW39" i="28"/>
  <c r="BE39" i="28"/>
  <c r="BF39" i="28"/>
  <c r="BC34" i="28"/>
  <c r="BE34" i="28"/>
  <c r="BB34" i="28"/>
  <c r="AW34" i="28"/>
  <c r="AX34" i="28"/>
  <c r="BA34" i="28"/>
  <c r="AZ34" i="28"/>
  <c r="AE14" i="28"/>
  <c r="AW14" i="28"/>
  <c r="AX14" i="28"/>
  <c r="BB14" i="28"/>
  <c r="BE14" i="28"/>
  <c r="AZ14" i="28"/>
  <c r="BF14" i="28"/>
  <c r="BD14" i="28"/>
  <c r="AY14" i="28"/>
  <c r="BC14" i="28"/>
  <c r="AY42" i="29"/>
  <c r="AX34" i="29"/>
  <c r="AZ27" i="29"/>
  <c r="BD35" i="28"/>
  <c r="AY34" i="28"/>
  <c r="BC35" i="28"/>
  <c r="AZ42" i="29"/>
  <c r="BC42" i="29"/>
  <c r="AX24" i="28"/>
  <c r="AX41" i="28"/>
  <c r="BB21" i="28"/>
  <c r="AZ37" i="28"/>
  <c r="BD69" i="28"/>
  <c r="BC69" i="28"/>
  <c r="BF69" i="28"/>
  <c r="AX69" i="28"/>
  <c r="BE69" i="28"/>
  <c r="BA69" i="28"/>
  <c r="AZ69" i="28"/>
  <c r="BF56" i="28"/>
  <c r="AY56" i="28"/>
  <c r="BB56" i="28"/>
  <c r="AW56" i="28"/>
  <c r="BC56" i="28"/>
  <c r="BE56" i="28"/>
  <c r="AZ56" i="28"/>
  <c r="BD56" i="28"/>
  <c r="BE68" i="28"/>
  <c r="BA68" i="28"/>
  <c r="AZ68" i="28"/>
  <c r="AY68" i="28"/>
  <c r="BC68" i="28"/>
  <c r="AW68" i="28"/>
  <c r="BB68" i="28"/>
  <c r="BF68" i="28"/>
  <c r="BD68" i="28"/>
  <c r="AY71" i="28"/>
  <c r="BE71" i="28"/>
  <c r="BC71" i="28"/>
  <c r="BB71" i="28"/>
  <c r="BD71" i="28"/>
  <c r="AZ71" i="28"/>
  <c r="AX71" i="28"/>
  <c r="AW71" i="28"/>
  <c r="BA29" i="28"/>
  <c r="BD29" i="28"/>
  <c r="AX29" i="28"/>
  <c r="AW29" i="28"/>
  <c r="AY29" i="28"/>
  <c r="BC29" i="28"/>
  <c r="BB29" i="28"/>
  <c r="BF29" i="28"/>
  <c r="BE29" i="28"/>
  <c r="AW46" i="28"/>
  <c r="BC46" i="28"/>
  <c r="BF46" i="28"/>
  <c r="BB46" i="28"/>
  <c r="BA46" i="28"/>
  <c r="AY46" i="28"/>
  <c r="BE46" i="28"/>
  <c r="AX46" i="28"/>
  <c r="AZ46" i="28"/>
  <c r="BD46" i="28"/>
  <c r="BF42" i="29"/>
  <c r="BB27" i="29"/>
  <c r="BA27" i="29"/>
  <c r="BE42" i="29"/>
  <c r="AW63" i="28"/>
  <c r="BA39" i="28"/>
  <c r="BD39" i="28"/>
  <c r="BF34" i="28"/>
  <c r="BB69" i="28"/>
  <c r="J59" i="28"/>
  <c r="AV67" i="29"/>
  <c r="AL31" i="29"/>
  <c r="AS14" i="29"/>
  <c r="AQ29" i="29"/>
  <c r="AN23" i="29"/>
  <c r="AQ66" i="29"/>
  <c r="AP18" i="29"/>
  <c r="AS43" i="29"/>
  <c r="AM71" i="29"/>
  <c r="AK74" i="29"/>
  <c r="AQ45" i="29"/>
  <c r="AN48" i="29"/>
  <c r="AT52" i="29"/>
  <c r="AL43" i="29"/>
  <c r="AR36" i="29"/>
  <c r="AO74" i="29"/>
  <c r="AS67" i="29"/>
  <c r="AQ52" i="29"/>
  <c r="AU64" i="29"/>
  <c r="AQ48" i="29"/>
  <c r="AU60" i="29"/>
  <c r="AT66" i="29"/>
  <c r="AL56" i="29"/>
  <c r="AQ18" i="29"/>
  <c r="AV58" i="29"/>
  <c r="AQ72" i="29"/>
  <c r="AR17" i="29"/>
  <c r="AP47" i="29"/>
  <c r="AV71" i="29"/>
  <c r="AP28" i="29"/>
  <c r="AN61" i="29"/>
  <c r="AL70" i="29"/>
  <c r="AV64" i="29"/>
  <c r="AS54" i="29"/>
  <c r="AV43" i="29"/>
  <c r="AU70" i="29"/>
  <c r="AP71" i="29"/>
  <c r="AL58" i="29"/>
  <c r="AU59" i="29"/>
  <c r="AS18" i="29"/>
  <c r="AS48" i="29"/>
  <c r="AR39" i="29"/>
  <c r="AU18" i="29"/>
  <c r="AK67" i="29"/>
  <c r="AT64" i="29"/>
  <c r="AO66" i="29"/>
  <c r="AN58" i="29"/>
  <c r="AU66" i="29"/>
  <c r="AJ40" i="29"/>
  <c r="AR40" i="29"/>
  <c r="AV40" i="29"/>
  <c r="AL40" i="29"/>
  <c r="AO40" i="29"/>
  <c r="AT40" i="29"/>
  <c r="AQ40" i="29"/>
  <c r="AK40" i="29"/>
  <c r="AR54" i="29"/>
  <c r="AP54" i="29"/>
  <c r="AL54" i="29"/>
  <c r="AU54" i="29"/>
  <c r="AV54" i="29"/>
  <c r="AT54" i="29"/>
  <c r="AT34" i="29"/>
  <c r="AA41" i="29"/>
  <c r="AU41" i="29"/>
  <c r="AR41" i="29"/>
  <c r="AL41" i="29"/>
  <c r="AP41" i="29"/>
  <c r="AO41" i="29"/>
  <c r="AT41" i="29"/>
  <c r="AN41" i="29"/>
  <c r="AS41" i="29"/>
  <c r="T47" i="29"/>
  <c r="AN47" i="29"/>
  <c r="AV47" i="29"/>
  <c r="AK47" i="29"/>
  <c r="AQ47" i="29"/>
  <c r="AS47" i="29"/>
  <c r="AM47" i="29"/>
  <c r="AL47" i="29"/>
  <c r="AU47" i="29"/>
  <c r="P46" i="29"/>
  <c r="AO46" i="29"/>
  <c r="AQ46" i="29"/>
  <c r="AK46" i="29"/>
  <c r="AS46" i="29"/>
  <c r="AR46" i="29"/>
  <c r="AP46" i="29"/>
  <c r="Z53" i="29"/>
  <c r="AV53" i="29"/>
  <c r="AR53" i="29"/>
  <c r="AK53" i="29"/>
  <c r="AM53" i="29"/>
  <c r="AO53" i="29"/>
  <c r="AU53" i="29"/>
  <c r="AQ53" i="29"/>
  <c r="AC68" i="29"/>
  <c r="AL68" i="29"/>
  <c r="AT68" i="29"/>
  <c r="AM68" i="29"/>
  <c r="AK68" i="29"/>
  <c r="Y56" i="29"/>
  <c r="AT56" i="29"/>
  <c r="AP56" i="29"/>
  <c r="AK56" i="29"/>
  <c r="AM56" i="29"/>
  <c r="AS56" i="29"/>
  <c r="AU56" i="29"/>
  <c r="AO56" i="29"/>
  <c r="U48" i="29"/>
  <c r="AV48" i="29"/>
  <c r="AL48" i="29"/>
  <c r="AT48" i="29"/>
  <c r="AP48" i="29"/>
  <c r="AO18" i="29"/>
  <c r="AN18" i="29"/>
  <c r="AR18" i="29"/>
  <c r="AT18" i="29"/>
  <c r="AV18" i="29"/>
  <c r="AM18" i="29"/>
  <c r="AR74" i="29"/>
  <c r="AN62" i="29"/>
  <c r="AU73" i="29"/>
  <c r="AT70" i="29"/>
  <c r="AP61" i="29"/>
  <c r="AN69" i="29"/>
  <c r="AN46" i="29"/>
  <c r="AO36" i="29"/>
  <c r="AO68" i="29"/>
  <c r="AP63" i="29"/>
  <c r="AR69" i="29"/>
  <c r="AR64" i="29"/>
  <c r="AO47" i="29"/>
  <c r="AR61" i="29"/>
  <c r="AN43" i="29"/>
  <c r="AK66" i="29"/>
  <c r="AS62" i="29"/>
  <c r="AU31" i="29"/>
  <c r="AV56" i="29"/>
  <c r="AM31" i="29"/>
  <c r="AL64" i="29"/>
  <c r="AV23" i="29"/>
  <c r="AM57" i="29"/>
  <c r="AK42" i="29"/>
  <c r="AR34" i="29"/>
  <c r="AV16" i="29"/>
  <c r="AO33" i="29"/>
  <c r="AK27" i="29"/>
  <c r="AQ35" i="29"/>
  <c r="AN20" i="29"/>
  <c r="AR20" i="29"/>
  <c r="AV20" i="29"/>
  <c r="AL20" i="29"/>
  <c r="AM20" i="29"/>
  <c r="AT20" i="29"/>
  <c r="AU20" i="29"/>
  <c r="AQ20" i="29"/>
  <c r="AS20" i="29"/>
  <c r="AM49" i="29"/>
  <c r="AO49" i="29"/>
  <c r="AU49" i="29"/>
  <c r="AQ49" i="29"/>
  <c r="AP49" i="29"/>
  <c r="AN49" i="29"/>
  <c r="AH24" i="29"/>
  <c r="AK24" i="29"/>
  <c r="AS24" i="29"/>
  <c r="AO24" i="29"/>
  <c r="AN24" i="29"/>
  <c r="AR24" i="29"/>
  <c r="AV24" i="29"/>
  <c r="AT24" i="29"/>
  <c r="AU24" i="29"/>
  <c r="I33" i="29"/>
  <c r="AS33" i="29"/>
  <c r="AM33" i="29"/>
  <c r="AU33" i="29"/>
  <c r="AL33" i="29"/>
  <c r="AP33" i="29"/>
  <c r="AN33" i="29"/>
  <c r="X39" i="29"/>
  <c r="AO39" i="29"/>
  <c r="AN39" i="29"/>
  <c r="AQ39" i="29"/>
  <c r="AL39" i="29"/>
  <c r="AM39" i="29"/>
  <c r="AS39" i="29"/>
  <c r="P38" i="29"/>
  <c r="AN38" i="29"/>
  <c r="AR38" i="29"/>
  <c r="AV38" i="29"/>
  <c r="AK38" i="29"/>
  <c r="AS38" i="29"/>
  <c r="AP38" i="29"/>
  <c r="AQ38" i="29"/>
  <c r="AU38" i="29"/>
  <c r="R45" i="29"/>
  <c r="AN45" i="29"/>
  <c r="AV45" i="29"/>
  <c r="AR45" i="29"/>
  <c r="AS45" i="29"/>
  <c r="T60" i="29"/>
  <c r="AN60" i="29"/>
  <c r="AV60" i="29"/>
  <c r="AL60" i="29"/>
  <c r="AT60" i="29"/>
  <c r="AP60" i="29"/>
  <c r="AJ67" i="29"/>
  <c r="AN67" i="29"/>
  <c r="AM67" i="29"/>
  <c r="AQ67" i="29"/>
  <c r="AG74" i="29"/>
  <c r="AT74" i="29"/>
  <c r="AS74" i="29"/>
  <c r="AQ74" i="29"/>
  <c r="AP73" i="29"/>
  <c r="AK57" i="29"/>
  <c r="AM73" i="29"/>
  <c r="AK70" i="29"/>
  <c r="AR66" i="29"/>
  <c r="AR60" i="29"/>
  <c r="AS49" i="29"/>
  <c r="AP51" i="29"/>
  <c r="AO51" i="29"/>
  <c r="AM64" i="29"/>
  <c r="AR56" i="29"/>
  <c r="AN71" i="29"/>
  <c r="AS53" i="29"/>
  <c r="AL67" i="29"/>
  <c r="AT57" i="29"/>
  <c r="AT42" i="29"/>
  <c r="AQ57" i="29"/>
  <c r="AN56" i="29"/>
  <c r="AL51" i="29"/>
  <c r="AT47" i="29"/>
  <c r="AU40" i="29"/>
  <c r="AU48" i="29"/>
  <c r="AU65" i="29"/>
  <c r="AS60" i="29"/>
  <c r="AR42" i="29"/>
  <c r="AN16" i="29"/>
  <c r="AN21" i="29"/>
  <c r="AL16" i="29"/>
  <c r="AP39" i="29"/>
  <c r="AO35" i="29"/>
  <c r="R69" i="29"/>
  <c r="AU69" i="29"/>
  <c r="AP69" i="29"/>
  <c r="AT69" i="29"/>
  <c r="AD55" i="29"/>
  <c r="AK55" i="29"/>
  <c r="AQ55" i="29"/>
  <c r="AS55" i="29"/>
  <c r="AM55" i="29"/>
  <c r="AL55" i="29"/>
  <c r="AU55" i="29"/>
  <c r="AT55" i="29"/>
  <c r="AC26" i="29"/>
  <c r="AK26" i="29"/>
  <c r="AL26" i="29"/>
  <c r="AN26" i="29"/>
  <c r="AR26" i="29"/>
  <c r="AV26" i="29"/>
  <c r="AP26" i="29"/>
  <c r="AQ26" i="29"/>
  <c r="AS26" i="29"/>
  <c r="AM26" i="29"/>
  <c r="AO26" i="29"/>
  <c r="AU57" i="29"/>
  <c r="H25" i="29"/>
  <c r="AN25" i="29"/>
  <c r="AO25" i="29"/>
  <c r="AK25" i="29"/>
  <c r="AV25" i="29"/>
  <c r="AS25" i="29"/>
  <c r="AQ25" i="29"/>
  <c r="AM25" i="29"/>
  <c r="AU25" i="29"/>
  <c r="AR25" i="29"/>
  <c r="AL25" i="29"/>
  <c r="AG31" i="29"/>
  <c r="AK31" i="29"/>
  <c r="AN31" i="29"/>
  <c r="AR31" i="29"/>
  <c r="AS31" i="29"/>
  <c r="AO31" i="29"/>
  <c r="AQ31" i="29"/>
  <c r="AV31" i="29"/>
  <c r="J30" i="29"/>
  <c r="AU30" i="29"/>
  <c r="AO30" i="29"/>
  <c r="AL30" i="29"/>
  <c r="AN30" i="29"/>
  <c r="AR30" i="29"/>
  <c r="AP30" i="29"/>
  <c r="AQ30" i="29"/>
  <c r="I37" i="29"/>
  <c r="AT37" i="29"/>
  <c r="AR37" i="29"/>
  <c r="AN37" i="29"/>
  <c r="AO37" i="29"/>
  <c r="AK37" i="29"/>
  <c r="AV37" i="29"/>
  <c r="AS37" i="29"/>
  <c r="AQ37" i="29"/>
  <c r="AM37" i="29"/>
  <c r="AK52" i="29"/>
  <c r="AM52" i="29"/>
  <c r="AS52" i="29"/>
  <c r="AU52" i="29"/>
  <c r="AO52" i="29"/>
  <c r="AN52" i="29"/>
  <c r="AV52" i="29"/>
  <c r="AL52" i="29"/>
  <c r="AR59" i="29"/>
  <c r="AN59" i="29"/>
  <c r="AV59" i="29"/>
  <c r="AK59" i="29"/>
  <c r="AQ59" i="29"/>
  <c r="AM59" i="29"/>
  <c r="AS66" i="29"/>
  <c r="AP66" i="29"/>
  <c r="AL66" i="29"/>
  <c r="AQ64" i="29"/>
  <c r="AS59" i="29"/>
  <c r="AT30" i="29"/>
  <c r="AR52" i="29"/>
  <c r="AP68" i="29"/>
  <c r="AS63" i="29"/>
  <c r="AV70" i="29"/>
  <c r="AN74" i="29"/>
  <c r="AO67" i="29"/>
  <c r="AQ33" i="29"/>
  <c r="AM54" i="29"/>
  <c r="AS65" i="29"/>
  <c r="AK69" i="29"/>
  <c r="AO72" i="29"/>
  <c r="AT46" i="29"/>
  <c r="AQ65" i="29"/>
  <c r="AO48" i="29"/>
  <c r="AT59" i="29"/>
  <c r="AU39" i="29"/>
  <c r="AM48" i="29"/>
  <c r="AR67" i="29"/>
  <c r="AP50" i="29"/>
  <c r="AK60" i="29"/>
  <c r="AM40" i="29"/>
  <c r="AU36" i="29"/>
  <c r="AO21" i="29"/>
  <c r="AV30" i="29"/>
  <c r="AT25" i="29"/>
  <c r="AM30" i="29"/>
  <c r="AU26" i="29"/>
  <c r="AJ63" i="29"/>
  <c r="AU63" i="29"/>
  <c r="AR63" i="29"/>
  <c r="AL63" i="29"/>
  <c r="AO63" i="29"/>
  <c r="AN63" i="29"/>
  <c r="H27" i="29"/>
  <c r="AQ27" i="29"/>
  <c r="AN27" i="29"/>
  <c r="AL27" i="29"/>
  <c r="AP27" i="29"/>
  <c r="AT27" i="29"/>
  <c r="AM27" i="29"/>
  <c r="AR27" i="29"/>
  <c r="AS27" i="29"/>
  <c r="H19" i="29"/>
  <c r="AR19" i="29"/>
  <c r="AS19" i="29"/>
  <c r="AV19" i="29"/>
  <c r="AO19" i="29"/>
  <c r="AN19" i="29"/>
  <c r="AQ19" i="29"/>
  <c r="AP19" i="29"/>
  <c r="I17" i="29"/>
  <c r="AL17" i="29"/>
  <c r="AP17" i="29"/>
  <c r="AT17" i="29"/>
  <c r="AN17" i="29"/>
  <c r="AO17" i="29"/>
  <c r="AK17" i="29"/>
  <c r="AV17" i="29"/>
  <c r="AS17" i="29"/>
  <c r="AU17" i="29"/>
  <c r="J23" i="29"/>
  <c r="AL23" i="29"/>
  <c r="AP23" i="29"/>
  <c r="AT23" i="29"/>
  <c r="AU23" i="29"/>
  <c r="AK23" i="29"/>
  <c r="AR23" i="29"/>
  <c r="AS23" i="29"/>
  <c r="AO23" i="29"/>
  <c r="AQ23" i="29"/>
  <c r="K22" i="29"/>
  <c r="AP22" i="29"/>
  <c r="AQ22" i="29"/>
  <c r="AK22" i="29"/>
  <c r="AS22" i="29"/>
  <c r="AM22" i="29"/>
  <c r="AU22" i="29"/>
  <c r="AT22" i="29"/>
  <c r="AO22" i="29"/>
  <c r="AL22" i="29"/>
  <c r="AN22" i="29"/>
  <c r="I29" i="29"/>
  <c r="AL29" i="29"/>
  <c r="AP29" i="29"/>
  <c r="AR29" i="29"/>
  <c r="AT29" i="29"/>
  <c r="AN29" i="29"/>
  <c r="AO29" i="29"/>
  <c r="AK29" i="29"/>
  <c r="AV29" i="29"/>
  <c r="AM29" i="29"/>
  <c r="AP44" i="29"/>
  <c r="AK44" i="29"/>
  <c r="AM44" i="29"/>
  <c r="AS44" i="29"/>
  <c r="AU44" i="29"/>
  <c r="AO44" i="29"/>
  <c r="AN44" i="29"/>
  <c r="AQ44" i="29"/>
  <c r="AR44" i="29"/>
  <c r="AC51" i="29"/>
  <c r="AT51" i="29"/>
  <c r="AR51" i="29"/>
  <c r="AN51" i="29"/>
  <c r="AV51" i="29"/>
  <c r="AG58" i="29"/>
  <c r="AO58" i="29"/>
  <c r="AQ58" i="29"/>
  <c r="AK58" i="29"/>
  <c r="AS58" i="29"/>
  <c r="AR58" i="29"/>
  <c r="AV68" i="29"/>
  <c r="AS61" i="29"/>
  <c r="AS72" i="29"/>
  <c r="AO69" i="29"/>
  <c r="AM58" i="29"/>
  <c r="AU46" i="29"/>
  <c r="AS30" i="29"/>
  <c r="AO71" i="29"/>
  <c r="AT53" i="29"/>
  <c r="AK39" i="29"/>
  <c r="AV66" i="29"/>
  <c r="AU68" i="29"/>
  <c r="AU50" i="29"/>
  <c r="AU27" i="29"/>
  <c r="AM74" i="29"/>
  <c r="AL53" i="29"/>
  <c r="AP20" i="29"/>
  <c r="AT45" i="29"/>
  <c r="AL74" i="29"/>
  <c r="AN68" i="29"/>
  <c r="AP64" i="29"/>
  <c r="AV55" i="29"/>
  <c r="AL46" i="29"/>
  <c r="AP24" i="29"/>
  <c r="AL59" i="29"/>
  <c r="AT38" i="29"/>
  <c r="AL18" i="29"/>
  <c r="AS51" i="29"/>
  <c r="AP42" i="29"/>
  <c r="AP58" i="29"/>
  <c r="AS68" i="29"/>
  <c r="AM19" i="29"/>
  <c r="AP37" i="29"/>
  <c r="AV28" i="29"/>
  <c r="AL19" i="29"/>
  <c r="AM36" i="29"/>
  <c r="AV41" i="29"/>
  <c r="AO38" i="29"/>
  <c r="AM17" i="29"/>
  <c r="AE57" i="29"/>
  <c r="AP57" i="29"/>
  <c r="AN57" i="29"/>
  <c r="AV57" i="29"/>
  <c r="AR57" i="29"/>
  <c r="AH34" i="29"/>
  <c r="AV34" i="29"/>
  <c r="AK34" i="29"/>
  <c r="AP34" i="29"/>
  <c r="AQ34" i="29"/>
  <c r="AS34" i="29"/>
  <c r="AM34" i="29"/>
  <c r="AL34" i="29"/>
  <c r="AU34" i="29"/>
  <c r="AO34" i="29"/>
  <c r="AM63" i="29"/>
  <c r="R72" i="29"/>
  <c r="AP72" i="29"/>
  <c r="AN54" i="29"/>
  <c r="AS69" i="29"/>
  <c r="AK54" i="29"/>
  <c r="L73" i="29"/>
  <c r="AQ73" i="29"/>
  <c r="AV73" i="29"/>
  <c r="AS73" i="29"/>
  <c r="AN73" i="29"/>
  <c r="AO73" i="29"/>
  <c r="L32" i="29"/>
  <c r="AN32" i="29"/>
  <c r="AR32" i="29"/>
  <c r="AV32" i="29"/>
  <c r="AL32" i="29"/>
  <c r="AM32" i="29"/>
  <c r="AP32" i="29"/>
  <c r="AT32" i="29"/>
  <c r="AU32" i="29"/>
  <c r="AK32" i="29"/>
  <c r="J15" i="29"/>
  <c r="AQ15" i="29"/>
  <c r="AV15" i="29"/>
  <c r="AL15" i="29"/>
  <c r="AP15" i="29"/>
  <c r="AT15" i="29"/>
  <c r="AM15" i="29"/>
  <c r="AK15" i="29"/>
  <c r="AU15" i="29"/>
  <c r="AO15" i="29"/>
  <c r="AN14" i="29"/>
  <c r="AR14" i="29"/>
  <c r="AL14" i="29"/>
  <c r="AV14" i="29"/>
  <c r="AP14" i="29"/>
  <c r="AQ14" i="29"/>
  <c r="AM14" i="29"/>
  <c r="AK14" i="29"/>
  <c r="AU14" i="29"/>
  <c r="I21" i="29"/>
  <c r="AM21" i="29"/>
  <c r="AQ21" i="29"/>
  <c r="AU21" i="29"/>
  <c r="AL21" i="29"/>
  <c r="AP21" i="29"/>
  <c r="AT21" i="29"/>
  <c r="AK21" i="29"/>
  <c r="AV21" i="29"/>
  <c r="I36" i="29"/>
  <c r="AQ36" i="29"/>
  <c r="AK36" i="29"/>
  <c r="AS36" i="29"/>
  <c r="AN36" i="29"/>
  <c r="AP36" i="29"/>
  <c r="AL36" i="29"/>
  <c r="N43" i="29"/>
  <c r="AP43" i="29"/>
  <c r="AT43" i="29"/>
  <c r="AU43" i="29"/>
  <c r="AM43" i="29"/>
  <c r="AK43" i="29"/>
  <c r="AO43" i="29"/>
  <c r="AF50" i="29"/>
  <c r="AL50" i="29"/>
  <c r="AM50" i="29"/>
  <c r="AN50" i="29"/>
  <c r="AT50" i="29"/>
  <c r="AO50" i="29"/>
  <c r="AQ50" i="29"/>
  <c r="AK50" i="29"/>
  <c r="AS50" i="29"/>
  <c r="AO65" i="29"/>
  <c r="AM72" i="29"/>
  <c r="AP55" i="29"/>
  <c r="AK72" i="29"/>
  <c r="AK45" i="29"/>
  <c r="AN72" i="29"/>
  <c r="AP74" i="29"/>
  <c r="AV46" i="29"/>
  <c r="AP67" i="29"/>
  <c r="AR33" i="29"/>
  <c r="AT67" i="29"/>
  <c r="AU74" i="29"/>
  <c r="AN66" i="29"/>
  <c r="AM60" i="29"/>
  <c r="AK49" i="29"/>
  <c r="AR48" i="29"/>
  <c r="AR73" i="29"/>
  <c r="AT14" i="29"/>
  <c r="AU72" i="29"/>
  <c r="AS57" i="29"/>
  <c r="AN55" i="29"/>
  <c r="AO60" i="29"/>
  <c r="AU51" i="29"/>
  <c r="AV39" i="29"/>
  <c r="AK51" i="29"/>
  <c r="AQ41" i="29"/>
  <c r="AN53" i="29"/>
  <c r="AV49" i="29"/>
  <c r="AT44" i="29"/>
  <c r="AQ63" i="29"/>
  <c r="AU45" i="29"/>
  <c r="AL24" i="29"/>
  <c r="AL37" i="29"/>
  <c r="AT33" i="29"/>
  <c r="AM38" i="29"/>
  <c r="AK33" i="29"/>
  <c r="AS29" i="29"/>
  <c r="AP62" i="29"/>
  <c r="AQ62" i="29"/>
  <c r="AL62" i="29"/>
  <c r="AT62" i="29"/>
  <c r="AR62" i="29"/>
  <c r="AM62" i="29"/>
  <c r="AO62" i="29"/>
  <c r="AK62" i="29"/>
  <c r="AL69" i="29"/>
  <c r="AK61" i="29"/>
  <c r="AM61" i="29"/>
  <c r="AU61" i="29"/>
  <c r="AQ61" i="29"/>
  <c r="AS40" i="29"/>
  <c r="AN65" i="29"/>
  <c r="AV65" i="29"/>
  <c r="AR65" i="29"/>
  <c r="AM65" i="29"/>
  <c r="AK65" i="29"/>
  <c r="AU71" i="29"/>
  <c r="AS71" i="29"/>
  <c r="AK71" i="29"/>
  <c r="AT71" i="29"/>
  <c r="I70" i="29"/>
  <c r="AP70" i="29"/>
  <c r="AO70" i="29"/>
  <c r="AQ70" i="29"/>
  <c r="I16" i="29"/>
  <c r="AT16" i="29"/>
  <c r="AU16" i="29"/>
  <c r="AP16" i="29"/>
  <c r="AQ16" i="29"/>
  <c r="AK16" i="29"/>
  <c r="AS16" i="29"/>
  <c r="AO16" i="29"/>
  <c r="AR16" i="29"/>
  <c r="AG64" i="29"/>
  <c r="AK64" i="29"/>
  <c r="AS64" i="29"/>
  <c r="AO64" i="29"/>
  <c r="I28" i="29"/>
  <c r="AL28" i="29"/>
  <c r="AM28" i="29"/>
  <c r="AT28" i="29"/>
  <c r="AU28" i="29"/>
  <c r="AQ28" i="29"/>
  <c r="AK28" i="29"/>
  <c r="AS28" i="29"/>
  <c r="AO28" i="29"/>
  <c r="AE35" i="29"/>
  <c r="AL35" i="29"/>
  <c r="AM35" i="29"/>
  <c r="AU35" i="29"/>
  <c r="AP35" i="29"/>
  <c r="AT35" i="29"/>
  <c r="AK35" i="29"/>
  <c r="AV35" i="29"/>
  <c r="AR35" i="29"/>
  <c r="AS35" i="29"/>
  <c r="AM42" i="29"/>
  <c r="AS42" i="29"/>
  <c r="AU42" i="29"/>
  <c r="AQ42" i="29"/>
  <c r="AO42" i="29"/>
  <c r="AL42" i="29"/>
  <c r="AV42" i="29"/>
  <c r="AM70" i="29"/>
  <c r="AL72" i="29"/>
  <c r="AT49" i="29"/>
  <c r="AQ68" i="29"/>
  <c r="AT63" i="29"/>
  <c r="AO55" i="29"/>
  <c r="AR43" i="29"/>
  <c r="AN70" i="29"/>
  <c r="AQ69" i="29"/>
  <c r="AL45" i="29"/>
  <c r="AS70" i="29"/>
  <c r="AO61" i="29"/>
  <c r="AV50" i="29"/>
  <c r="AV27" i="29"/>
  <c r="AL57" i="29"/>
  <c r="AT61" i="29"/>
  <c r="AK73" i="29"/>
  <c r="AV69" i="29"/>
  <c r="AT65" i="29"/>
  <c r="AO59" i="29"/>
  <c r="AR71" i="29"/>
  <c r="AU62" i="29"/>
  <c r="AV72" i="29"/>
  <c r="AT72" i="29"/>
  <c r="AT73" i="29"/>
  <c r="AP65" i="29"/>
  <c r="AO20" i="29"/>
  <c r="AV63" i="29"/>
  <c r="AT58" i="29"/>
  <c r="AR49" i="29"/>
  <c r="AR21" i="29"/>
  <c r="AM51" i="29"/>
  <c r="AP45" i="29"/>
  <c r="AN15" i="29"/>
  <c r="AP40" i="29"/>
  <c r="AU19" i="29"/>
  <c r="AV61" i="29"/>
  <c r="AL44" i="29"/>
  <c r="AQ71" i="29"/>
  <c r="AO54" i="29"/>
  <c r="AM45" i="29"/>
  <c r="AO32" i="29"/>
  <c r="AN40" i="29"/>
  <c r="AV36" i="29"/>
  <c r="AT31" i="29"/>
  <c r="AR22" i="29"/>
  <c r="AM24" i="29"/>
  <c r="AK19" i="29"/>
  <c r="AS15" i="29"/>
  <c r="AM41" i="29"/>
  <c r="AU37" i="29"/>
  <c r="AS32" i="29"/>
  <c r="AR28" i="29"/>
  <c r="AQ24" i="29"/>
  <c r="AK62" i="28"/>
  <c r="AR62" i="28"/>
  <c r="AV62" i="28"/>
  <c r="AP62" i="28"/>
  <c r="AQ62" i="28"/>
  <c r="AN62" i="28"/>
  <c r="AT62" i="28"/>
  <c r="AL62" i="28"/>
  <c r="AU62" i="28"/>
  <c r="AS62" i="28"/>
  <c r="AO62" i="28"/>
  <c r="AM62" i="28"/>
  <c r="AF42" i="28"/>
  <c r="AQ42" i="28"/>
  <c r="AU42" i="28"/>
  <c r="AS42" i="28"/>
  <c r="AV42" i="28"/>
  <c r="AP42" i="28"/>
  <c r="AN42" i="28"/>
  <c r="AO42" i="28"/>
  <c r="AR42" i="28"/>
  <c r="AT42" i="28"/>
  <c r="AM42" i="28"/>
  <c r="AK42" i="28"/>
  <c r="AL42" i="28"/>
  <c r="AR73" i="28"/>
  <c r="AM73" i="28"/>
  <c r="AQ73" i="28"/>
  <c r="AN73" i="28"/>
  <c r="AO73" i="28"/>
  <c r="AK73" i="28"/>
  <c r="AU73" i="28"/>
  <c r="AL73" i="28"/>
  <c r="AS73" i="28"/>
  <c r="AT73" i="28"/>
  <c r="AV73" i="28"/>
  <c r="AP73" i="28"/>
  <c r="AM69" i="28"/>
  <c r="AR69" i="28"/>
  <c r="AV69" i="28"/>
  <c r="AU69" i="28"/>
  <c r="AP69" i="28"/>
  <c r="AT69" i="28"/>
  <c r="AO69" i="28"/>
  <c r="AK69" i="28"/>
  <c r="AN69" i="28"/>
  <c r="AQ69" i="28"/>
  <c r="AS69" i="28"/>
  <c r="AL69" i="28"/>
  <c r="AA56" i="28"/>
  <c r="AU56" i="28"/>
  <c r="AM56" i="28"/>
  <c r="AS56" i="28"/>
  <c r="AK56" i="28"/>
  <c r="AT56" i="28"/>
  <c r="AV56" i="28"/>
  <c r="AP56" i="28"/>
  <c r="AQ56" i="28"/>
  <c r="AN56" i="28"/>
  <c r="AR56" i="28"/>
  <c r="AL56" i="28"/>
  <c r="AO56" i="28"/>
  <c r="AM68" i="28"/>
  <c r="AU68" i="28"/>
  <c r="AS68" i="28"/>
  <c r="AL68" i="28"/>
  <c r="AO68" i="28"/>
  <c r="AR68" i="28"/>
  <c r="AV68" i="28"/>
  <c r="AP68" i="28"/>
  <c r="AQ68" i="28"/>
  <c r="AK68" i="28"/>
  <c r="AT68" i="28"/>
  <c r="AN68" i="28"/>
  <c r="AU71" i="28"/>
  <c r="AS71" i="28"/>
  <c r="AL71" i="28"/>
  <c r="AN71" i="28"/>
  <c r="AV71" i="28"/>
  <c r="AP71" i="28"/>
  <c r="AQ71" i="28"/>
  <c r="AR71" i="28"/>
  <c r="AT71" i="28"/>
  <c r="AM71" i="28"/>
  <c r="AK71" i="28"/>
  <c r="AO71" i="28"/>
  <c r="AP29" i="28"/>
  <c r="AM29" i="28"/>
  <c r="AU29" i="28"/>
  <c r="AS29" i="28"/>
  <c r="AR29" i="28"/>
  <c r="AN29" i="28"/>
  <c r="AT29" i="28"/>
  <c r="AV29" i="28"/>
  <c r="AK29" i="28"/>
  <c r="AL29" i="28"/>
  <c r="AO29" i="28"/>
  <c r="AQ29" i="28"/>
  <c r="AJ46" i="28"/>
  <c r="AQ46" i="28"/>
  <c r="AT46" i="28"/>
  <c r="AU46" i="28"/>
  <c r="AK46" i="28"/>
  <c r="AN46" i="28"/>
  <c r="AP46" i="28"/>
  <c r="AS46" i="28"/>
  <c r="AV46" i="28"/>
  <c r="AO46" i="28"/>
  <c r="AR46" i="28"/>
  <c r="AM46" i="28"/>
  <c r="AL46" i="28"/>
  <c r="AT61" i="28"/>
  <c r="AK61" i="28"/>
  <c r="AL61" i="28"/>
  <c r="AN61" i="28"/>
  <c r="AR61" i="28"/>
  <c r="AP61" i="28"/>
  <c r="AO61" i="28"/>
  <c r="AU61" i="28"/>
  <c r="AM61" i="28"/>
  <c r="AV61" i="28"/>
  <c r="AS61" i="28"/>
  <c r="AQ61" i="28"/>
  <c r="AB18" i="28"/>
  <c r="AQ18" i="28"/>
  <c r="AV18" i="28"/>
  <c r="AU18" i="28"/>
  <c r="AL18" i="28"/>
  <c r="AN18" i="28"/>
  <c r="AK18" i="28"/>
  <c r="AP18" i="28"/>
  <c r="AT18" i="28"/>
  <c r="AS18" i="28"/>
  <c r="AR18" i="28"/>
  <c r="AM18" i="28"/>
  <c r="AO18" i="28"/>
  <c r="AP53" i="28"/>
  <c r="AK53" i="28"/>
  <c r="AR53" i="28"/>
  <c r="AQ53" i="28"/>
  <c r="AO53" i="28"/>
  <c r="AU53" i="28"/>
  <c r="AN53" i="28"/>
  <c r="AT53" i="28"/>
  <c r="AV53" i="28"/>
  <c r="AS53" i="28"/>
  <c r="AL53" i="28"/>
  <c r="AM53" i="28"/>
  <c r="AP21" i="28"/>
  <c r="AV21" i="28"/>
  <c r="AS21" i="28"/>
  <c r="AL21" i="28"/>
  <c r="AR21" i="28"/>
  <c r="AM21" i="28"/>
  <c r="AO21" i="28"/>
  <c r="AK21" i="28"/>
  <c r="AN21" i="28"/>
  <c r="AQ21" i="28"/>
  <c r="AT21" i="28"/>
  <c r="AU21" i="28"/>
  <c r="AK65" i="28"/>
  <c r="AV65" i="28"/>
  <c r="AP65" i="28"/>
  <c r="AT65" i="28"/>
  <c r="AL65" i="28"/>
  <c r="AM65" i="28"/>
  <c r="AO65" i="28"/>
  <c r="AU65" i="28"/>
  <c r="AN65" i="28"/>
  <c r="AR65" i="28"/>
  <c r="AS65" i="28"/>
  <c r="AQ65" i="28"/>
  <c r="AP37" i="28"/>
  <c r="AO37" i="28"/>
  <c r="AK37" i="28"/>
  <c r="AT37" i="28"/>
  <c r="AV37" i="28"/>
  <c r="AN37" i="28"/>
  <c r="AL37" i="28"/>
  <c r="AR37" i="28"/>
  <c r="AM37" i="28"/>
  <c r="AU37" i="28"/>
  <c r="AS37" i="28"/>
  <c r="AQ37" i="28"/>
  <c r="AV48" i="28"/>
  <c r="AM48" i="28"/>
  <c r="AL48" i="28"/>
  <c r="AT48" i="28"/>
  <c r="AR48" i="28"/>
  <c r="AO48" i="28"/>
  <c r="AK48" i="28"/>
  <c r="AS48" i="28"/>
  <c r="AQ48" i="28"/>
  <c r="AU48" i="28"/>
  <c r="AN48" i="28"/>
  <c r="AP48" i="28"/>
  <c r="AK44" i="28"/>
  <c r="AR44" i="28"/>
  <c r="AS44" i="28"/>
  <c r="AQ44" i="28"/>
  <c r="AT44" i="28"/>
  <c r="AL44" i="28"/>
  <c r="AO44" i="28"/>
  <c r="AU44" i="28"/>
  <c r="AV44" i="28"/>
  <c r="AM44" i="28"/>
  <c r="AN44" i="28"/>
  <c r="AP44" i="28"/>
  <c r="AM63" i="28"/>
  <c r="AS63" i="28"/>
  <c r="AT63" i="28"/>
  <c r="AN63" i="28"/>
  <c r="AO63" i="28"/>
  <c r="AL63" i="28"/>
  <c r="AV63" i="28"/>
  <c r="AP63" i="28"/>
  <c r="AQ63" i="28"/>
  <c r="AR63" i="28"/>
  <c r="AK63" i="28"/>
  <c r="AU63" i="28"/>
  <c r="AR28" i="28"/>
  <c r="AT28" i="28"/>
  <c r="AV28" i="28"/>
  <c r="AM28" i="28"/>
  <c r="AL28" i="28"/>
  <c r="AK28" i="28"/>
  <c r="AS28" i="28"/>
  <c r="AO28" i="28"/>
  <c r="AQ28" i="28"/>
  <c r="AU28" i="28"/>
  <c r="AN28" i="28"/>
  <c r="AP28" i="28"/>
  <c r="AQ38" i="28"/>
  <c r="AM38" i="28"/>
  <c r="AU38" i="28"/>
  <c r="AK38" i="28"/>
  <c r="AL38" i="28"/>
  <c r="AP38" i="28"/>
  <c r="AT38" i="28"/>
  <c r="AN38" i="28"/>
  <c r="AO38" i="28"/>
  <c r="AV38" i="28"/>
  <c r="AR38" i="28"/>
  <c r="AS38" i="28"/>
  <c r="AA72" i="28"/>
  <c r="AO72" i="28"/>
  <c r="AK72" i="28"/>
  <c r="AT72" i="28"/>
  <c r="AU72" i="28"/>
  <c r="AM72" i="28"/>
  <c r="AS72" i="28"/>
  <c r="AL72" i="28"/>
  <c r="AV72" i="28"/>
  <c r="AP72" i="28"/>
  <c r="AQ72" i="28"/>
  <c r="AR72" i="28"/>
  <c r="AN72" i="28"/>
  <c r="AK64" i="28"/>
  <c r="AU64" i="28"/>
  <c r="AR64" i="28"/>
  <c r="AT64" i="28"/>
  <c r="AL64" i="28"/>
  <c r="AM64" i="28"/>
  <c r="AS64" i="28"/>
  <c r="AO64" i="28"/>
  <c r="AV64" i="28"/>
  <c r="AP64" i="28"/>
  <c r="AQ64" i="28"/>
  <c r="AN64" i="28"/>
  <c r="AU52" i="28"/>
  <c r="AL52" i="28"/>
  <c r="AO52" i="28"/>
  <c r="AN52" i="28"/>
  <c r="AM52" i="28"/>
  <c r="AS52" i="28"/>
  <c r="AK52" i="28"/>
  <c r="AR52" i="28"/>
  <c r="AT52" i="28"/>
  <c r="AV52" i="28"/>
  <c r="AQ52" i="28"/>
  <c r="AP52" i="28"/>
  <c r="AR57" i="28"/>
  <c r="AV57" i="28"/>
  <c r="AM57" i="28"/>
  <c r="AO57" i="28"/>
  <c r="AU57" i="28"/>
  <c r="AQ57" i="28"/>
  <c r="AK57" i="28"/>
  <c r="AN57" i="28"/>
  <c r="AP57" i="28"/>
  <c r="AS57" i="28"/>
  <c r="AL57" i="28"/>
  <c r="AT57" i="28"/>
  <c r="AK60" i="28"/>
  <c r="AU60" i="28"/>
  <c r="AT60" i="28"/>
  <c r="AL60" i="28"/>
  <c r="AO60" i="28"/>
  <c r="AS60" i="28"/>
  <c r="AM60" i="28"/>
  <c r="AR60" i="28"/>
  <c r="AV60" i="28"/>
  <c r="AP60" i="28"/>
  <c r="AQ60" i="28"/>
  <c r="AN60" i="28"/>
  <c r="AR40" i="28"/>
  <c r="AK40" i="28"/>
  <c r="AT40" i="28"/>
  <c r="AV40" i="28"/>
  <c r="AL40" i="28"/>
  <c r="AQ40" i="28"/>
  <c r="AS40" i="28"/>
  <c r="AO40" i="28"/>
  <c r="AN40" i="28"/>
  <c r="AU40" i="28"/>
  <c r="AM40" i="28"/>
  <c r="AP40" i="28"/>
  <c r="AL67" i="28"/>
  <c r="AS67" i="28"/>
  <c r="AO67" i="28"/>
  <c r="AN67" i="28"/>
  <c r="AV67" i="28"/>
  <c r="AP67" i="28"/>
  <c r="AQ67" i="28"/>
  <c r="AT67" i="28"/>
  <c r="AU67" i="28"/>
  <c r="AM67" i="28"/>
  <c r="AR67" i="28"/>
  <c r="AK67" i="28"/>
  <c r="AS55" i="28"/>
  <c r="AU55" i="28"/>
  <c r="AR55" i="28"/>
  <c r="AV55" i="28"/>
  <c r="AP55" i="28"/>
  <c r="AQ55" i="28"/>
  <c r="AM55" i="28"/>
  <c r="AO55" i="28"/>
  <c r="AN55" i="28"/>
  <c r="AL55" i="28"/>
  <c r="AT55" i="28"/>
  <c r="AK55" i="28"/>
  <c r="AS59" i="28"/>
  <c r="AR59" i="28"/>
  <c r="AO59" i="28"/>
  <c r="AU59" i="28"/>
  <c r="AV59" i="28"/>
  <c r="AP59" i="28"/>
  <c r="AQ59" i="28"/>
  <c r="AM59" i="28"/>
  <c r="AN59" i="28"/>
  <c r="AL59" i="28"/>
  <c r="AT59" i="28"/>
  <c r="AK59" i="28"/>
  <c r="AQ30" i="28"/>
  <c r="AS30" i="28"/>
  <c r="AV30" i="28"/>
  <c r="AU30" i="28"/>
  <c r="AP30" i="28"/>
  <c r="AL30" i="28"/>
  <c r="AT30" i="28"/>
  <c r="AN30" i="28"/>
  <c r="AK30" i="28"/>
  <c r="AR30" i="28"/>
  <c r="AO30" i="28"/>
  <c r="AM30" i="28"/>
  <c r="AQ50" i="28"/>
  <c r="AN50" i="28"/>
  <c r="AU50" i="28"/>
  <c r="AO50" i="28"/>
  <c r="AP50" i="28"/>
  <c r="AM50" i="28"/>
  <c r="AT50" i="28"/>
  <c r="AK50" i="28"/>
  <c r="AL50" i="28"/>
  <c r="AR50" i="28"/>
  <c r="AS50" i="28"/>
  <c r="AV50" i="28"/>
  <c r="AP45" i="28"/>
  <c r="AT45" i="28"/>
  <c r="AV45" i="28"/>
  <c r="AL45" i="28"/>
  <c r="AR45" i="28"/>
  <c r="AS45" i="28"/>
  <c r="AM45" i="28"/>
  <c r="AK45" i="28"/>
  <c r="AO45" i="28"/>
  <c r="AQ45" i="28"/>
  <c r="AU45" i="28"/>
  <c r="AN45" i="28"/>
  <c r="AK36" i="28"/>
  <c r="AM36" i="28"/>
  <c r="AN36" i="28"/>
  <c r="AV36" i="28"/>
  <c r="AR36" i="28"/>
  <c r="AS36" i="28"/>
  <c r="AO36" i="28"/>
  <c r="AQ36" i="28"/>
  <c r="AL36" i="28"/>
  <c r="AU36" i="28"/>
  <c r="AT36" i="28"/>
  <c r="AP36" i="28"/>
  <c r="AP49" i="28"/>
  <c r="AL49" i="28"/>
  <c r="AO49" i="28"/>
  <c r="AK49" i="28"/>
  <c r="AN49" i="28"/>
  <c r="AR49" i="28"/>
  <c r="AT49" i="28"/>
  <c r="AV49" i="28"/>
  <c r="AM49" i="28"/>
  <c r="AU49" i="28"/>
  <c r="AQ49" i="28"/>
  <c r="AS49" i="28"/>
  <c r="AM20" i="28"/>
  <c r="AR20" i="28"/>
  <c r="AO20" i="28"/>
  <c r="AL20" i="28"/>
  <c r="AN20" i="28"/>
  <c r="AT20" i="28"/>
  <c r="AV20" i="28"/>
  <c r="AQ20" i="28"/>
  <c r="AU20" i="28"/>
  <c r="AS20" i="28"/>
  <c r="AP20" i="28"/>
  <c r="AK20" i="28"/>
  <c r="AN32" i="28"/>
  <c r="AR32" i="28"/>
  <c r="AQ32" i="28"/>
  <c r="AT32" i="28"/>
  <c r="AV32" i="28"/>
  <c r="AU32" i="28"/>
  <c r="AM32" i="28"/>
  <c r="AL32" i="28"/>
  <c r="AP32" i="28"/>
  <c r="AO32" i="28"/>
  <c r="AS32" i="28"/>
  <c r="AK32" i="28"/>
  <c r="AV51" i="28"/>
  <c r="AL51" i="28"/>
  <c r="AO51" i="28"/>
  <c r="AQ51" i="28"/>
  <c r="AS51" i="28"/>
  <c r="AM51" i="28"/>
  <c r="AN51" i="28"/>
  <c r="AR51" i="28"/>
  <c r="AU51" i="28"/>
  <c r="AP51" i="28"/>
  <c r="AT51" i="28"/>
  <c r="AK51" i="28"/>
  <c r="AL47" i="28"/>
  <c r="AN47" i="28"/>
  <c r="AS47" i="28"/>
  <c r="AQ47" i="28"/>
  <c r="AU47" i="28"/>
  <c r="AP47" i="28"/>
  <c r="AK47" i="28"/>
  <c r="AT47" i="28"/>
  <c r="AM47" i="28"/>
  <c r="AV47" i="28"/>
  <c r="AO47" i="28"/>
  <c r="AR47" i="28"/>
  <c r="AL35" i="28"/>
  <c r="AK35" i="28"/>
  <c r="AO35" i="28"/>
  <c r="AT35" i="28"/>
  <c r="AR35" i="28"/>
  <c r="AQ35" i="28"/>
  <c r="AU35" i="28"/>
  <c r="AP35" i="28"/>
  <c r="AV35" i="28"/>
  <c r="AN35" i="28"/>
  <c r="AS35" i="28"/>
  <c r="AM35" i="28"/>
  <c r="AQ22" i="28"/>
  <c r="AL22" i="28"/>
  <c r="AK22" i="28"/>
  <c r="AU22" i="28"/>
  <c r="AP22" i="28"/>
  <c r="AS22" i="28"/>
  <c r="AV22" i="28"/>
  <c r="AM22" i="28"/>
  <c r="AO22" i="28"/>
  <c r="AN22" i="28"/>
  <c r="AR22" i="28"/>
  <c r="AT22" i="28"/>
  <c r="AI58" i="28"/>
  <c r="AT58" i="28"/>
  <c r="AV58" i="28"/>
  <c r="AP58" i="28"/>
  <c r="AQ58" i="28"/>
  <c r="AK58" i="28"/>
  <c r="AL58" i="28"/>
  <c r="AR58" i="28"/>
  <c r="AS58" i="28"/>
  <c r="AM58" i="28"/>
  <c r="AU58" i="28"/>
  <c r="AN58" i="28"/>
  <c r="AO58" i="28"/>
  <c r="AP17" i="28"/>
  <c r="AK17" i="28"/>
  <c r="AN17" i="28"/>
  <c r="AR17" i="28"/>
  <c r="AT17" i="28"/>
  <c r="AV17" i="28"/>
  <c r="AO17" i="28"/>
  <c r="AL17" i="28"/>
  <c r="AM17" i="28"/>
  <c r="AU17" i="28"/>
  <c r="AQ17" i="28"/>
  <c r="AS17" i="28"/>
  <c r="AT15" i="28"/>
  <c r="AM15" i="28"/>
  <c r="AQ15" i="28"/>
  <c r="AU15" i="28"/>
  <c r="AL15" i="28"/>
  <c r="AP15" i="28"/>
  <c r="AN15" i="28"/>
  <c r="AO15" i="28"/>
  <c r="AR15" i="28"/>
  <c r="AK15" i="28"/>
  <c r="AV15" i="28"/>
  <c r="AS15" i="28"/>
  <c r="AS27" i="28"/>
  <c r="AT27" i="28"/>
  <c r="AQ27" i="28"/>
  <c r="AK27" i="28"/>
  <c r="AN27" i="28"/>
  <c r="AR27" i="28"/>
  <c r="AU27" i="28"/>
  <c r="AL27" i="28"/>
  <c r="AM27" i="28"/>
  <c r="AP27" i="28"/>
  <c r="AO27" i="28"/>
  <c r="AV27" i="28"/>
  <c r="AP41" i="28"/>
  <c r="AS41" i="28"/>
  <c r="AK41" i="28"/>
  <c r="AN41" i="28"/>
  <c r="AR41" i="28"/>
  <c r="AL41" i="28"/>
  <c r="AM41" i="28"/>
  <c r="AO41" i="28"/>
  <c r="AT41" i="28"/>
  <c r="AV41" i="28"/>
  <c r="AU41" i="28"/>
  <c r="AQ41" i="28"/>
  <c r="AV19" i="28"/>
  <c r="AT19" i="28"/>
  <c r="AQ19" i="28"/>
  <c r="AO19" i="28"/>
  <c r="AS19" i="28"/>
  <c r="AN19" i="28"/>
  <c r="AU19" i="28"/>
  <c r="AL19" i="28"/>
  <c r="AP19" i="28"/>
  <c r="AM19" i="28"/>
  <c r="AK19" i="28"/>
  <c r="AR19" i="28"/>
  <c r="AS24" i="28"/>
  <c r="AR24" i="28"/>
  <c r="AO24" i="28"/>
  <c r="AM24" i="28"/>
  <c r="AL24" i="28"/>
  <c r="AN24" i="28"/>
  <c r="AT24" i="28"/>
  <c r="AK24" i="28"/>
  <c r="AV24" i="28"/>
  <c r="AQ24" i="28"/>
  <c r="AU24" i="28"/>
  <c r="AP24" i="28"/>
  <c r="AL43" i="28"/>
  <c r="AT43" i="28"/>
  <c r="AQ43" i="28"/>
  <c r="AV43" i="28"/>
  <c r="AU43" i="28"/>
  <c r="AP43" i="28"/>
  <c r="AS43" i="28"/>
  <c r="AN43" i="28"/>
  <c r="AK43" i="28"/>
  <c r="AM43" i="28"/>
  <c r="AR43" i="28"/>
  <c r="AO43" i="28"/>
  <c r="AS39" i="28"/>
  <c r="AM39" i="28"/>
  <c r="AQ39" i="28"/>
  <c r="AT39" i="28"/>
  <c r="AN39" i="28"/>
  <c r="AO39" i="28"/>
  <c r="AU39" i="28"/>
  <c r="AL39" i="28"/>
  <c r="AP39" i="28"/>
  <c r="AK39" i="28"/>
  <c r="AV39" i="28"/>
  <c r="AR39" i="28"/>
  <c r="AQ34" i="28"/>
  <c r="AK34" i="28"/>
  <c r="AL34" i="28"/>
  <c r="AU34" i="28"/>
  <c r="AN34" i="28"/>
  <c r="AO34" i="28"/>
  <c r="AP34" i="28"/>
  <c r="AS34" i="28"/>
  <c r="AV34" i="28"/>
  <c r="AM34" i="28"/>
  <c r="AR34" i="28"/>
  <c r="AT34" i="28"/>
  <c r="AQ14" i="28"/>
  <c r="AT14" i="28"/>
  <c r="AU14" i="28"/>
  <c r="AN14" i="28"/>
  <c r="AM14" i="28"/>
  <c r="AP14" i="28"/>
  <c r="AK14" i="28"/>
  <c r="AL14" i="28"/>
  <c r="AS14" i="28"/>
  <c r="AV14" i="28"/>
  <c r="AR14" i="28"/>
  <c r="AO14" i="28"/>
  <c r="AP25" i="28"/>
  <c r="AO25" i="28"/>
  <c r="AT25" i="28"/>
  <c r="AV25" i="28"/>
  <c r="AN25" i="28"/>
  <c r="AM25" i="28"/>
  <c r="AL25" i="28"/>
  <c r="AR25" i="28"/>
  <c r="AU25" i="28"/>
  <c r="AS25" i="28"/>
  <c r="AK25" i="28"/>
  <c r="AQ25" i="28"/>
  <c r="AL23" i="28"/>
  <c r="AO23" i="28"/>
  <c r="AQ23" i="28"/>
  <c r="AU23" i="28"/>
  <c r="AV23" i="28"/>
  <c r="AR23" i="28"/>
  <c r="AP23" i="28"/>
  <c r="AK23" i="28"/>
  <c r="AM23" i="28"/>
  <c r="AT23" i="28"/>
  <c r="AS23" i="28"/>
  <c r="AN23" i="28"/>
  <c r="AL54" i="28"/>
  <c r="AT54" i="28"/>
  <c r="AV54" i="28"/>
  <c r="AP54" i="28"/>
  <c r="AQ54" i="28"/>
  <c r="AM54" i="28"/>
  <c r="AS54" i="28"/>
  <c r="AK54" i="28"/>
  <c r="AO54" i="28"/>
  <c r="AR54" i="28"/>
  <c r="AN54" i="28"/>
  <c r="AU54" i="28"/>
  <c r="E13" i="28"/>
  <c r="AK66" i="28"/>
  <c r="AV66" i="28"/>
  <c r="AP66" i="28"/>
  <c r="AQ66" i="28"/>
  <c r="AN66" i="28"/>
  <c r="AR66" i="28"/>
  <c r="AO66" i="28"/>
  <c r="AL66" i="28"/>
  <c r="AM66" i="28"/>
  <c r="AT66" i="28"/>
  <c r="AU66" i="28"/>
  <c r="AS66" i="28"/>
  <c r="AP33" i="28"/>
  <c r="AV33" i="28"/>
  <c r="AK33" i="28"/>
  <c r="AN33" i="28"/>
  <c r="AU33" i="28"/>
  <c r="AS33" i="28"/>
  <c r="AM33" i="28"/>
  <c r="AR33" i="28"/>
  <c r="AO33" i="28"/>
  <c r="AL33" i="28"/>
  <c r="AT33" i="28"/>
  <c r="AQ33" i="28"/>
  <c r="O26" i="28"/>
  <c r="AQ26" i="28"/>
  <c r="AK26" i="28"/>
  <c r="AN26" i="28"/>
  <c r="AU26" i="28"/>
  <c r="AT26" i="28"/>
  <c r="AP26" i="28"/>
  <c r="AM26" i="28"/>
  <c r="AO26" i="28"/>
  <c r="AL26" i="28"/>
  <c r="AR26" i="28"/>
  <c r="AS26" i="28"/>
  <c r="AV26" i="28"/>
  <c r="AN16" i="28"/>
  <c r="AT16" i="28"/>
  <c r="AV16" i="28"/>
  <c r="AK16" i="28"/>
  <c r="AM16" i="28"/>
  <c r="AR16" i="28"/>
  <c r="AS16" i="28"/>
  <c r="AL16" i="28"/>
  <c r="AQ16" i="28"/>
  <c r="AO16" i="28"/>
  <c r="AU16" i="28"/>
  <c r="AP16" i="28"/>
  <c r="AH74" i="28"/>
  <c r="AK74" i="28"/>
  <c r="AT74" i="28"/>
  <c r="AS74" i="28"/>
  <c r="AN74" i="28"/>
  <c r="AV74" i="28"/>
  <c r="AP74" i="28"/>
  <c r="AQ74" i="28"/>
  <c r="AM74" i="28"/>
  <c r="AO74" i="28"/>
  <c r="AR74" i="28"/>
  <c r="AL74" i="28"/>
  <c r="AU74" i="28"/>
  <c r="AT31" i="28"/>
  <c r="AR31" i="28"/>
  <c r="AV31" i="28"/>
  <c r="AQ31" i="28"/>
  <c r="AU31" i="28"/>
  <c r="AS31" i="28"/>
  <c r="AN31" i="28"/>
  <c r="AP31" i="28"/>
  <c r="AM31" i="28"/>
  <c r="AL31" i="28"/>
  <c r="AK31" i="28"/>
  <c r="AO31" i="28"/>
  <c r="AL70" i="28"/>
  <c r="AV70" i="28"/>
  <c r="AP70" i="28"/>
  <c r="AQ70" i="28"/>
  <c r="AM70" i="28"/>
  <c r="AT70" i="28"/>
  <c r="AN70" i="28"/>
  <c r="AO70" i="28"/>
  <c r="AK70" i="28"/>
  <c r="AR70" i="28"/>
  <c r="AS70" i="28"/>
  <c r="AU70" i="28"/>
  <c r="G17" i="27"/>
  <c r="I69" i="29"/>
  <c r="M64" i="29"/>
  <c r="AD67" i="29"/>
  <c r="I56" i="29"/>
  <c r="J55" i="29"/>
  <c r="I31" i="29"/>
  <c r="H68" i="29"/>
  <c r="AI55" i="29"/>
  <c r="T67" i="29"/>
  <c r="K74" i="29"/>
  <c r="I68" i="29"/>
  <c r="R67" i="29"/>
  <c r="H39" i="29"/>
  <c r="AF29" i="29"/>
  <c r="L60" i="29"/>
  <c r="W33" i="29"/>
  <c r="Z51" i="29"/>
  <c r="I57" i="29"/>
  <c r="AF60" i="29"/>
  <c r="AC58" i="29"/>
  <c r="AC60" i="29"/>
  <c r="J27" i="29"/>
  <c r="Z73" i="29"/>
  <c r="AD74" i="29"/>
  <c r="AA53" i="29"/>
  <c r="K70" i="29"/>
  <c r="I25" i="29"/>
  <c r="AD58" i="29"/>
  <c r="W57" i="29"/>
  <c r="I24" i="29"/>
  <c r="AF57" i="29"/>
  <c r="S73" i="29"/>
  <c r="AC64" i="29"/>
  <c r="AG50" i="29"/>
  <c r="Q55" i="29"/>
  <c r="T74" i="29"/>
  <c r="X57" i="29"/>
  <c r="R53" i="29"/>
  <c r="R74" i="29"/>
  <c r="AH70" i="29"/>
  <c r="T19" i="29"/>
  <c r="S67" i="29"/>
  <c r="O43" i="29"/>
  <c r="V73" i="29"/>
  <c r="V43" i="29"/>
  <c r="T73" i="29"/>
  <c r="P67" i="29"/>
  <c r="AC73" i="29"/>
  <c r="K24" i="29"/>
  <c r="AB70" i="29"/>
  <c r="H64" i="29"/>
  <c r="Y70" i="29"/>
  <c r="P33" i="29"/>
  <c r="T64" i="29"/>
  <c r="J34" i="29"/>
  <c r="AG72" i="29"/>
  <c r="AC29" i="29"/>
  <c r="AI22" i="29"/>
  <c r="Z68" i="29"/>
  <c r="AH33" i="29"/>
  <c r="H40" i="29"/>
  <c r="X68" i="29"/>
  <c r="Z33" i="29"/>
  <c r="AG73" i="29"/>
  <c r="W69" i="29"/>
  <c r="V34" i="29"/>
  <c r="X23" i="29"/>
  <c r="U65" i="29"/>
  <c r="AC65" i="29"/>
  <c r="Q65" i="29"/>
  <c r="Y65" i="29"/>
  <c r="W65" i="29"/>
  <c r="N65" i="29"/>
  <c r="R65" i="29"/>
  <c r="AH65" i="29"/>
  <c r="X65" i="29"/>
  <c r="O65" i="29"/>
  <c r="AI65" i="29"/>
  <c r="Z65" i="29"/>
  <c r="J65" i="29"/>
  <c r="M65" i="29"/>
  <c r="T65" i="29"/>
  <c r="AE65" i="29"/>
  <c r="K65" i="29"/>
  <c r="Q71" i="29"/>
  <c r="Y71" i="29"/>
  <c r="AG71" i="29"/>
  <c r="M71" i="29"/>
  <c r="AB71" i="29"/>
  <c r="S71" i="29"/>
  <c r="I71" i="29"/>
  <c r="AD71" i="29"/>
  <c r="N71" i="29"/>
  <c r="X71" i="29"/>
  <c r="AI71" i="29"/>
  <c r="O71" i="29"/>
  <c r="AF71" i="29"/>
  <c r="Z71" i="29"/>
  <c r="K71" i="29"/>
  <c r="K62" i="29"/>
  <c r="O62" i="29"/>
  <c r="W62" i="29"/>
  <c r="S62" i="29"/>
  <c r="AE62" i="29"/>
  <c r="AA62" i="29"/>
  <c r="AJ62" i="29"/>
  <c r="P62" i="29"/>
  <c r="Z62" i="29"/>
  <c r="Q62" i="29"/>
  <c r="AI62" i="29"/>
  <c r="AB62" i="29"/>
  <c r="R62" i="29"/>
  <c r="AC62" i="29"/>
  <c r="M62" i="29"/>
  <c r="I62" i="29"/>
  <c r="X62" i="29"/>
  <c r="M61" i="29"/>
  <c r="U61" i="29"/>
  <c r="AC61" i="29"/>
  <c r="Q61" i="29"/>
  <c r="AF61" i="29"/>
  <c r="W61" i="29"/>
  <c r="AH61" i="29"/>
  <c r="Y61" i="29"/>
  <c r="R61" i="29"/>
  <c r="J61" i="29"/>
  <c r="AG61" i="29"/>
  <c r="AB61" i="29"/>
  <c r="S61" i="29"/>
  <c r="AD61" i="29"/>
  <c r="V52" i="29"/>
  <c r="AD52" i="29"/>
  <c r="O52" i="29"/>
  <c r="P52" i="29"/>
  <c r="AH52" i="29"/>
  <c r="S52" i="29"/>
  <c r="X52" i="29"/>
  <c r="AA52" i="29"/>
  <c r="W52" i="29"/>
  <c r="AF52" i="29"/>
  <c r="AI52" i="29"/>
  <c r="AE52" i="29"/>
  <c r="Q52" i="29"/>
  <c r="AG52" i="29"/>
  <c r="T52" i="29"/>
  <c r="AB52" i="29"/>
  <c r="M52" i="29"/>
  <c r="U52" i="29"/>
  <c r="AC52" i="29"/>
  <c r="H52" i="29"/>
  <c r="N52" i="29"/>
  <c r="R52" i="29"/>
  <c r="Q59" i="29"/>
  <c r="Y59" i="29"/>
  <c r="AC59" i="29"/>
  <c r="AG59" i="29"/>
  <c r="U59" i="29"/>
  <c r="AB59" i="29"/>
  <c r="S59" i="29"/>
  <c r="AD59" i="29"/>
  <c r="T59" i="29"/>
  <c r="K59" i="29"/>
  <c r="H59" i="29"/>
  <c r="AE59" i="29"/>
  <c r="V59" i="29"/>
  <c r="AF59" i="29"/>
  <c r="P59" i="29"/>
  <c r="AH59" i="29"/>
  <c r="K66" i="29"/>
  <c r="S66" i="29"/>
  <c r="AA66" i="29"/>
  <c r="AI66" i="29"/>
  <c r="O66" i="29"/>
  <c r="W66" i="29"/>
  <c r="Q66" i="29"/>
  <c r="AE66" i="29"/>
  <c r="AB66" i="29"/>
  <c r="R66" i="29"/>
  <c r="AC66" i="29"/>
  <c r="T66" i="29"/>
  <c r="AD66" i="29"/>
  <c r="I66" i="29"/>
  <c r="AF66" i="29"/>
  <c r="L62" i="29"/>
  <c r="U62" i="29"/>
  <c r="AI61" i="29"/>
  <c r="L65" i="29"/>
  <c r="M57" i="29"/>
  <c r="Q57" i="29"/>
  <c r="Y57" i="29"/>
  <c r="U57" i="29"/>
  <c r="AG57" i="29"/>
  <c r="AC57" i="29"/>
  <c r="O57" i="29"/>
  <c r="Z57" i="29"/>
  <c r="J57" i="29"/>
  <c r="K57" i="29"/>
  <c r="AJ57" i="29"/>
  <c r="P57" i="29"/>
  <c r="AA57" i="29"/>
  <c r="R57" i="29"/>
  <c r="AB57" i="29"/>
  <c r="S57" i="29"/>
  <c r="Y63" i="29"/>
  <c r="AG63" i="29"/>
  <c r="M63" i="29"/>
  <c r="Q63" i="29"/>
  <c r="AC63" i="29"/>
  <c r="AD63" i="29"/>
  <c r="J63" i="29"/>
  <c r="T63" i="29"/>
  <c r="P63" i="29"/>
  <c r="H63" i="29"/>
  <c r="AE63" i="29"/>
  <c r="K63" i="29"/>
  <c r="V63" i="29"/>
  <c r="L63" i="29"/>
  <c r="U63" i="29"/>
  <c r="AF63" i="29"/>
  <c r="W63" i="29"/>
  <c r="AH63" i="29"/>
  <c r="X63" i="29"/>
  <c r="AH54" i="29"/>
  <c r="K54" i="29"/>
  <c r="S54" i="29"/>
  <c r="AA54" i="29"/>
  <c r="AB54" i="29"/>
  <c r="AE54" i="29"/>
  <c r="M54" i="29"/>
  <c r="U54" i="29"/>
  <c r="AC54" i="29"/>
  <c r="V54" i="29"/>
  <c r="AD54" i="29"/>
  <c r="X54" i="29"/>
  <c r="L54" i="29"/>
  <c r="O54" i="29"/>
  <c r="Q54" i="29"/>
  <c r="AF54" i="29"/>
  <c r="T54" i="29"/>
  <c r="W54" i="29"/>
  <c r="Y54" i="29"/>
  <c r="I54" i="29"/>
  <c r="AJ54" i="29"/>
  <c r="AG54" i="29"/>
  <c r="J54" i="29"/>
  <c r="AI54" i="29"/>
  <c r="AC53" i="29"/>
  <c r="L53" i="29"/>
  <c r="T53" i="29"/>
  <c r="AJ53" i="29"/>
  <c r="AE53" i="29"/>
  <c r="P53" i="29"/>
  <c r="X53" i="29"/>
  <c r="N53" i="29"/>
  <c r="AF53" i="29"/>
  <c r="Q53" i="29"/>
  <c r="AB53" i="29"/>
  <c r="U53" i="29"/>
  <c r="AD53" i="29"/>
  <c r="AG53" i="29"/>
  <c r="V53" i="29"/>
  <c r="W53" i="29"/>
  <c r="Y53" i="29"/>
  <c r="AI53" i="29"/>
  <c r="J53" i="29"/>
  <c r="M53" i="29"/>
  <c r="AH53" i="29"/>
  <c r="K53" i="29"/>
  <c r="O44" i="29"/>
  <c r="W44" i="29"/>
  <c r="AE44" i="29"/>
  <c r="N44" i="29"/>
  <c r="AF44" i="29"/>
  <c r="AI44" i="29"/>
  <c r="U44" i="29"/>
  <c r="Q44" i="29"/>
  <c r="V44" i="29"/>
  <c r="Y44" i="29"/>
  <c r="AD44" i="29"/>
  <c r="AG44" i="29"/>
  <c r="Z44" i="29"/>
  <c r="K44" i="29"/>
  <c r="L44" i="29"/>
  <c r="M44" i="29"/>
  <c r="T44" i="29"/>
  <c r="J44" i="29"/>
  <c r="R44" i="29"/>
  <c r="AC44" i="29"/>
  <c r="H44" i="29"/>
  <c r="AH44" i="29"/>
  <c r="AB44" i="29"/>
  <c r="P44" i="29"/>
  <c r="S44" i="29"/>
  <c r="AJ44" i="29"/>
  <c r="Q51" i="29"/>
  <c r="Y51" i="29"/>
  <c r="AG51" i="29"/>
  <c r="X51" i="29"/>
  <c r="S51" i="29"/>
  <c r="AA51" i="29"/>
  <c r="P51" i="29"/>
  <c r="AI51" i="29"/>
  <c r="L51" i="29"/>
  <c r="AF51" i="29"/>
  <c r="T51" i="29"/>
  <c r="R51" i="29"/>
  <c r="AJ51" i="29"/>
  <c r="U51" i="29"/>
  <c r="W51" i="29"/>
  <c r="AE51" i="29"/>
  <c r="H51" i="29"/>
  <c r="V51" i="29"/>
  <c r="AB51" i="29"/>
  <c r="I51" i="29"/>
  <c r="K51" i="29"/>
  <c r="M51" i="29"/>
  <c r="AD51" i="29"/>
  <c r="J51" i="29"/>
  <c r="AA58" i="29"/>
  <c r="AI58" i="29"/>
  <c r="O58" i="29"/>
  <c r="S58" i="29"/>
  <c r="AE58" i="29"/>
  <c r="AH58" i="29"/>
  <c r="Y58" i="29"/>
  <c r="P58" i="29"/>
  <c r="AJ58" i="29"/>
  <c r="Z58" i="29"/>
  <c r="Q58" i="29"/>
  <c r="U58" i="29"/>
  <c r="I58" i="29"/>
  <c r="AF58" i="29"/>
  <c r="L58" i="29"/>
  <c r="V58" i="29"/>
  <c r="J58" i="29"/>
  <c r="H57" i="29"/>
  <c r="H58" i="29"/>
  <c r="I65" i="29"/>
  <c r="L74" i="29"/>
  <c r="W71" i="29"/>
  <c r="P68" i="29"/>
  <c r="AH64" i="29"/>
  <c r="AA61" i="29"/>
  <c r="T58" i="29"/>
  <c r="N51" i="29"/>
  <c r="N26" i="29"/>
  <c r="U73" i="29"/>
  <c r="AH66" i="29"/>
  <c r="AJ61" i="29"/>
  <c r="R58" i="29"/>
  <c r="H56" i="29"/>
  <c r="I64" i="29"/>
  <c r="I32" i="29"/>
  <c r="AJ73" i="29"/>
  <c r="T71" i="29"/>
  <c r="M68" i="29"/>
  <c r="AF64" i="29"/>
  <c r="X61" i="29"/>
  <c r="V57" i="29"/>
  <c r="H71" i="29"/>
  <c r="J47" i="29"/>
  <c r="AC72" i="29"/>
  <c r="U66" i="29"/>
  <c r="T57" i="29"/>
  <c r="I27" i="29"/>
  <c r="R64" i="29"/>
  <c r="H73" i="29"/>
  <c r="AB64" i="29"/>
  <c r="AH16" i="29"/>
  <c r="V74" i="29"/>
  <c r="N62" i="29"/>
  <c r="X59" i="29"/>
  <c r="Y72" i="29"/>
  <c r="AA59" i="29"/>
  <c r="S53" i="29"/>
  <c r="W58" i="29"/>
  <c r="W28" i="29"/>
  <c r="AJ31" i="29"/>
  <c r="AC69" i="29"/>
  <c r="H66" i="29"/>
  <c r="AH71" i="29"/>
  <c r="S65" i="29"/>
  <c r="AE71" i="29"/>
  <c r="P65" i="29"/>
  <c r="Y62" i="29"/>
  <c r="M59" i="29"/>
  <c r="AJ49" i="29"/>
  <c r="M49" i="29"/>
  <c r="U49" i="29"/>
  <c r="AC49" i="29"/>
  <c r="L49" i="29"/>
  <c r="T49" i="29"/>
  <c r="AD49" i="29"/>
  <c r="AG49" i="29"/>
  <c r="AB49" i="29"/>
  <c r="O49" i="29"/>
  <c r="W49" i="29"/>
  <c r="AE49" i="29"/>
  <c r="X49" i="29"/>
  <c r="K49" i="29"/>
  <c r="P49" i="29"/>
  <c r="S49" i="29"/>
  <c r="AF49" i="29"/>
  <c r="AA49" i="29"/>
  <c r="N49" i="29"/>
  <c r="Q49" i="29"/>
  <c r="AI49" i="29"/>
  <c r="H49" i="29"/>
  <c r="V49" i="29"/>
  <c r="Y49" i="29"/>
  <c r="R49" i="29"/>
  <c r="P55" i="29"/>
  <c r="Y55" i="29"/>
  <c r="T55" i="29"/>
  <c r="AG55" i="29"/>
  <c r="AB55" i="29"/>
  <c r="M55" i="29"/>
  <c r="AJ55" i="29"/>
  <c r="U55" i="29"/>
  <c r="AC55" i="29"/>
  <c r="H55" i="29"/>
  <c r="L55" i="29"/>
  <c r="X55" i="29"/>
  <c r="Z55" i="29"/>
  <c r="AA55" i="29"/>
  <c r="O55" i="29"/>
  <c r="W55" i="29"/>
  <c r="S55" i="29"/>
  <c r="I55" i="29"/>
  <c r="S46" i="29"/>
  <c r="AA46" i="29"/>
  <c r="AI46" i="29"/>
  <c r="Z46" i="29"/>
  <c r="U46" i="29"/>
  <c r="K46" i="29"/>
  <c r="AC46" i="29"/>
  <c r="N46" i="29"/>
  <c r="V46" i="29"/>
  <c r="AH46" i="29"/>
  <c r="T46" i="29"/>
  <c r="W46" i="29"/>
  <c r="AB46" i="29"/>
  <c r="AE46" i="29"/>
  <c r="Y46" i="29"/>
  <c r="I46" i="29"/>
  <c r="AJ46" i="29"/>
  <c r="AG46" i="29"/>
  <c r="X46" i="29"/>
  <c r="R46" i="29"/>
  <c r="J46" i="29"/>
  <c r="AF46" i="29"/>
  <c r="L45" i="29"/>
  <c r="T45" i="29"/>
  <c r="AB45" i="29"/>
  <c r="AJ45" i="29"/>
  <c r="AC45" i="29"/>
  <c r="X45" i="29"/>
  <c r="N45" i="29"/>
  <c r="AF45" i="29"/>
  <c r="Q45" i="29"/>
  <c r="V45" i="29"/>
  <c r="Y45" i="29"/>
  <c r="K45" i="29"/>
  <c r="AD45" i="29"/>
  <c r="AG45" i="29"/>
  <c r="W45" i="29"/>
  <c r="U45" i="29"/>
  <c r="S45" i="29"/>
  <c r="O45" i="29"/>
  <c r="P45" i="29"/>
  <c r="AA45" i="29"/>
  <c r="H45" i="29"/>
  <c r="W36" i="29"/>
  <c r="AE36" i="29"/>
  <c r="P36" i="29"/>
  <c r="N36" i="29"/>
  <c r="X36" i="29"/>
  <c r="AD36" i="29"/>
  <c r="V36" i="29"/>
  <c r="Y36" i="29"/>
  <c r="O36" i="29"/>
  <c r="AG36" i="29"/>
  <c r="R36" i="29"/>
  <c r="Z36" i="29"/>
  <c r="K36" i="29"/>
  <c r="AA36" i="29"/>
  <c r="M36" i="29"/>
  <c r="AC36" i="29"/>
  <c r="AH36" i="29"/>
  <c r="H36" i="29"/>
  <c r="Q36" i="29"/>
  <c r="S36" i="29"/>
  <c r="AF36" i="29"/>
  <c r="AI36" i="29"/>
  <c r="AB36" i="29"/>
  <c r="AG43" i="29"/>
  <c r="P43" i="29"/>
  <c r="X43" i="29"/>
  <c r="AI43" i="29"/>
  <c r="L43" i="29"/>
  <c r="AF43" i="29"/>
  <c r="T43" i="29"/>
  <c r="AB43" i="29"/>
  <c r="M43" i="29"/>
  <c r="R43" i="29"/>
  <c r="AJ43" i="29"/>
  <c r="U43" i="29"/>
  <c r="Y43" i="29"/>
  <c r="AH43" i="29"/>
  <c r="K43" i="29"/>
  <c r="W43" i="29"/>
  <c r="AE43" i="29"/>
  <c r="H43" i="29"/>
  <c r="I43" i="29"/>
  <c r="S43" i="29"/>
  <c r="Z43" i="29"/>
  <c r="AA43" i="29"/>
  <c r="AC43" i="29"/>
  <c r="R50" i="29"/>
  <c r="Z50" i="29"/>
  <c r="AH50" i="29"/>
  <c r="AA50" i="29"/>
  <c r="V50" i="29"/>
  <c r="AI50" i="29"/>
  <c r="L50" i="29"/>
  <c r="AD50" i="29"/>
  <c r="O50" i="29"/>
  <c r="T50" i="29"/>
  <c r="W50" i="29"/>
  <c r="AB50" i="29"/>
  <c r="AE50" i="29"/>
  <c r="U50" i="29"/>
  <c r="P50" i="29"/>
  <c r="I50" i="29"/>
  <c r="X50" i="29"/>
  <c r="K50" i="29"/>
  <c r="S50" i="29"/>
  <c r="M50" i="29"/>
  <c r="N50" i="29"/>
  <c r="J50" i="29"/>
  <c r="AC50" i="29"/>
  <c r="Q50" i="29"/>
  <c r="AJ50" i="29"/>
  <c r="Y50" i="29"/>
  <c r="J64" i="29"/>
  <c r="H50" i="29"/>
  <c r="I61" i="29"/>
  <c r="AD73" i="29"/>
  <c r="L71" i="29"/>
  <c r="AE67" i="29"/>
  <c r="X64" i="29"/>
  <c r="P61" i="29"/>
  <c r="AI57" i="29"/>
  <c r="AB48" i="29"/>
  <c r="H65" i="29"/>
  <c r="W72" i="29"/>
  <c r="M66" i="29"/>
  <c r="Z61" i="29"/>
  <c r="AH57" i="29"/>
  <c r="AH45" i="29"/>
  <c r="H48" i="29"/>
  <c r="I60" i="29"/>
  <c r="AB73" i="29"/>
  <c r="AJ70" i="29"/>
  <c r="AB67" i="29"/>
  <c r="U64" i="29"/>
  <c r="N61" i="29"/>
  <c r="AJ56" i="29"/>
  <c r="AD35" i="29"/>
  <c r="H47" i="29"/>
  <c r="J43" i="29"/>
  <c r="U72" i="29"/>
  <c r="AJ65" i="29"/>
  <c r="AD47" i="29"/>
  <c r="AH73" i="29"/>
  <c r="V61" i="29"/>
  <c r="S74" i="29"/>
  <c r="O74" i="29"/>
  <c r="AE61" i="29"/>
  <c r="H62" i="29"/>
  <c r="R59" i="29"/>
  <c r="AH69" i="29"/>
  <c r="O51" i="29"/>
  <c r="U36" i="29"/>
  <c r="K52" i="29"/>
  <c r="N54" i="29"/>
  <c r="O53" i="29"/>
  <c r="AH51" i="29"/>
  <c r="K58" i="29"/>
  <c r="AG25" i="29"/>
  <c r="L25" i="29"/>
  <c r="U41" i="29"/>
  <c r="AC41" i="29"/>
  <c r="L41" i="29"/>
  <c r="AB41" i="29"/>
  <c r="W41" i="29"/>
  <c r="AI41" i="29"/>
  <c r="M41" i="29"/>
  <c r="AE41" i="29"/>
  <c r="P41" i="29"/>
  <c r="X41" i="29"/>
  <c r="V41" i="29"/>
  <c r="Y41" i="29"/>
  <c r="K41" i="29"/>
  <c r="T41" i="29"/>
  <c r="AF41" i="29"/>
  <c r="AJ41" i="29"/>
  <c r="N41" i="29"/>
  <c r="O41" i="29"/>
  <c r="Q41" i="29"/>
  <c r="AH41" i="29"/>
  <c r="AD41" i="29"/>
  <c r="AG41" i="29"/>
  <c r="S41" i="29"/>
  <c r="J41" i="29"/>
  <c r="AB37" i="29"/>
  <c r="AJ37" i="29"/>
  <c r="M37" i="29"/>
  <c r="U37" i="29"/>
  <c r="V37" i="29"/>
  <c r="Y37" i="29"/>
  <c r="K37" i="29"/>
  <c r="L37" i="29"/>
  <c r="AD37" i="29"/>
  <c r="AG37" i="29"/>
  <c r="S37" i="29"/>
  <c r="T37" i="29"/>
  <c r="AC37" i="29"/>
  <c r="O37" i="29"/>
  <c r="AA37" i="29"/>
  <c r="W37" i="29"/>
  <c r="AI37" i="29"/>
  <c r="P37" i="29"/>
  <c r="R37" i="29"/>
  <c r="Z37" i="29"/>
  <c r="X37" i="29"/>
  <c r="AH37" i="29"/>
  <c r="AE37" i="29"/>
  <c r="AF37" i="29"/>
  <c r="J37" i="29"/>
  <c r="H37" i="29"/>
  <c r="N37" i="29"/>
  <c r="Q37" i="29"/>
  <c r="AD28" i="29"/>
  <c r="L28" i="29"/>
  <c r="P28" i="29"/>
  <c r="T28" i="29"/>
  <c r="X28" i="29"/>
  <c r="AB28" i="29"/>
  <c r="AF28" i="29"/>
  <c r="Q28" i="29"/>
  <c r="K28" i="29"/>
  <c r="U28" i="29"/>
  <c r="AG28" i="29"/>
  <c r="AA28" i="29"/>
  <c r="AE28" i="29"/>
  <c r="Y28" i="29"/>
  <c r="S28" i="29"/>
  <c r="O28" i="29"/>
  <c r="AJ28" i="29"/>
  <c r="M28" i="29"/>
  <c r="AI28" i="29"/>
  <c r="AC28" i="29"/>
  <c r="N28" i="29"/>
  <c r="AH28" i="29"/>
  <c r="V28" i="29"/>
  <c r="H28" i="29"/>
  <c r="R28" i="29"/>
  <c r="Z28" i="29"/>
  <c r="Z42" i="29"/>
  <c r="AH42" i="29"/>
  <c r="K42" i="29"/>
  <c r="S42" i="29"/>
  <c r="R42" i="29"/>
  <c r="T42" i="29"/>
  <c r="W42" i="29"/>
  <c r="AB42" i="29"/>
  <c r="AE42" i="29"/>
  <c r="Q42" i="29"/>
  <c r="AA42" i="29"/>
  <c r="AJ42" i="29"/>
  <c r="M42" i="29"/>
  <c r="Y42" i="29"/>
  <c r="AI42" i="29"/>
  <c r="U42" i="29"/>
  <c r="AG42" i="29"/>
  <c r="N42" i="29"/>
  <c r="V42" i="29"/>
  <c r="J42" i="29"/>
  <c r="AC42" i="29"/>
  <c r="AD42" i="29"/>
  <c r="L42" i="29"/>
  <c r="O42" i="29"/>
  <c r="P42" i="29"/>
  <c r="X42" i="29"/>
  <c r="AF42" i="29"/>
  <c r="J28" i="29"/>
  <c r="V71" i="29"/>
  <c r="AB65" i="29"/>
  <c r="O61" i="29"/>
  <c r="K61" i="29"/>
  <c r="T61" i="29"/>
  <c r="AJ71" i="29"/>
  <c r="Y52" i="29"/>
  <c r="V33" i="29"/>
  <c r="R33" i="29"/>
  <c r="T33" i="29"/>
  <c r="AD33" i="29"/>
  <c r="AB33" i="29"/>
  <c r="K33" i="29"/>
  <c r="N33" i="29"/>
  <c r="L33" i="29"/>
  <c r="X33" i="29"/>
  <c r="AF33" i="29"/>
  <c r="O33" i="29"/>
  <c r="Y33" i="29"/>
  <c r="AJ33" i="29"/>
  <c r="AC33" i="29"/>
  <c r="M33" i="29"/>
  <c r="AA33" i="29"/>
  <c r="U33" i="29"/>
  <c r="AE33" i="29"/>
  <c r="AG33" i="29"/>
  <c r="Q33" i="29"/>
  <c r="S33" i="29"/>
  <c r="J33" i="29"/>
  <c r="AI33" i="29"/>
  <c r="H33" i="29"/>
  <c r="Q39" i="29"/>
  <c r="Y39" i="29"/>
  <c r="AG39" i="29"/>
  <c r="P39" i="29"/>
  <c r="AH39" i="29"/>
  <c r="K39" i="29"/>
  <c r="W39" i="29"/>
  <c r="S39" i="29"/>
  <c r="AE39" i="29"/>
  <c r="AA39" i="29"/>
  <c r="AI39" i="29"/>
  <c r="L39" i="29"/>
  <c r="AF39" i="29"/>
  <c r="AB39" i="29"/>
  <c r="M39" i="29"/>
  <c r="Z39" i="29"/>
  <c r="AC39" i="29"/>
  <c r="V39" i="29"/>
  <c r="I39" i="29"/>
  <c r="AD39" i="29"/>
  <c r="J39" i="29"/>
  <c r="O39" i="29"/>
  <c r="T39" i="29"/>
  <c r="P30" i="29"/>
  <c r="T30" i="29"/>
  <c r="X30" i="29"/>
  <c r="AB30" i="29"/>
  <c r="M30" i="29"/>
  <c r="AF30" i="29"/>
  <c r="AJ30" i="29"/>
  <c r="U30" i="29"/>
  <c r="O30" i="29"/>
  <c r="Q30" i="29"/>
  <c r="AC30" i="29"/>
  <c r="W30" i="29"/>
  <c r="S30" i="29"/>
  <c r="AG30" i="29"/>
  <c r="R30" i="29"/>
  <c r="V30" i="29"/>
  <c r="AI30" i="29"/>
  <c r="K30" i="29"/>
  <c r="L30" i="29"/>
  <c r="AA30" i="29"/>
  <c r="Y30" i="29"/>
  <c r="Z30" i="29"/>
  <c r="AE30" i="29"/>
  <c r="AH30" i="29"/>
  <c r="N30" i="29"/>
  <c r="I30" i="29"/>
  <c r="H30" i="29"/>
  <c r="AD30" i="29"/>
  <c r="S29" i="29"/>
  <c r="AE29" i="29"/>
  <c r="Y29" i="29"/>
  <c r="AA29" i="29"/>
  <c r="L29" i="29"/>
  <c r="AG29" i="29"/>
  <c r="AI29" i="29"/>
  <c r="T29" i="29"/>
  <c r="M29" i="29"/>
  <c r="AB29" i="29"/>
  <c r="R29" i="29"/>
  <c r="V29" i="29"/>
  <c r="N29" i="29"/>
  <c r="AD29" i="29"/>
  <c r="O29" i="29"/>
  <c r="U29" i="29"/>
  <c r="Z29" i="29"/>
  <c r="W29" i="29"/>
  <c r="Q29" i="29"/>
  <c r="AJ29" i="29"/>
  <c r="X29" i="29"/>
  <c r="P29" i="29"/>
  <c r="J29" i="29"/>
  <c r="H29" i="29"/>
  <c r="T20" i="29"/>
  <c r="AE20" i="29"/>
  <c r="X20" i="29"/>
  <c r="AB20" i="29"/>
  <c r="AF20" i="29"/>
  <c r="Q20" i="29"/>
  <c r="K20" i="29"/>
  <c r="AJ20" i="29"/>
  <c r="M20" i="29"/>
  <c r="Y20" i="29"/>
  <c r="S20" i="29"/>
  <c r="U20" i="29"/>
  <c r="AG20" i="29"/>
  <c r="AA20" i="29"/>
  <c r="V20" i="29"/>
  <c r="L20" i="29"/>
  <c r="AI20" i="29"/>
  <c r="R20" i="29"/>
  <c r="AC20" i="29"/>
  <c r="N20" i="29"/>
  <c r="AD20" i="29"/>
  <c r="O20" i="29"/>
  <c r="W20" i="29"/>
  <c r="Z20" i="29"/>
  <c r="H20" i="29"/>
  <c r="J20" i="29"/>
  <c r="P20" i="29"/>
  <c r="AH20" i="29"/>
  <c r="O72" i="29"/>
  <c r="Z72" i="29"/>
  <c r="K72" i="29"/>
  <c r="AH72" i="29"/>
  <c r="S72" i="29"/>
  <c r="L72" i="29"/>
  <c r="AA72" i="29"/>
  <c r="T72" i="29"/>
  <c r="M72" i="29"/>
  <c r="AI72" i="29"/>
  <c r="AB72" i="29"/>
  <c r="J72" i="29"/>
  <c r="AJ72" i="29"/>
  <c r="Q72" i="29"/>
  <c r="AE72" i="29"/>
  <c r="AD27" i="29"/>
  <c r="AH27" i="29"/>
  <c r="S27" i="29"/>
  <c r="M27" i="29"/>
  <c r="O27" i="29"/>
  <c r="AA27" i="29"/>
  <c r="U27" i="29"/>
  <c r="AG27" i="29"/>
  <c r="W27" i="29"/>
  <c r="AI27" i="29"/>
  <c r="AC27" i="29"/>
  <c r="AE27" i="29"/>
  <c r="P27" i="29"/>
  <c r="AF27" i="29"/>
  <c r="AB27" i="29"/>
  <c r="N27" i="29"/>
  <c r="Z27" i="29"/>
  <c r="K27" i="29"/>
  <c r="V27" i="29"/>
  <c r="X27" i="29"/>
  <c r="L27" i="29"/>
  <c r="Q27" i="29"/>
  <c r="AJ27" i="29"/>
  <c r="Y27" i="29"/>
  <c r="T27" i="29"/>
  <c r="K34" i="29"/>
  <c r="S34" i="29"/>
  <c r="AA34" i="29"/>
  <c r="AI34" i="29"/>
  <c r="L34" i="29"/>
  <c r="R34" i="29"/>
  <c r="M34" i="29"/>
  <c r="Y34" i="29"/>
  <c r="U34" i="29"/>
  <c r="AG34" i="29"/>
  <c r="T34" i="29"/>
  <c r="AC34" i="29"/>
  <c r="AB34" i="29"/>
  <c r="N34" i="29"/>
  <c r="AD34" i="29"/>
  <c r="O34" i="29"/>
  <c r="AF34" i="29"/>
  <c r="W34" i="29"/>
  <c r="AE34" i="29"/>
  <c r="AJ34" i="29"/>
  <c r="P34" i="29"/>
  <c r="Z34" i="29"/>
  <c r="Q34" i="29"/>
  <c r="I34" i="29"/>
  <c r="M73" i="29"/>
  <c r="H34" i="29"/>
  <c r="I53" i="29"/>
  <c r="N73" i="29"/>
  <c r="Q70" i="29"/>
  <c r="AJ66" i="29"/>
  <c r="AB63" i="29"/>
  <c r="U60" i="29"/>
  <c r="N57" i="29"/>
  <c r="AD43" i="29"/>
  <c r="J68" i="29"/>
  <c r="AE69" i="29"/>
  <c r="AD60" i="29"/>
  <c r="L57" i="29"/>
  <c r="H32" i="29"/>
  <c r="I52" i="29"/>
  <c r="I20" i="29"/>
  <c r="N70" i="29"/>
  <c r="AG66" i="29"/>
  <c r="Z63" i="29"/>
  <c r="R60" i="29"/>
  <c r="K55" i="29"/>
  <c r="H23" i="29"/>
  <c r="X70" i="29"/>
  <c r="AI63" i="29"/>
  <c r="H54" i="29"/>
  <c r="R71" i="29"/>
  <c r="N58" i="29"/>
  <c r="H61" i="29"/>
  <c r="AA71" i="29"/>
  <c r="X58" i="29"/>
  <c r="I74" i="29"/>
  <c r="N69" i="29"/>
  <c r="V55" i="29"/>
  <c r="J49" i="29"/>
  <c r="Z66" i="29"/>
  <c r="Z41" i="29"/>
  <c r="AC48" i="29"/>
  <c r="AC71" i="29"/>
  <c r="O46" i="29"/>
  <c r="M46" i="29"/>
  <c r="L46" i="29"/>
  <c r="M45" i="29"/>
  <c r="K29" i="29"/>
  <c r="P35" i="29"/>
  <c r="Z35" i="29"/>
  <c r="X35" i="29"/>
  <c r="AH35" i="29"/>
  <c r="AF35" i="29"/>
  <c r="AG35" i="29"/>
  <c r="AB35" i="29"/>
  <c r="M35" i="29"/>
  <c r="AJ35" i="29"/>
  <c r="U35" i="29"/>
  <c r="AC35" i="29"/>
  <c r="O35" i="29"/>
  <c r="K35" i="29"/>
  <c r="W35" i="29"/>
  <c r="R35" i="29"/>
  <c r="AA35" i="29"/>
  <c r="L35" i="29"/>
  <c r="H35" i="29"/>
  <c r="I35" i="29"/>
  <c r="Q35" i="29"/>
  <c r="S35" i="29"/>
  <c r="T35" i="29"/>
  <c r="N35" i="29"/>
  <c r="J35" i="29"/>
  <c r="Y35" i="29"/>
  <c r="AI35" i="29"/>
  <c r="V35" i="29"/>
  <c r="H41" i="29"/>
  <c r="R25" i="29"/>
  <c r="V25" i="29"/>
  <c r="Z25" i="29"/>
  <c r="AD25" i="29"/>
  <c r="O25" i="29"/>
  <c r="AH25" i="29"/>
  <c r="K25" i="29"/>
  <c r="W25" i="29"/>
  <c r="Q25" i="29"/>
  <c r="X25" i="29"/>
  <c r="S25" i="29"/>
  <c r="AE25" i="29"/>
  <c r="Y25" i="29"/>
  <c r="P25" i="29"/>
  <c r="AI25" i="29"/>
  <c r="T25" i="29"/>
  <c r="AB25" i="29"/>
  <c r="AJ25" i="29"/>
  <c r="U25" i="29"/>
  <c r="AF25" i="29"/>
  <c r="N25" i="29"/>
  <c r="M25" i="29"/>
  <c r="J25" i="29"/>
  <c r="AC25" i="29"/>
  <c r="AE31" i="29"/>
  <c r="P31" i="29"/>
  <c r="T31" i="29"/>
  <c r="X31" i="29"/>
  <c r="AF31" i="29"/>
  <c r="N31" i="29"/>
  <c r="R31" i="29"/>
  <c r="AD31" i="29"/>
  <c r="AH31" i="29"/>
  <c r="S31" i="29"/>
  <c r="M31" i="29"/>
  <c r="AB31" i="29"/>
  <c r="Q31" i="29"/>
  <c r="Y31" i="29"/>
  <c r="V31" i="29"/>
  <c r="AA31" i="29"/>
  <c r="U31" i="29"/>
  <c r="O31" i="29"/>
  <c r="K31" i="29"/>
  <c r="L31" i="29"/>
  <c r="J31" i="29"/>
  <c r="W31" i="29"/>
  <c r="AI31" i="29"/>
  <c r="AC31" i="29"/>
  <c r="H31" i="29"/>
  <c r="AF22" i="29"/>
  <c r="AJ22" i="29"/>
  <c r="U22" i="29"/>
  <c r="O22" i="29"/>
  <c r="Q22" i="29"/>
  <c r="AC22" i="29"/>
  <c r="W22" i="29"/>
  <c r="V22" i="29"/>
  <c r="Y22" i="29"/>
  <c r="AE22" i="29"/>
  <c r="AG22" i="29"/>
  <c r="R22" i="29"/>
  <c r="AH22" i="29"/>
  <c r="S22" i="29"/>
  <c r="L22" i="29"/>
  <c r="AD22" i="29"/>
  <c r="T22" i="29"/>
  <c r="P22" i="29"/>
  <c r="AB22" i="29"/>
  <c r="M22" i="29"/>
  <c r="X22" i="29"/>
  <c r="N22" i="29"/>
  <c r="AA22" i="29"/>
  <c r="I22" i="29"/>
  <c r="H22" i="29"/>
  <c r="J22" i="29"/>
  <c r="Z22" i="29"/>
  <c r="AI21" i="29"/>
  <c r="T21" i="29"/>
  <c r="AB21" i="29"/>
  <c r="M21" i="29"/>
  <c r="AJ21" i="29"/>
  <c r="U21" i="29"/>
  <c r="N21" i="29"/>
  <c r="R21" i="29"/>
  <c r="AC21" i="29"/>
  <c r="V21" i="29"/>
  <c r="AH21" i="29"/>
  <c r="K21" i="29"/>
  <c r="W21" i="29"/>
  <c r="Q21" i="29"/>
  <c r="AD21" i="29"/>
  <c r="O21" i="29"/>
  <c r="Z21" i="29"/>
  <c r="AE21" i="29"/>
  <c r="Y21" i="29"/>
  <c r="X21" i="29"/>
  <c r="S21" i="29"/>
  <c r="AG21" i="29"/>
  <c r="AA21" i="29"/>
  <c r="L21" i="29"/>
  <c r="J21" i="29"/>
  <c r="AF21" i="29"/>
  <c r="H21" i="29"/>
  <c r="P21" i="29"/>
  <c r="O64" i="29"/>
  <c r="W64" i="29"/>
  <c r="AA64" i="29"/>
  <c r="AI64" i="29"/>
  <c r="AD64" i="29"/>
  <c r="N64" i="29"/>
  <c r="Y64" i="29"/>
  <c r="AE64" i="29"/>
  <c r="AJ64" i="29"/>
  <c r="P64" i="29"/>
  <c r="Z64" i="29"/>
  <c r="K64" i="29"/>
  <c r="Q64" i="29"/>
  <c r="O56" i="29"/>
  <c r="W56" i="29"/>
  <c r="AE56" i="29"/>
  <c r="R56" i="29"/>
  <c r="AH56" i="29"/>
  <c r="S56" i="29"/>
  <c r="U56" i="29"/>
  <c r="L56" i="29"/>
  <c r="AC56" i="29"/>
  <c r="AB56" i="29"/>
  <c r="Z56" i="29"/>
  <c r="N56" i="29"/>
  <c r="K56" i="29"/>
  <c r="AD56" i="29"/>
  <c r="J56" i="29"/>
  <c r="P56" i="29"/>
  <c r="AA56" i="29"/>
  <c r="AF56" i="29"/>
  <c r="Q56" i="29"/>
  <c r="AI56" i="29"/>
  <c r="AG56" i="29"/>
  <c r="T56" i="29"/>
  <c r="W19" i="29"/>
  <c r="AI19" i="29"/>
  <c r="AC19" i="29"/>
  <c r="AJ19" i="29"/>
  <c r="AE19" i="29"/>
  <c r="P19" i="29"/>
  <c r="X19" i="29"/>
  <c r="AF19" i="29"/>
  <c r="Q19" i="29"/>
  <c r="V19" i="29"/>
  <c r="AG19" i="29"/>
  <c r="Z19" i="29"/>
  <c r="K19" i="29"/>
  <c r="O19" i="29"/>
  <c r="L19" i="29"/>
  <c r="Y19" i="29"/>
  <c r="AB19" i="29"/>
  <c r="R19" i="29"/>
  <c r="N19" i="29"/>
  <c r="AD19" i="29"/>
  <c r="AH19" i="29"/>
  <c r="S19" i="29"/>
  <c r="AA19" i="29"/>
  <c r="M19" i="29"/>
  <c r="I19" i="29"/>
  <c r="U19" i="29"/>
  <c r="J19" i="29"/>
  <c r="AG26" i="29"/>
  <c r="R26" i="29"/>
  <c r="AA26" i="29"/>
  <c r="Z26" i="29"/>
  <c r="AH26" i="29"/>
  <c r="L26" i="29"/>
  <c r="P26" i="29"/>
  <c r="T26" i="29"/>
  <c r="AD26" i="29"/>
  <c r="AF26" i="29"/>
  <c r="AJ26" i="29"/>
  <c r="U26" i="29"/>
  <c r="O26" i="29"/>
  <c r="Q26" i="29"/>
  <c r="AE26" i="29"/>
  <c r="AI26" i="29"/>
  <c r="Y26" i="29"/>
  <c r="V26" i="29"/>
  <c r="W26" i="29"/>
  <c r="S26" i="29"/>
  <c r="I26" i="29"/>
  <c r="X26" i="29"/>
  <c r="AB26" i="29"/>
  <c r="K26" i="29"/>
  <c r="J26" i="29"/>
  <c r="X66" i="29"/>
  <c r="H26" i="29"/>
  <c r="I49" i="29"/>
  <c r="AF72" i="29"/>
  <c r="AF69" i="29"/>
  <c r="Y66" i="29"/>
  <c r="R63" i="29"/>
  <c r="AJ59" i="29"/>
  <c r="X56" i="29"/>
  <c r="R41" i="29"/>
  <c r="J52" i="29"/>
  <c r="T69" i="29"/>
  <c r="L64" i="29"/>
  <c r="V56" i="29"/>
  <c r="L36" i="29"/>
  <c r="H24" i="29"/>
  <c r="I48" i="29"/>
  <c r="AD72" i="29"/>
  <c r="AD69" i="29"/>
  <c r="V66" i="29"/>
  <c r="O63" i="29"/>
  <c r="W59" i="29"/>
  <c r="AJ52" i="29"/>
  <c r="J48" i="29"/>
  <c r="H15" i="29"/>
  <c r="AB69" i="29"/>
  <c r="N63" i="29"/>
  <c r="H46" i="29"/>
  <c r="AG70" i="29"/>
  <c r="AD57" i="29"/>
  <c r="H53" i="29"/>
  <c r="P71" i="29"/>
  <c r="M58" i="29"/>
  <c r="P54" i="29"/>
  <c r="J45" i="29"/>
  <c r="P66" i="29"/>
  <c r="N39" i="29"/>
  <c r="U71" i="29"/>
  <c r="AA44" i="29"/>
  <c r="AD46" i="29"/>
  <c r="AE45" i="29"/>
  <c r="X44" i="29"/>
  <c r="Q43" i="29"/>
  <c r="M26" i="29"/>
  <c r="AA25" i="29"/>
  <c r="AI38" i="29"/>
  <c r="R38" i="29"/>
  <c r="Z38" i="29"/>
  <c r="N38" i="29"/>
  <c r="V38" i="29"/>
  <c r="L38" i="29"/>
  <c r="AD38" i="29"/>
  <c r="O38" i="29"/>
  <c r="AH38" i="29"/>
  <c r="K38" i="29"/>
  <c r="T38" i="29"/>
  <c r="W38" i="29"/>
  <c r="AA38" i="29"/>
  <c r="AJ38" i="29"/>
  <c r="M38" i="29"/>
  <c r="Y38" i="29"/>
  <c r="J38" i="29"/>
  <c r="Q38" i="29"/>
  <c r="AG38" i="29"/>
  <c r="S38" i="29"/>
  <c r="U38" i="29"/>
  <c r="H38" i="29"/>
  <c r="Z52" i="29"/>
  <c r="AH17" i="29"/>
  <c r="K17" i="29"/>
  <c r="W17" i="29"/>
  <c r="Q17" i="29"/>
  <c r="S17" i="29"/>
  <c r="AE17" i="29"/>
  <c r="Y17" i="29"/>
  <c r="AA17" i="29"/>
  <c r="L17" i="29"/>
  <c r="AG17" i="29"/>
  <c r="AI17" i="29"/>
  <c r="T17" i="29"/>
  <c r="AF17" i="29"/>
  <c r="AJ17" i="29"/>
  <c r="U17" i="29"/>
  <c r="N17" i="29"/>
  <c r="X17" i="29"/>
  <c r="P17" i="29"/>
  <c r="V17" i="29"/>
  <c r="Z17" i="29"/>
  <c r="R17" i="29"/>
  <c r="AD17" i="29"/>
  <c r="O17" i="29"/>
  <c r="AB17" i="29"/>
  <c r="M17" i="29"/>
  <c r="AC17" i="29"/>
  <c r="H17" i="29"/>
  <c r="AF23" i="29"/>
  <c r="L23" i="29"/>
  <c r="N23" i="29"/>
  <c r="R23" i="29"/>
  <c r="V23" i="29"/>
  <c r="Z23" i="29"/>
  <c r="K23" i="29"/>
  <c r="AJ23" i="29"/>
  <c r="AD23" i="29"/>
  <c r="AH23" i="29"/>
  <c r="S23" i="29"/>
  <c r="M23" i="29"/>
  <c r="W23" i="29"/>
  <c r="AI23" i="29"/>
  <c r="AC23" i="29"/>
  <c r="T23" i="29"/>
  <c r="Y23" i="29"/>
  <c r="AA23" i="29"/>
  <c r="U23" i="29"/>
  <c r="AE23" i="29"/>
  <c r="P23" i="29"/>
  <c r="Q23" i="29"/>
  <c r="AG23" i="29"/>
  <c r="AB23" i="29"/>
  <c r="O23" i="29"/>
  <c r="I23" i="29"/>
  <c r="Y14" i="29"/>
  <c r="AE14" i="29"/>
  <c r="AG14" i="29"/>
  <c r="R14" i="29"/>
  <c r="J14" i="29"/>
  <c r="Z14" i="29"/>
  <c r="K14" i="29"/>
  <c r="AH14" i="29"/>
  <c r="S14" i="29"/>
  <c r="L14" i="29"/>
  <c r="X14" i="29"/>
  <c r="AI14" i="29"/>
  <c r="AB14" i="29"/>
  <c r="M14" i="29"/>
  <c r="P14" i="29"/>
  <c r="AJ14" i="29"/>
  <c r="U14" i="29"/>
  <c r="O14" i="29"/>
  <c r="AD14" i="29"/>
  <c r="AF14" i="29"/>
  <c r="AC14" i="29"/>
  <c r="W14" i="29"/>
  <c r="Q14" i="29"/>
  <c r="AA14" i="29"/>
  <c r="T14" i="29"/>
  <c r="I14" i="29"/>
  <c r="H14" i="29"/>
  <c r="N14" i="29"/>
  <c r="V14" i="29"/>
  <c r="V16" i="29"/>
  <c r="AD16" i="29"/>
  <c r="O16" i="29"/>
  <c r="L16" i="29"/>
  <c r="W16" i="29"/>
  <c r="P16" i="29"/>
  <c r="T16" i="29"/>
  <c r="AE16" i="29"/>
  <c r="X16" i="29"/>
  <c r="AJ16" i="29"/>
  <c r="M16" i="29"/>
  <c r="Y16" i="29"/>
  <c r="S16" i="29"/>
  <c r="AF16" i="29"/>
  <c r="Q16" i="29"/>
  <c r="K16" i="29"/>
  <c r="AB16" i="29"/>
  <c r="AG16" i="29"/>
  <c r="AA16" i="29"/>
  <c r="AC16" i="29"/>
  <c r="N16" i="29"/>
  <c r="R16" i="29"/>
  <c r="U16" i="29"/>
  <c r="AI16" i="29"/>
  <c r="Z16" i="29"/>
  <c r="N40" i="29"/>
  <c r="V40" i="29"/>
  <c r="AD40" i="29"/>
  <c r="AE40" i="29"/>
  <c r="Z40" i="29"/>
  <c r="K40" i="29"/>
  <c r="P40" i="29"/>
  <c r="AH40" i="29"/>
  <c r="S40" i="29"/>
  <c r="X40" i="29"/>
  <c r="AA40" i="29"/>
  <c r="M40" i="29"/>
  <c r="AF40" i="29"/>
  <c r="AI40" i="29"/>
  <c r="U40" i="29"/>
  <c r="Y40" i="29"/>
  <c r="AG40" i="29"/>
  <c r="L40" i="29"/>
  <c r="O40" i="29"/>
  <c r="AC40" i="29"/>
  <c r="J40" i="29"/>
  <c r="T40" i="29"/>
  <c r="W40" i="29"/>
  <c r="AB40" i="29"/>
  <c r="W68" i="29"/>
  <c r="AE68" i="29"/>
  <c r="K68" i="29"/>
  <c r="O68" i="29"/>
  <c r="AA68" i="29"/>
  <c r="AD68" i="29"/>
  <c r="U68" i="29"/>
  <c r="L68" i="29"/>
  <c r="AF68" i="29"/>
  <c r="V68" i="29"/>
  <c r="S68" i="29"/>
  <c r="AJ68" i="29"/>
  <c r="AG68" i="29"/>
  <c r="AI68" i="29"/>
  <c r="Q68" i="29"/>
  <c r="AB68" i="29"/>
  <c r="R68" i="29"/>
  <c r="AE48" i="29"/>
  <c r="N48" i="29"/>
  <c r="V48" i="29"/>
  <c r="AG48" i="29"/>
  <c r="R48" i="29"/>
  <c r="Z48" i="29"/>
  <c r="K48" i="29"/>
  <c r="P48" i="29"/>
  <c r="AH48" i="29"/>
  <c r="S48" i="29"/>
  <c r="W48" i="29"/>
  <c r="AF48" i="29"/>
  <c r="AI48" i="29"/>
  <c r="T48" i="29"/>
  <c r="O48" i="29"/>
  <c r="Q48" i="29"/>
  <c r="X48" i="29"/>
  <c r="Y48" i="29"/>
  <c r="AA48" i="29"/>
  <c r="AJ48" i="29"/>
  <c r="AD48" i="29"/>
  <c r="M48" i="29"/>
  <c r="AH18" i="29"/>
  <c r="S18" i="29"/>
  <c r="L18" i="29"/>
  <c r="P18" i="29"/>
  <c r="AA18" i="29"/>
  <c r="T18" i="29"/>
  <c r="X18" i="29"/>
  <c r="AI18" i="29"/>
  <c r="AB18" i="29"/>
  <c r="M18" i="29"/>
  <c r="AF18" i="29"/>
  <c r="AJ18" i="29"/>
  <c r="U18" i="29"/>
  <c r="O18" i="29"/>
  <c r="Y18" i="29"/>
  <c r="AE18" i="29"/>
  <c r="Z18" i="29"/>
  <c r="K18" i="29"/>
  <c r="V18" i="29"/>
  <c r="AC18" i="29"/>
  <c r="W18" i="29"/>
  <c r="N18" i="29"/>
  <c r="I18" i="29"/>
  <c r="Q18" i="29"/>
  <c r="AD18" i="29"/>
  <c r="AG18" i="29"/>
  <c r="J18" i="29"/>
  <c r="R18" i="29"/>
  <c r="X38" i="29"/>
  <c r="H18" i="29"/>
  <c r="I45" i="29"/>
  <c r="AJ74" i="29"/>
  <c r="X72" i="29"/>
  <c r="V69" i="29"/>
  <c r="N66" i="29"/>
  <c r="AG62" i="29"/>
  <c r="Z59" i="29"/>
  <c r="AH55" i="29"/>
  <c r="AF38" i="29"/>
  <c r="J36" i="29"/>
  <c r="Y68" i="29"/>
  <c r="AA63" i="29"/>
  <c r="AI59" i="29"/>
  <c r="AF55" i="29"/>
  <c r="H16" i="29"/>
  <c r="I44" i="29"/>
  <c r="AH74" i="29"/>
  <c r="V72" i="29"/>
  <c r="S69" i="29"/>
  <c r="L66" i="29"/>
  <c r="AD62" i="29"/>
  <c r="L59" i="29"/>
  <c r="L48" i="29"/>
  <c r="AI74" i="29"/>
  <c r="J71" i="29"/>
  <c r="L61" i="29"/>
  <c r="I63" i="29"/>
  <c r="AH49" i="29"/>
  <c r="J66" i="29"/>
  <c r="T68" i="29"/>
  <c r="L52" i="29"/>
  <c r="I42" i="29"/>
  <c r="AF65" i="29"/>
  <c r="AJ36" i="29"/>
  <c r="J17" i="29"/>
  <c r="S63" i="29"/>
  <c r="M56" i="29"/>
  <c r="Q46" i="29"/>
  <c r="AG65" i="29"/>
  <c r="U39" i="29"/>
  <c r="R40" i="29"/>
  <c r="Q40" i="29"/>
  <c r="R39" i="29"/>
  <c r="Z54" i="29"/>
  <c r="Z31" i="29"/>
  <c r="X47" i="29"/>
  <c r="AF47" i="29"/>
  <c r="Q47" i="29"/>
  <c r="R47" i="29"/>
  <c r="AJ47" i="29"/>
  <c r="U47" i="29"/>
  <c r="Z47" i="29"/>
  <c r="AC47" i="29"/>
  <c r="Y47" i="29"/>
  <c r="AH47" i="29"/>
  <c r="K47" i="29"/>
  <c r="AG47" i="29"/>
  <c r="S47" i="29"/>
  <c r="AI47" i="29"/>
  <c r="L47" i="29"/>
  <c r="AA47" i="29"/>
  <c r="AB47" i="29"/>
  <c r="M47" i="29"/>
  <c r="O47" i="29"/>
  <c r="P47" i="29"/>
  <c r="W47" i="29"/>
  <c r="I47" i="29"/>
  <c r="AE47" i="29"/>
  <c r="N47" i="29"/>
  <c r="H42" i="29"/>
  <c r="O73" i="29"/>
  <c r="AI73" i="29"/>
  <c r="W73" i="29"/>
  <c r="AE73" i="29"/>
  <c r="P73" i="29"/>
  <c r="X73" i="29"/>
  <c r="AF73" i="29"/>
  <c r="Q73" i="29"/>
  <c r="J73" i="29"/>
  <c r="Y73" i="29"/>
  <c r="R73" i="29"/>
  <c r="K73" i="29"/>
  <c r="AB32" i="29"/>
  <c r="AF32" i="29"/>
  <c r="Q32" i="29"/>
  <c r="K32" i="29"/>
  <c r="AH32" i="29"/>
  <c r="AJ32" i="29"/>
  <c r="M32" i="29"/>
  <c r="Y32" i="29"/>
  <c r="S32" i="29"/>
  <c r="Z32" i="29"/>
  <c r="U32" i="29"/>
  <c r="AG32" i="29"/>
  <c r="AA32" i="29"/>
  <c r="AC32" i="29"/>
  <c r="N32" i="29"/>
  <c r="AI32" i="29"/>
  <c r="AD32" i="29"/>
  <c r="AE32" i="29"/>
  <c r="V32" i="29"/>
  <c r="O32" i="29"/>
  <c r="W32" i="29"/>
  <c r="P32" i="29"/>
  <c r="T32" i="29"/>
  <c r="X32" i="29"/>
  <c r="J32" i="29"/>
  <c r="R32" i="29"/>
  <c r="V15" i="29"/>
  <c r="AG15" i="29"/>
  <c r="Z15" i="29"/>
  <c r="K15" i="29"/>
  <c r="AD15" i="29"/>
  <c r="AH15" i="29"/>
  <c r="S15" i="29"/>
  <c r="M15" i="29"/>
  <c r="O15" i="29"/>
  <c r="AA15" i="29"/>
  <c r="U15" i="29"/>
  <c r="T15" i="29"/>
  <c r="W15" i="29"/>
  <c r="AI15" i="29"/>
  <c r="AC15" i="29"/>
  <c r="X15" i="29"/>
  <c r="L15" i="29"/>
  <c r="R15" i="29"/>
  <c r="N15" i="29"/>
  <c r="AJ15" i="29"/>
  <c r="AE15" i="29"/>
  <c r="P15" i="29"/>
  <c r="AB15" i="29"/>
  <c r="Y15" i="29"/>
  <c r="AF15" i="29"/>
  <c r="Q15" i="29"/>
  <c r="I15" i="29"/>
  <c r="AI70" i="29"/>
  <c r="S70" i="29"/>
  <c r="AA70" i="29"/>
  <c r="O70" i="29"/>
  <c r="W70" i="29"/>
  <c r="R70" i="29"/>
  <c r="J70" i="29"/>
  <c r="AC70" i="29"/>
  <c r="T70" i="29"/>
  <c r="Z70" i="29"/>
  <c r="AD70" i="29"/>
  <c r="P70" i="29"/>
  <c r="U70" i="29"/>
  <c r="L70" i="29"/>
  <c r="AE70" i="29"/>
  <c r="H70" i="29"/>
  <c r="AF70" i="29"/>
  <c r="V70" i="29"/>
  <c r="M70" i="29"/>
  <c r="M69" i="29"/>
  <c r="U69" i="29"/>
  <c r="Y69" i="29"/>
  <c r="AG69" i="29"/>
  <c r="X69" i="29"/>
  <c r="H69" i="29"/>
  <c r="AI69" i="29"/>
  <c r="O69" i="29"/>
  <c r="Z69" i="29"/>
  <c r="P69" i="29"/>
  <c r="AJ69" i="29"/>
  <c r="AA69" i="29"/>
  <c r="Q69" i="29"/>
  <c r="J69" i="29"/>
  <c r="L69" i="29"/>
  <c r="U24" i="29"/>
  <c r="AG24" i="29"/>
  <c r="AA24" i="29"/>
  <c r="AC24" i="29"/>
  <c r="N24" i="29"/>
  <c r="AI24" i="29"/>
  <c r="R24" i="29"/>
  <c r="V24" i="29"/>
  <c r="AD24" i="29"/>
  <c r="T24" i="29"/>
  <c r="X24" i="29"/>
  <c r="O24" i="29"/>
  <c r="Z24" i="29"/>
  <c r="P24" i="29"/>
  <c r="AE24" i="29"/>
  <c r="AB24" i="29"/>
  <c r="Y24" i="29"/>
  <c r="S24" i="29"/>
  <c r="J24" i="29"/>
  <c r="L24" i="29"/>
  <c r="AJ24" i="29"/>
  <c r="AF24" i="29"/>
  <c r="W24" i="29"/>
  <c r="M24" i="29"/>
  <c r="Q24" i="29"/>
  <c r="W60" i="29"/>
  <c r="AE60" i="29"/>
  <c r="K60" i="29"/>
  <c r="S60" i="29"/>
  <c r="AA60" i="29"/>
  <c r="V60" i="29"/>
  <c r="O60" i="29"/>
  <c r="AI60" i="29"/>
  <c r="AG60" i="29"/>
  <c r="M60" i="29"/>
  <c r="J60" i="29"/>
  <c r="X60" i="29"/>
  <c r="AH60" i="29"/>
  <c r="N60" i="29"/>
  <c r="Y60" i="29"/>
  <c r="P60" i="29"/>
  <c r="H60" i="29"/>
  <c r="AJ60" i="29"/>
  <c r="Z60" i="29"/>
  <c r="Q60" i="29"/>
  <c r="M67" i="29"/>
  <c r="U67" i="29"/>
  <c r="Q67" i="29"/>
  <c r="AC67" i="29"/>
  <c r="Y67" i="29"/>
  <c r="K67" i="29"/>
  <c r="I67" i="29"/>
  <c r="V67" i="29"/>
  <c r="J67" i="29"/>
  <c r="AF67" i="29"/>
  <c r="L67" i="29"/>
  <c r="W67" i="29"/>
  <c r="H67" i="29"/>
  <c r="AH67" i="29"/>
  <c r="N67" i="29"/>
  <c r="AG67" i="29"/>
  <c r="X67" i="29"/>
  <c r="O67" i="29"/>
  <c r="W74" i="29"/>
  <c r="P74" i="29"/>
  <c r="AE74" i="29"/>
  <c r="J74" i="29"/>
  <c r="X74" i="29"/>
  <c r="Q74" i="29"/>
  <c r="AF74" i="29"/>
  <c r="Y74" i="29"/>
  <c r="M74" i="29"/>
  <c r="AA74" i="29"/>
  <c r="U74" i="29"/>
  <c r="AC74" i="29"/>
  <c r="N74" i="29"/>
  <c r="H74" i="29"/>
  <c r="I73" i="29"/>
  <c r="I41" i="29"/>
  <c r="AB74" i="29"/>
  <c r="P72" i="29"/>
  <c r="K69" i="29"/>
  <c r="AD65" i="29"/>
  <c r="V62" i="29"/>
  <c r="O59" i="29"/>
  <c r="R55" i="29"/>
  <c r="T36" i="29"/>
  <c r="J16" i="29"/>
  <c r="N68" i="29"/>
  <c r="AF62" i="29"/>
  <c r="N59" i="29"/>
  <c r="N55" i="29"/>
  <c r="H72" i="29"/>
  <c r="I72" i="29"/>
  <c r="I40" i="29"/>
  <c r="Z74" i="29"/>
  <c r="N72" i="29"/>
  <c r="AH68" i="29"/>
  <c r="AA65" i="29"/>
  <c r="T62" i="29"/>
  <c r="AB58" i="29"/>
  <c r="Z45" i="29"/>
  <c r="V64" i="29"/>
  <c r="J59" i="29"/>
  <c r="AA73" i="29"/>
  <c r="AA67" i="29"/>
  <c r="AB60" i="29"/>
  <c r="I59" i="29"/>
  <c r="Z67" i="29"/>
  <c r="V47" i="29"/>
  <c r="J62" i="29"/>
  <c r="AI67" i="29"/>
  <c r="Z49" i="29"/>
  <c r="I38" i="29"/>
  <c r="V65" i="29"/>
  <c r="X34" i="29"/>
  <c r="AH62" i="29"/>
  <c r="AE55" i="29"/>
  <c r="AI45" i="29"/>
  <c r="S64" i="29"/>
  <c r="AE38" i="29"/>
  <c r="AJ39" i="29"/>
  <c r="AC38" i="29"/>
  <c r="AB38" i="29"/>
  <c r="R54" i="29"/>
  <c r="R27" i="29"/>
  <c r="AH29" i="29"/>
  <c r="G72" i="27"/>
  <c r="F13" i="27"/>
  <c r="E13" i="27"/>
  <c r="G71" i="27"/>
  <c r="G23" i="27"/>
  <c r="G25" i="27"/>
  <c r="G48" i="27"/>
  <c r="G18" i="27"/>
  <c r="G38" i="27"/>
  <c r="G27" i="27"/>
  <c r="G24" i="27"/>
  <c r="G31" i="27"/>
  <c r="G33" i="27"/>
  <c r="E13" i="29"/>
  <c r="S24" i="28"/>
  <c r="I13" i="27"/>
  <c r="N13" i="27"/>
  <c r="G16" i="27"/>
  <c r="G64" i="27"/>
  <c r="G47" i="27"/>
  <c r="G55" i="27"/>
  <c r="I59" i="28"/>
  <c r="G70" i="27"/>
  <c r="I50" i="28"/>
  <c r="AE23" i="28"/>
  <c r="U39" i="28"/>
  <c r="G26" i="27"/>
  <c r="G46" i="27"/>
  <c r="G32" i="27"/>
  <c r="H74" i="28"/>
  <c r="G63" i="27"/>
  <c r="T34" i="28"/>
  <c r="AG32" i="28"/>
  <c r="P74" i="28"/>
  <c r="G15" i="27"/>
  <c r="G19" i="27"/>
  <c r="L74" i="28"/>
  <c r="V74" i="28"/>
  <c r="Z74" i="28"/>
  <c r="M74" i="28"/>
  <c r="O40" i="28"/>
  <c r="AC40" i="28"/>
  <c r="AC59" i="28"/>
  <c r="AE25" i="28"/>
  <c r="I64" i="28"/>
  <c r="AG74" i="28"/>
  <c r="N74" i="28"/>
  <c r="R74" i="28"/>
  <c r="T18" i="28"/>
  <c r="AD55" i="28"/>
  <c r="AJ74" i="28"/>
  <c r="Y74" i="28"/>
  <c r="AI74" i="28"/>
  <c r="J74" i="28"/>
  <c r="L58" i="28"/>
  <c r="AC74" i="28"/>
  <c r="Q74" i="28"/>
  <c r="AE74" i="28"/>
  <c r="AA74" i="28"/>
  <c r="AH58" i="28"/>
  <c r="AJ59" i="28"/>
  <c r="AC56" i="28"/>
  <c r="I74" i="28"/>
  <c r="W74" i="28"/>
  <c r="S74" i="28"/>
  <c r="Z56" i="28"/>
  <c r="W19" i="28"/>
  <c r="AB74" i="28"/>
  <c r="O74" i="28"/>
  <c r="K74" i="28"/>
  <c r="AE51" i="28"/>
  <c r="Y42" i="28"/>
  <c r="G28" i="27"/>
  <c r="G62" i="27"/>
  <c r="G14" i="27"/>
  <c r="O60" i="28"/>
  <c r="AD33" i="28"/>
  <c r="Y45" i="28"/>
  <c r="AF74" i="28"/>
  <c r="H19" i="28"/>
  <c r="K59" i="28"/>
  <c r="AA27" i="28"/>
  <c r="X74" i="28"/>
  <c r="AD74" i="28"/>
  <c r="AE56" i="28"/>
  <c r="I51" i="28"/>
  <c r="AF14" i="28"/>
  <c r="I71" i="28"/>
  <c r="H71" i="28"/>
  <c r="Q71" i="28"/>
  <c r="N71" i="28"/>
  <c r="P71" i="28"/>
  <c r="AG71" i="28"/>
  <c r="V71" i="28"/>
  <c r="O71" i="28"/>
  <c r="AD71" i="28"/>
  <c r="W71" i="28"/>
  <c r="J71" i="28"/>
  <c r="K71" i="28"/>
  <c r="L71" i="28"/>
  <c r="M71" i="28"/>
  <c r="AE71" i="28"/>
  <c r="R71" i="28"/>
  <c r="S71" i="28"/>
  <c r="T71" i="28"/>
  <c r="U71" i="28"/>
  <c r="Y71" i="28"/>
  <c r="Z71" i="28"/>
  <c r="AA71" i="28"/>
  <c r="AB71" i="28"/>
  <c r="AC71" i="28"/>
  <c r="X71" i="28"/>
  <c r="AF71" i="28"/>
  <c r="AH71" i="28"/>
  <c r="AI71" i="28"/>
  <c r="AJ71" i="28"/>
  <c r="X38" i="28"/>
  <c r="AA38" i="28"/>
  <c r="T38" i="28"/>
  <c r="AF38" i="28"/>
  <c r="AI38" i="28"/>
  <c r="AB38" i="28"/>
  <c r="J38" i="28"/>
  <c r="R38" i="28"/>
  <c r="Z38" i="28"/>
  <c r="M38" i="28"/>
  <c r="AH38" i="28"/>
  <c r="K38" i="28"/>
  <c r="U38" i="28"/>
  <c r="S38" i="28"/>
  <c r="AC38" i="28"/>
  <c r="V38" i="28"/>
  <c r="I38" i="28"/>
  <c r="P38" i="28"/>
  <c r="AE38" i="28"/>
  <c r="N38" i="28"/>
  <c r="AG38" i="28"/>
  <c r="W38" i="28"/>
  <c r="Y38" i="28"/>
  <c r="H38" i="28"/>
  <c r="AD38" i="28"/>
  <c r="O38" i="28"/>
  <c r="L38" i="28"/>
  <c r="Q38" i="28"/>
  <c r="AJ38" i="28"/>
  <c r="AJ70" i="28"/>
  <c r="AH70" i="28"/>
  <c r="AA70" i="28"/>
  <c r="N70" i="28"/>
  <c r="O70" i="28"/>
  <c r="P70" i="28"/>
  <c r="Q70" i="28"/>
  <c r="M70" i="28"/>
  <c r="Z70" i="28"/>
  <c r="I70" i="28"/>
  <c r="AI70" i="28"/>
  <c r="V70" i="28"/>
  <c r="W70" i="28"/>
  <c r="X70" i="28"/>
  <c r="Y70" i="28"/>
  <c r="S70" i="28"/>
  <c r="AD70" i="28"/>
  <c r="AE70" i="28"/>
  <c r="AF70" i="28"/>
  <c r="AG70" i="28"/>
  <c r="H70" i="28"/>
  <c r="L70" i="28"/>
  <c r="AC70" i="28"/>
  <c r="AB70" i="28"/>
  <c r="J70" i="28"/>
  <c r="U70" i="28"/>
  <c r="R70" i="28"/>
  <c r="K70" i="28"/>
  <c r="T70" i="28"/>
  <c r="AF23" i="28"/>
  <c r="O72" i="28"/>
  <c r="Q46" i="28"/>
  <c r="U72" i="28"/>
  <c r="H58" i="28"/>
  <c r="I72" i="28"/>
  <c r="Z59" i="28"/>
  <c r="Y59" i="28"/>
  <c r="H56" i="28"/>
  <c r="R59" i="28"/>
  <c r="Q59" i="28"/>
  <c r="AG46" i="28"/>
  <c r="S72" i="28"/>
  <c r="W51" i="28"/>
  <c r="Z72" i="28"/>
  <c r="Z58" i="28"/>
  <c r="R56" i="28"/>
  <c r="M51" i="28"/>
  <c r="U59" i="28"/>
  <c r="AB59" i="28"/>
  <c r="AE58" i="28"/>
  <c r="W56" i="28"/>
  <c r="Z51" i="28"/>
  <c r="J43" i="28"/>
  <c r="I43" i="28"/>
  <c r="M40" i="28"/>
  <c r="Z27" i="28"/>
  <c r="AB42" i="28"/>
  <c r="L26" i="28"/>
  <c r="I26" i="28"/>
  <c r="N72" i="28"/>
  <c r="U26" i="28"/>
  <c r="N26" i="28"/>
  <c r="W26" i="28"/>
  <c r="X26" i="28"/>
  <c r="Q26" i="28"/>
  <c r="AB26" i="28"/>
  <c r="AI26" i="28"/>
  <c r="S26" i="28"/>
  <c r="AC26" i="28"/>
  <c r="AF26" i="28"/>
  <c r="Y26" i="28"/>
  <c r="AJ26" i="28"/>
  <c r="AG26" i="28"/>
  <c r="K26" i="28"/>
  <c r="J26" i="28"/>
  <c r="AE26" i="28"/>
  <c r="R26" i="28"/>
  <c r="AD26" i="28"/>
  <c r="Z26" i="28"/>
  <c r="M26" i="28"/>
  <c r="AD39" i="28"/>
  <c r="AH39" i="28"/>
  <c r="M24" i="28"/>
  <c r="O24" i="28"/>
  <c r="P24" i="28"/>
  <c r="I24" i="28"/>
  <c r="AH24" i="28"/>
  <c r="U24" i="28"/>
  <c r="N24" i="28"/>
  <c r="W24" i="28"/>
  <c r="X24" i="28"/>
  <c r="Q24" i="28"/>
  <c r="AC24" i="28"/>
  <c r="V24" i="28"/>
  <c r="AE24" i="28"/>
  <c r="AF24" i="28"/>
  <c r="Y24" i="28"/>
  <c r="AI24" i="28"/>
  <c r="AD24" i="28"/>
  <c r="AG24" i="28"/>
  <c r="AB24" i="28"/>
  <c r="J24" i="28"/>
  <c r="R24" i="28"/>
  <c r="AA24" i="28"/>
  <c r="AJ24" i="28"/>
  <c r="AD56" i="28"/>
  <c r="V58" i="28"/>
  <c r="U58" i="28"/>
  <c r="N58" i="28"/>
  <c r="AI43" i="28"/>
  <c r="M58" i="28"/>
  <c r="AH43" i="28"/>
  <c r="O46" i="28"/>
  <c r="K72" i="28"/>
  <c r="AH59" i="28"/>
  <c r="R72" i="28"/>
  <c r="U51" i="28"/>
  <c r="R58" i="28"/>
  <c r="J56" i="28"/>
  <c r="O27" i="28"/>
  <c r="M59" i="28"/>
  <c r="AG56" i="28"/>
  <c r="W46" i="28"/>
  <c r="V40" i="28"/>
  <c r="T59" i="28"/>
  <c r="W58" i="28"/>
  <c r="O56" i="28"/>
  <c r="T64" i="28"/>
  <c r="AF59" i="28"/>
  <c r="O42" i="28"/>
  <c r="AE59" i="28"/>
  <c r="R51" i="28"/>
  <c r="AE19" i="28"/>
  <c r="U42" i="28"/>
  <c r="J27" i="28"/>
  <c r="AJ14" i="28"/>
  <c r="T42" i="28"/>
  <c r="AI14" i="28"/>
  <c r="J19" i="28"/>
  <c r="Z46" i="28"/>
  <c r="AH46" i="28"/>
  <c r="K46" i="28"/>
  <c r="P46" i="28"/>
  <c r="S46" i="28"/>
  <c r="X46" i="28"/>
  <c r="AA46" i="28"/>
  <c r="T46" i="28"/>
  <c r="AF46" i="28"/>
  <c r="AI46" i="28"/>
  <c r="AB46" i="28"/>
  <c r="J46" i="28"/>
  <c r="AJ72" i="28"/>
  <c r="AB72" i="28"/>
  <c r="H42" i="28"/>
  <c r="H40" i="28"/>
  <c r="AG40" i="28"/>
  <c r="AE40" i="28"/>
  <c r="M43" i="28"/>
  <c r="N46" i="28"/>
  <c r="AD58" i="28"/>
  <c r="H59" i="28"/>
  <c r="J72" i="28"/>
  <c r="AG59" i="28"/>
  <c r="J58" i="28"/>
  <c r="Z43" i="28"/>
  <c r="AG58" i="28"/>
  <c r="Y56" i="28"/>
  <c r="AC51" i="28"/>
  <c r="L59" i="28"/>
  <c r="AF56" i="28"/>
  <c r="V46" i="28"/>
  <c r="Q40" i="28"/>
  <c r="O58" i="28"/>
  <c r="V26" i="28"/>
  <c r="X59" i="28"/>
  <c r="W59" i="28"/>
  <c r="AI56" i="28"/>
  <c r="AA43" i="28"/>
  <c r="M42" i="28"/>
  <c r="T26" i="28"/>
  <c r="L46" i="28"/>
  <c r="P26" i="28"/>
  <c r="AC43" i="28"/>
  <c r="AD46" i="28"/>
  <c r="J42" i="28"/>
  <c r="AJ42" i="28"/>
  <c r="R42" i="28"/>
  <c r="Z42" i="28"/>
  <c r="AH42" i="28"/>
  <c r="K42" i="28"/>
  <c r="AC42" i="28"/>
  <c r="P42" i="28"/>
  <c r="S42" i="28"/>
  <c r="L42" i="28"/>
  <c r="X42" i="28"/>
  <c r="AA42" i="28"/>
  <c r="AF40" i="28"/>
  <c r="AI40" i="28"/>
  <c r="AB40" i="28"/>
  <c r="J40" i="28"/>
  <c r="AJ40" i="28"/>
  <c r="R40" i="28"/>
  <c r="Z40" i="28"/>
  <c r="AH40" i="28"/>
  <c r="U40" i="28"/>
  <c r="K40" i="28"/>
  <c r="P40" i="28"/>
  <c r="S40" i="28"/>
  <c r="AC72" i="28"/>
  <c r="H34" i="28"/>
  <c r="N56" i="28"/>
  <c r="M56" i="28"/>
  <c r="N40" i="28"/>
  <c r="K43" i="28"/>
  <c r="V42" i="28"/>
  <c r="H51" i="28"/>
  <c r="AC58" i="28"/>
  <c r="AE42" i="28"/>
  <c r="Y58" i="28"/>
  <c r="Q56" i="28"/>
  <c r="K51" i="28"/>
  <c r="AF58" i="28"/>
  <c r="X56" i="28"/>
  <c r="AA51" i="28"/>
  <c r="R43" i="28"/>
  <c r="P59" i="28"/>
  <c r="AJ56" i="28"/>
  <c r="AE46" i="28"/>
  <c r="O59" i="28"/>
  <c r="S56" i="28"/>
  <c r="AG42" i="28"/>
  <c r="L14" i="28"/>
  <c r="L24" i="28"/>
  <c r="AF45" i="28"/>
  <c r="X27" i="28"/>
  <c r="AI42" i="28"/>
  <c r="X40" i="28"/>
  <c r="M19" i="28"/>
  <c r="S19" i="28"/>
  <c r="V14" i="28"/>
  <c r="Q72" i="28"/>
  <c r="Q43" i="28"/>
  <c r="X43" i="28"/>
  <c r="J18" i="28"/>
  <c r="L18" i="28"/>
  <c r="R18" i="28"/>
  <c r="AI18" i="28"/>
  <c r="S18" i="28"/>
  <c r="Z18" i="28"/>
  <c r="M18" i="28"/>
  <c r="O18" i="28"/>
  <c r="P18" i="28"/>
  <c r="I18" i="28"/>
  <c r="AH18" i="28"/>
  <c r="U18" i="28"/>
  <c r="N18" i="28"/>
  <c r="W18" i="28"/>
  <c r="X18" i="28"/>
  <c r="Q18" i="28"/>
  <c r="K18" i="28"/>
  <c r="AC18" i="28"/>
  <c r="V18" i="28"/>
  <c r="AE18" i="28"/>
  <c r="AF18" i="28"/>
  <c r="Y18" i="28"/>
  <c r="AD18" i="28"/>
  <c r="AG18" i="28"/>
  <c r="AJ18" i="28"/>
  <c r="H26" i="28"/>
  <c r="N64" i="28"/>
  <c r="W34" i="28"/>
  <c r="N34" i="28"/>
  <c r="H24" i="28"/>
  <c r="H23" i="28"/>
  <c r="I40" i="28"/>
  <c r="V56" i="28"/>
  <c r="Q42" i="28"/>
  <c r="AD59" i="28"/>
  <c r="I42" i="28"/>
  <c r="Q58" i="28"/>
  <c r="I56" i="28"/>
  <c r="K27" i="28"/>
  <c r="X58" i="28"/>
  <c r="P56" i="28"/>
  <c r="J51" i="28"/>
  <c r="AI59" i="28"/>
  <c r="W42" i="28"/>
  <c r="AJ58" i="28"/>
  <c r="AB56" i="28"/>
  <c r="AI51" i="28"/>
  <c r="I46" i="28"/>
  <c r="AE27" i="28"/>
  <c r="AA58" i="28"/>
  <c r="K56" i="28"/>
  <c r="N42" i="28"/>
  <c r="K14" i="28"/>
  <c r="AC46" i="28"/>
  <c r="T40" i="28"/>
  <c r="AJ34" i="28"/>
  <c r="AA40" i="28"/>
  <c r="R46" i="28"/>
  <c r="L72" i="28"/>
  <c r="M72" i="28"/>
  <c r="L43" i="28"/>
  <c r="O43" i="28"/>
  <c r="T43" i="28"/>
  <c r="W43" i="28"/>
  <c r="P43" i="28"/>
  <c r="AB43" i="28"/>
  <c r="AE43" i="28"/>
  <c r="AJ43" i="28"/>
  <c r="N43" i="28"/>
  <c r="V43" i="28"/>
  <c r="AD43" i="28"/>
  <c r="AH72" i="28"/>
  <c r="N27" i="28"/>
  <c r="V27" i="28"/>
  <c r="P27" i="28"/>
  <c r="W27" i="28"/>
  <c r="I27" i="28"/>
  <c r="L27" i="28"/>
  <c r="AD27" i="28"/>
  <c r="AF27" i="28"/>
  <c r="Q27" i="28"/>
  <c r="T27" i="28"/>
  <c r="M27" i="28"/>
  <c r="Y27" i="28"/>
  <c r="AB27" i="28"/>
  <c r="U27" i="28"/>
  <c r="AG27" i="28"/>
  <c r="AJ27" i="28"/>
  <c r="AC27" i="28"/>
  <c r="S27" i="28"/>
  <c r="R27" i="28"/>
  <c r="AI27" i="28"/>
  <c r="N51" i="28"/>
  <c r="V51" i="28"/>
  <c r="AD51" i="28"/>
  <c r="L51" i="28"/>
  <c r="O51" i="28"/>
  <c r="AG51" i="28"/>
  <c r="AH51" i="28"/>
  <c r="T51" i="28"/>
  <c r="AB51" i="28"/>
  <c r="H14" i="28"/>
  <c r="H18" i="28"/>
  <c r="AG72" i="28"/>
  <c r="AF72" i="28"/>
  <c r="AE72" i="28"/>
  <c r="AD72" i="28"/>
  <c r="U56" i="28"/>
  <c r="J64" i="28"/>
  <c r="V59" i="28"/>
  <c r="AG64" i="28"/>
  <c r="Q60" i="28"/>
  <c r="I58" i="28"/>
  <c r="U43" i="28"/>
  <c r="P58" i="28"/>
  <c r="AA26" i="28"/>
  <c r="AA59" i="28"/>
  <c r="K55" i="28"/>
  <c r="AA34" i="28"/>
  <c r="AB58" i="28"/>
  <c r="T56" i="28"/>
  <c r="S51" i="28"/>
  <c r="T24" i="28"/>
  <c r="AI60" i="28"/>
  <c r="S58" i="28"/>
  <c r="Y51" i="28"/>
  <c r="U46" i="28"/>
  <c r="AG43" i="28"/>
  <c r="X51" i="28"/>
  <c r="L40" i="28"/>
  <c r="K24" i="28"/>
  <c r="AH26" i="28"/>
  <c r="Y14" i="28"/>
  <c r="P72" i="28"/>
  <c r="AD14" i="28"/>
  <c r="AG14" i="28"/>
  <c r="AA14" i="28"/>
  <c r="J14" i="28"/>
  <c r="T14" i="28"/>
  <c r="R14" i="28"/>
  <c r="Z14" i="28"/>
  <c r="M14" i="28"/>
  <c r="O14" i="28"/>
  <c r="P14" i="28"/>
  <c r="I14" i="28"/>
  <c r="AH14" i="28"/>
  <c r="S14" i="28"/>
  <c r="AB14" i="28"/>
  <c r="U14" i="28"/>
  <c r="N14" i="28"/>
  <c r="W14" i="28"/>
  <c r="X14" i="28"/>
  <c r="Q14" i="28"/>
  <c r="AC14" i="28"/>
  <c r="J34" i="28"/>
  <c r="R34" i="28"/>
  <c r="O34" i="28"/>
  <c r="Z34" i="28"/>
  <c r="AE34" i="28"/>
  <c r="M34" i="28"/>
  <c r="P34" i="28"/>
  <c r="I34" i="28"/>
  <c r="AH34" i="28"/>
  <c r="U34" i="28"/>
  <c r="X34" i="28"/>
  <c r="Q34" i="28"/>
  <c r="K34" i="28"/>
  <c r="AC34" i="28"/>
  <c r="AF34" i="28"/>
  <c r="Y34" i="28"/>
  <c r="L34" i="28"/>
  <c r="S34" i="28"/>
  <c r="AG34" i="28"/>
  <c r="AB34" i="28"/>
  <c r="AI34" i="28"/>
  <c r="Y19" i="28"/>
  <c r="R19" i="28"/>
  <c r="AA19" i="28"/>
  <c r="AB19" i="28"/>
  <c r="U19" i="28"/>
  <c r="AG19" i="28"/>
  <c r="Z19" i="28"/>
  <c r="AI19" i="28"/>
  <c r="AJ19" i="28"/>
  <c r="AC19" i="28"/>
  <c r="P19" i="28"/>
  <c r="AH19" i="28"/>
  <c r="N19" i="28"/>
  <c r="V19" i="28"/>
  <c r="O19" i="28"/>
  <c r="I19" i="28"/>
  <c r="K19" i="28"/>
  <c r="L19" i="28"/>
  <c r="AD19" i="28"/>
  <c r="Q19" i="28"/>
  <c r="T72" i="28"/>
  <c r="H46" i="28"/>
  <c r="Y72" i="28"/>
  <c r="X72" i="28"/>
  <c r="H72" i="28"/>
  <c r="W72" i="28"/>
  <c r="V72" i="28"/>
  <c r="AI72" i="28"/>
  <c r="H27" i="28"/>
  <c r="U64" i="28"/>
  <c r="N59" i="28"/>
  <c r="AH56" i="28"/>
  <c r="Y46" i="28"/>
  <c r="W40" i="28"/>
  <c r="AD42" i="28"/>
  <c r="AA18" i="28"/>
  <c r="AF64" i="28"/>
  <c r="P60" i="28"/>
  <c r="S43" i="28"/>
  <c r="T58" i="28"/>
  <c r="L56" i="28"/>
  <c r="AF19" i="28"/>
  <c r="K58" i="28"/>
  <c r="W55" i="28"/>
  <c r="Y40" i="28"/>
  <c r="Q51" i="28"/>
  <c r="M46" i="28"/>
  <c r="Y43" i="28"/>
  <c r="V34" i="28"/>
  <c r="X19" i="28"/>
  <c r="P51" i="28"/>
  <c r="AF43" i="28"/>
  <c r="AJ51" i="28"/>
  <c r="Z24" i="28"/>
  <c r="T74" i="28"/>
  <c r="U74" i="28"/>
  <c r="G36" i="27"/>
  <c r="G21" i="27"/>
  <c r="G42" i="27"/>
  <c r="G35" i="27"/>
  <c r="G44" i="27"/>
  <c r="G29" i="27"/>
  <c r="G22" i="27"/>
  <c r="G40" i="27"/>
  <c r="G41" i="27"/>
  <c r="G50" i="27"/>
  <c r="G43" i="27"/>
  <c r="G52" i="27"/>
  <c r="G37" i="27"/>
  <c r="G54" i="27"/>
  <c r="G39" i="27"/>
  <c r="G49" i="27"/>
  <c r="G58" i="27"/>
  <c r="G51" i="27"/>
  <c r="G60" i="27"/>
  <c r="G45" i="27"/>
  <c r="G30" i="27"/>
  <c r="G56" i="27"/>
  <c r="G57" i="27"/>
  <c r="G66" i="27"/>
  <c r="G59" i="27"/>
  <c r="G68" i="27"/>
  <c r="G53" i="27"/>
  <c r="G34" i="27"/>
  <c r="G65" i="27"/>
  <c r="G74" i="27"/>
  <c r="G67" i="27"/>
  <c r="G61" i="27"/>
  <c r="G73" i="27"/>
  <c r="G20" i="27"/>
  <c r="G69" i="27"/>
  <c r="D13" i="21" a="1"/>
  <c r="D13" i="21" s="1"/>
  <c r="C13" i="21" a="1"/>
  <c r="O6" i="19"/>
  <c r="O5" i="19"/>
  <c r="O4" i="19"/>
  <c r="D14" i="19" a="1"/>
  <c r="D14" i="19" s="1"/>
  <c r="J18" i="27" l="1"/>
  <c r="J30" i="27"/>
  <c r="J39" i="27"/>
  <c r="J38" i="27"/>
  <c r="J62" i="27"/>
  <c r="J73" i="27"/>
  <c r="J64" i="27"/>
  <c r="J19" i="27"/>
  <c r="J14" i="27"/>
  <c r="J33" i="27"/>
  <c r="J21" i="27"/>
  <c r="J55" i="27"/>
  <c r="J13" i="27"/>
  <c r="J69" i="27"/>
  <c r="J58" i="27"/>
  <c r="J54" i="27"/>
  <c r="J70" i="27"/>
  <c r="J37" i="27"/>
  <c r="J40" i="27"/>
  <c r="J22" i="27"/>
  <c r="J57" i="27"/>
  <c r="J67" i="27"/>
  <c r="J36" i="27"/>
  <c r="J72" i="27"/>
  <c r="J29" i="27"/>
  <c r="J28" i="27"/>
  <c r="J35" i="27"/>
  <c r="J71" i="27"/>
  <c r="J20" i="27"/>
  <c r="J27" i="27"/>
  <c r="J46" i="27"/>
  <c r="J48" i="27"/>
  <c r="J74" i="27"/>
  <c r="J66" i="27"/>
  <c r="J24" i="27"/>
  <c r="J59" i="27"/>
  <c r="J31" i="27"/>
  <c r="J16" i="27"/>
  <c r="J49" i="27"/>
  <c r="J32" i="27"/>
  <c r="J68" i="27"/>
  <c r="J61" i="27"/>
  <c r="J65" i="27"/>
  <c r="J53" i="27"/>
  <c r="J45" i="27"/>
  <c r="J17" i="27"/>
  <c r="J56" i="27"/>
  <c r="J50" i="27"/>
  <c r="J63" i="27"/>
  <c r="J60" i="27"/>
  <c r="J26" i="27"/>
  <c r="J52" i="27"/>
  <c r="J44" i="27"/>
  <c r="J15" i="27"/>
  <c r="J47" i="27"/>
  <c r="J41" i="27"/>
  <c r="J23" i="27"/>
  <c r="J42" i="27"/>
  <c r="J25" i="27"/>
  <c r="J51" i="27"/>
  <c r="J43" i="27"/>
  <c r="G13" i="27"/>
  <c r="AX13" i="28"/>
  <c r="AZ13" i="28"/>
  <c r="BC13" i="28"/>
  <c r="BE13" i="28"/>
  <c r="BD13" i="28"/>
  <c r="BF13" i="28"/>
  <c r="AY13" i="28"/>
  <c r="BA13" i="28"/>
  <c r="AW13" i="28"/>
  <c r="BB13" i="28"/>
  <c r="BB13" i="29"/>
  <c r="BA13" i="29"/>
  <c r="AY13" i="29"/>
  <c r="BD13" i="29"/>
  <c r="BC13" i="29"/>
  <c r="AZ13" i="29"/>
  <c r="BE13" i="29"/>
  <c r="BF13" i="29"/>
  <c r="AW13" i="29"/>
  <c r="AX13" i="29"/>
  <c r="H13" i="28"/>
  <c r="I13" i="28"/>
  <c r="AK13" i="29"/>
  <c r="AV13" i="29"/>
  <c r="AS13" i="29"/>
  <c r="AM13" i="29"/>
  <c r="AQ13" i="29"/>
  <c r="AU13" i="29"/>
  <c r="AT13" i="29"/>
  <c r="AR13" i="29"/>
  <c r="AL13" i="29"/>
  <c r="AN13" i="29"/>
  <c r="AP13" i="29"/>
  <c r="AO13" i="29"/>
  <c r="AT13" i="28"/>
  <c r="AN13" i="28"/>
  <c r="AM13" i="28"/>
  <c r="AP13" i="28"/>
  <c r="AL13" i="28"/>
  <c r="AU13" i="28"/>
  <c r="AO13" i="28"/>
  <c r="AV13" i="28"/>
  <c r="AR13" i="28"/>
  <c r="AQ13" i="28"/>
  <c r="AS13" i="28"/>
  <c r="AK13" i="28"/>
  <c r="F61" i="29"/>
  <c r="F52" i="29"/>
  <c r="F16" i="29"/>
  <c r="F67" i="29"/>
  <c r="F24" i="29"/>
  <c r="F70" i="29"/>
  <c r="F15" i="29"/>
  <c r="F32" i="29"/>
  <c r="F48" i="29"/>
  <c r="F68" i="29"/>
  <c r="F23" i="29"/>
  <c r="F17" i="29"/>
  <c r="F19" i="29"/>
  <c r="F56" i="29"/>
  <c r="F73" i="29"/>
  <c r="F74" i="29"/>
  <c r="F62" i="29"/>
  <c r="F71" i="29"/>
  <c r="F40" i="29"/>
  <c r="F69" i="29"/>
  <c r="F18" i="29"/>
  <c r="F14" i="29"/>
  <c r="F26" i="29"/>
  <c r="F60" i="29"/>
  <c r="AJ13" i="29"/>
  <c r="U13" i="29"/>
  <c r="N13" i="29"/>
  <c r="R13" i="29"/>
  <c r="AC13" i="29"/>
  <c r="V13" i="29"/>
  <c r="Z13" i="29"/>
  <c r="AD13" i="29"/>
  <c r="O13" i="29"/>
  <c r="AH13" i="29"/>
  <c r="K13" i="29"/>
  <c r="W13" i="29"/>
  <c r="Q13" i="29"/>
  <c r="AA13" i="29"/>
  <c r="L13" i="29"/>
  <c r="AG13" i="29"/>
  <c r="H13" i="29"/>
  <c r="S13" i="29"/>
  <c r="AI13" i="29"/>
  <c r="T13" i="29"/>
  <c r="X13" i="29"/>
  <c r="AB13" i="29"/>
  <c r="M13" i="29"/>
  <c r="P13" i="29"/>
  <c r="J13" i="29"/>
  <c r="AE13" i="29"/>
  <c r="AF13" i="29"/>
  <c r="Y13" i="29"/>
  <c r="I13" i="29"/>
  <c r="F47" i="29"/>
  <c r="F45" i="29"/>
  <c r="F49" i="29"/>
  <c r="F50" i="29"/>
  <c r="F38" i="29"/>
  <c r="F43" i="29"/>
  <c r="F36" i="29"/>
  <c r="F46" i="29"/>
  <c r="F41" i="29"/>
  <c r="F37" i="29"/>
  <c r="F51" i="29"/>
  <c r="F39" i="29"/>
  <c r="F20" i="29"/>
  <c r="F29" i="29"/>
  <c r="F58" i="29"/>
  <c r="F55" i="29"/>
  <c r="F28" i="29"/>
  <c r="F22" i="29"/>
  <c r="F72" i="29"/>
  <c r="F25" i="29"/>
  <c r="F34" i="29"/>
  <c r="F21" i="29"/>
  <c r="F27" i="29"/>
  <c r="F31" i="29"/>
  <c r="F64" i="29"/>
  <c r="F44" i="29"/>
  <c r="F35" i="29"/>
  <c r="F65" i="29"/>
  <c r="F57" i="29"/>
  <c r="F33" i="29"/>
  <c r="F66" i="29"/>
  <c r="F30" i="29"/>
  <c r="F59" i="29"/>
  <c r="F42" i="29"/>
  <c r="F54" i="29"/>
  <c r="F53" i="29"/>
  <c r="F63" i="29"/>
  <c r="R60" i="28"/>
  <c r="T60" i="28"/>
  <c r="AA32" i="28"/>
  <c r="AF60" i="28"/>
  <c r="AD60" i="28"/>
  <c r="AH60" i="28"/>
  <c r="J60" i="28"/>
  <c r="S60" i="28"/>
  <c r="K60" i="28"/>
  <c r="I60" i="28"/>
  <c r="X60" i="28"/>
  <c r="AE60" i="28"/>
  <c r="K23" i="28"/>
  <c r="AH25" i="28"/>
  <c r="O23" i="28"/>
  <c r="V64" i="28"/>
  <c r="O25" i="28"/>
  <c r="K64" i="28"/>
  <c r="W64" i="28"/>
  <c r="Y60" i="28"/>
  <c r="N60" i="28"/>
  <c r="AG60" i="28"/>
  <c r="AD64" i="28"/>
  <c r="Z60" i="28"/>
  <c r="L60" i="28"/>
  <c r="X23" i="28"/>
  <c r="AB60" i="28"/>
  <c r="AJ60" i="28"/>
  <c r="M60" i="28"/>
  <c r="W60" i="28"/>
  <c r="AB64" i="28"/>
  <c r="AA60" i="28"/>
  <c r="U60" i="28"/>
  <c r="V60" i="28"/>
  <c r="AA64" i="28"/>
  <c r="H60" i="28"/>
  <c r="N50" i="28"/>
  <c r="AD32" i="28"/>
  <c r="N23" i="28"/>
  <c r="P23" i="28"/>
  <c r="AA23" i="28"/>
  <c r="X32" i="28"/>
  <c r="Y23" i="28"/>
  <c r="AE32" i="28"/>
  <c r="S23" i="28"/>
  <c r="AF50" i="28"/>
  <c r="U32" i="28"/>
  <c r="T32" i="28"/>
  <c r="X50" i="28"/>
  <c r="AE50" i="28"/>
  <c r="L32" i="28"/>
  <c r="AH32" i="28"/>
  <c r="R32" i="28"/>
  <c r="S32" i="28"/>
  <c r="AA50" i="28"/>
  <c r="W50" i="28"/>
  <c r="U50" i="28"/>
  <c r="AG50" i="28"/>
  <c r="P50" i="28"/>
  <c r="Y50" i="28"/>
  <c r="W32" i="28"/>
  <c r="I32" i="28"/>
  <c r="K32" i="28"/>
  <c r="AH50" i="28"/>
  <c r="T50" i="28"/>
  <c r="K50" i="28"/>
  <c r="AB50" i="28"/>
  <c r="Y32" i="28"/>
  <c r="P32" i="28"/>
  <c r="J32" i="28"/>
  <c r="AI50" i="28"/>
  <c r="V50" i="28"/>
  <c r="H50" i="28"/>
  <c r="O32" i="28"/>
  <c r="AF32" i="28"/>
  <c r="M32" i="28"/>
  <c r="Z50" i="28"/>
  <c r="AB32" i="28"/>
  <c r="AC32" i="28"/>
  <c r="AJ32" i="28"/>
  <c r="O50" i="28"/>
  <c r="V32" i="28"/>
  <c r="R50" i="28"/>
  <c r="Q32" i="28"/>
  <c r="Z32" i="28"/>
  <c r="Q50" i="28"/>
  <c r="N32" i="28"/>
  <c r="AC50" i="28"/>
  <c r="J50" i="28"/>
  <c r="AC60" i="28"/>
  <c r="Z64" i="28"/>
  <c r="J23" i="28"/>
  <c r="Y64" i="28"/>
  <c r="AD23" i="28"/>
  <c r="O64" i="28"/>
  <c r="M64" i="28"/>
  <c r="AB23" i="28"/>
  <c r="L23" i="28"/>
  <c r="AJ23" i="28"/>
  <c r="AE64" i="28"/>
  <c r="W23" i="28"/>
  <c r="AH23" i="28"/>
  <c r="AB55" i="28"/>
  <c r="S33" i="28"/>
  <c r="X39" i="28"/>
  <c r="J39" i="28"/>
  <c r="Q39" i="28"/>
  <c r="AG39" i="28"/>
  <c r="P55" i="28"/>
  <c r="AE39" i="28"/>
  <c r="M39" i="28"/>
  <c r="AB39" i="28"/>
  <c r="O33" i="28"/>
  <c r="W39" i="28"/>
  <c r="AC39" i="28"/>
  <c r="Z39" i="28"/>
  <c r="AC33" i="28"/>
  <c r="H39" i="28"/>
  <c r="N39" i="28"/>
  <c r="T39" i="28"/>
  <c r="AD34" i="28"/>
  <c r="F34" i="28" s="1"/>
  <c r="V39" i="28"/>
  <c r="I39" i="28"/>
  <c r="U55" i="28"/>
  <c r="Q55" i="28"/>
  <c r="R39" i="28"/>
  <c r="H33" i="28"/>
  <c r="M33" i="28"/>
  <c r="Y39" i="28"/>
  <c r="AA39" i="28"/>
  <c r="AF39" i="28"/>
  <c r="O39" i="28"/>
  <c r="K39" i="28"/>
  <c r="P39" i="28"/>
  <c r="S39" i="28"/>
  <c r="AI39" i="28"/>
  <c r="T33" i="28"/>
  <c r="AJ39" i="28"/>
  <c r="L39" i="28"/>
  <c r="W33" i="28"/>
  <c r="AI32" i="28"/>
  <c r="Z23" i="28"/>
  <c r="L64" i="28"/>
  <c r="AC64" i="28"/>
  <c r="AI23" i="28"/>
  <c r="L50" i="28"/>
  <c r="AG23" i="28"/>
  <c r="M23" i="28"/>
  <c r="I23" i="28"/>
  <c r="R64" i="28"/>
  <c r="M50" i="28"/>
  <c r="AH64" i="28"/>
  <c r="AJ25" i="28"/>
  <c r="AC23" i="28"/>
  <c r="P64" i="28"/>
  <c r="S50" i="28"/>
  <c r="U23" i="28"/>
  <c r="T23" i="28"/>
  <c r="V23" i="28"/>
  <c r="AI25" i="28"/>
  <c r="L45" i="28"/>
  <c r="Y25" i="28"/>
  <c r="Z45" i="28"/>
  <c r="S64" i="28"/>
  <c r="AA45" i="28"/>
  <c r="H32" i="28"/>
  <c r="P25" i="28"/>
  <c r="V45" i="28"/>
  <c r="AJ50" i="28"/>
  <c r="R23" i="28"/>
  <c r="Q23" i="28"/>
  <c r="AD50" i="28"/>
  <c r="AD25" i="28"/>
  <c r="N45" i="28"/>
  <c r="L25" i="28"/>
  <c r="T45" i="28"/>
  <c r="P13" i="28"/>
  <c r="J33" i="28"/>
  <c r="I33" i="28"/>
  <c r="AG55" i="28"/>
  <c r="N33" i="28"/>
  <c r="U33" i="28"/>
  <c r="U25" i="28"/>
  <c r="T25" i="28"/>
  <c r="V25" i="28"/>
  <c r="AE45" i="28"/>
  <c r="K45" i="28"/>
  <c r="AG45" i="28"/>
  <c r="AJ55" i="28"/>
  <c r="W25" i="28"/>
  <c r="H25" i="28"/>
  <c r="J45" i="28"/>
  <c r="AH55" i="28"/>
  <c r="AH33" i="28"/>
  <c r="P33" i="28"/>
  <c r="AB33" i="28"/>
  <c r="O45" i="28"/>
  <c r="AC45" i="28"/>
  <c r="AB25" i="28"/>
  <c r="S25" i="28"/>
  <c r="N25" i="28"/>
  <c r="AD45" i="28"/>
  <c r="AB45" i="28"/>
  <c r="X55" i="28"/>
  <c r="L55" i="28"/>
  <c r="AE55" i="28"/>
  <c r="Z33" i="28"/>
  <c r="H45" i="28"/>
  <c r="AI33" i="28"/>
  <c r="AA55" i="28"/>
  <c r="S45" i="28"/>
  <c r="Z55" i="28"/>
  <c r="AE33" i="28"/>
  <c r="Y33" i="28"/>
  <c r="AA25" i="28"/>
  <c r="J25" i="28"/>
  <c r="AI45" i="28"/>
  <c r="P45" i="28"/>
  <c r="R33" i="28"/>
  <c r="H55" i="28"/>
  <c r="X25" i="28"/>
  <c r="L33" i="28"/>
  <c r="N55" i="28"/>
  <c r="J55" i="28"/>
  <c r="Y55" i="28"/>
  <c r="X33" i="28"/>
  <c r="AA33" i="28"/>
  <c r="AC25" i="28"/>
  <c r="R25" i="28"/>
  <c r="Q25" i="28"/>
  <c r="I45" i="28"/>
  <c r="W45" i="28"/>
  <c r="R45" i="28"/>
  <c r="AC55" i="28"/>
  <c r="S55" i="28"/>
  <c r="V33" i="28"/>
  <c r="AJ33" i="28"/>
  <c r="Q33" i="28"/>
  <c r="U45" i="28"/>
  <c r="Z25" i="28"/>
  <c r="AF25" i="28"/>
  <c r="K25" i="28"/>
  <c r="K33" i="28"/>
  <c r="Q45" i="28"/>
  <c r="AJ45" i="28"/>
  <c r="M45" i="28"/>
  <c r="R55" i="28"/>
  <c r="I55" i="28"/>
  <c r="AH45" i="28"/>
  <c r="V55" i="28"/>
  <c r="AF33" i="28"/>
  <c r="AG33" i="28"/>
  <c r="AG25" i="28"/>
  <c r="M25" i="28"/>
  <c r="I25" i="28"/>
  <c r="X45" i="28"/>
  <c r="F27" i="28"/>
  <c r="F46" i="28"/>
  <c r="F43" i="28"/>
  <c r="F74" i="28"/>
  <c r="F72" i="28"/>
  <c r="F24" i="28"/>
  <c r="F26" i="28"/>
  <c r="F59" i="28"/>
  <c r="F40" i="28"/>
  <c r="F38" i="28"/>
  <c r="F42" i="28"/>
  <c r="F18" i="28"/>
  <c r="F58" i="28"/>
  <c r="F71" i="28"/>
  <c r="F14" i="28"/>
  <c r="AI64" i="28"/>
  <c r="Q64" i="28"/>
  <c r="X64" i="28"/>
  <c r="H64" i="28"/>
  <c r="AJ64" i="28"/>
  <c r="AI55" i="28"/>
  <c r="O55" i="28"/>
  <c r="T55" i="28"/>
  <c r="AF55" i="28"/>
  <c r="M55" i="28"/>
  <c r="F70" i="28"/>
  <c r="F51" i="28"/>
  <c r="F56" i="28"/>
  <c r="F19" i="28"/>
  <c r="P52" i="28"/>
  <c r="T52" i="28"/>
  <c r="J52" i="28"/>
  <c r="AI52" i="28"/>
  <c r="W52" i="28"/>
  <c r="Q52" i="28"/>
  <c r="U52" i="28"/>
  <c r="V52" i="28"/>
  <c r="AC52" i="28"/>
  <c r="AD52" i="28"/>
  <c r="AA52" i="28"/>
  <c r="AE52" i="28"/>
  <c r="Z52" i="28"/>
  <c r="AH52" i="28"/>
  <c r="L52" i="28"/>
  <c r="S52" i="28"/>
  <c r="AB52" i="28"/>
  <c r="N52" i="28"/>
  <c r="H52" i="28"/>
  <c r="AJ52" i="28"/>
  <c r="X52" i="28"/>
  <c r="O52" i="28"/>
  <c r="M52" i="28"/>
  <c r="K52" i="28"/>
  <c r="R52" i="28"/>
  <c r="AF52" i="28"/>
  <c r="Y52" i="28"/>
  <c r="I52" i="28"/>
  <c r="AG52" i="28"/>
  <c r="AG21" i="28"/>
  <c r="Z21" i="28"/>
  <c r="AI21" i="28"/>
  <c r="AJ21" i="28"/>
  <c r="AC21" i="28"/>
  <c r="P21" i="28"/>
  <c r="AH21" i="28"/>
  <c r="AF21" i="28"/>
  <c r="N21" i="28"/>
  <c r="O21" i="28"/>
  <c r="X21" i="28"/>
  <c r="V21" i="28"/>
  <c r="AE21" i="28"/>
  <c r="I21" i="28"/>
  <c r="K21" i="28"/>
  <c r="L21" i="28"/>
  <c r="AD21" i="28"/>
  <c r="Q21" i="28"/>
  <c r="J21" i="28"/>
  <c r="S21" i="28"/>
  <c r="T21" i="28"/>
  <c r="M21" i="28"/>
  <c r="Y21" i="28"/>
  <c r="AB21" i="28"/>
  <c r="H21" i="28"/>
  <c r="W21" i="28"/>
  <c r="AA21" i="28"/>
  <c r="U21" i="28"/>
  <c r="R21" i="28"/>
  <c r="K57" i="28"/>
  <c r="AJ57" i="28"/>
  <c r="AC57" i="28"/>
  <c r="AB57" i="28"/>
  <c r="S57" i="28"/>
  <c r="N57" i="28"/>
  <c r="AE57" i="28"/>
  <c r="AA57" i="28"/>
  <c r="V57" i="28"/>
  <c r="Y57" i="28"/>
  <c r="AH57" i="28"/>
  <c r="AI57" i="28"/>
  <c r="AD57" i="28"/>
  <c r="Z57" i="28"/>
  <c r="AG57" i="28"/>
  <c r="U57" i="28"/>
  <c r="P57" i="28"/>
  <c r="I57" i="28"/>
  <c r="J57" i="28"/>
  <c r="Q57" i="28"/>
  <c r="R57" i="28"/>
  <c r="O57" i="28"/>
  <c r="X57" i="28"/>
  <c r="L57" i="28"/>
  <c r="W57" i="28"/>
  <c r="AF57" i="28"/>
  <c r="T57" i="28"/>
  <c r="M57" i="28"/>
  <c r="H57" i="28"/>
  <c r="H29" i="28"/>
  <c r="V29" i="28"/>
  <c r="K29" i="28"/>
  <c r="I29" i="28"/>
  <c r="L29" i="28"/>
  <c r="AD29" i="28"/>
  <c r="AA29" i="28"/>
  <c r="Q29" i="28"/>
  <c r="T29" i="28"/>
  <c r="M29" i="28"/>
  <c r="Y29" i="28"/>
  <c r="AB29" i="28"/>
  <c r="U29" i="28"/>
  <c r="AG29" i="28"/>
  <c r="AJ29" i="28"/>
  <c r="AC29" i="28"/>
  <c r="O29" i="28"/>
  <c r="X29" i="28"/>
  <c r="AE29" i="28"/>
  <c r="P29" i="28"/>
  <c r="R29" i="28"/>
  <c r="S29" i="28"/>
  <c r="AI29" i="28"/>
  <c r="Z29" i="28"/>
  <c r="AH29" i="28"/>
  <c r="N29" i="28"/>
  <c r="W29" i="28"/>
  <c r="AF29" i="28"/>
  <c r="J29" i="28"/>
  <c r="I31" i="28"/>
  <c r="L31" i="28"/>
  <c r="AD31" i="28"/>
  <c r="P31" i="28"/>
  <c r="W31" i="28"/>
  <c r="Q31" i="28"/>
  <c r="T31" i="28"/>
  <c r="M31" i="28"/>
  <c r="AF31" i="28"/>
  <c r="X31" i="28"/>
  <c r="Y31" i="28"/>
  <c r="AB31" i="28"/>
  <c r="U31" i="28"/>
  <c r="AG31" i="28"/>
  <c r="AJ31" i="28"/>
  <c r="AC31" i="28"/>
  <c r="S31" i="28"/>
  <c r="AI31" i="28"/>
  <c r="N31" i="28"/>
  <c r="O31" i="28"/>
  <c r="AA31" i="28"/>
  <c r="R31" i="28"/>
  <c r="J31" i="28"/>
  <c r="V31" i="28"/>
  <c r="Z31" i="28"/>
  <c r="H31" i="28"/>
  <c r="K31" i="28"/>
  <c r="AE31" i="28"/>
  <c r="AH31" i="28"/>
  <c r="I15" i="28"/>
  <c r="K15" i="28"/>
  <c r="L15" i="28"/>
  <c r="AD15" i="28"/>
  <c r="Q15" i="28"/>
  <c r="J15" i="28"/>
  <c r="S15" i="28"/>
  <c r="T15" i="28"/>
  <c r="M15" i="28"/>
  <c r="Y15" i="28"/>
  <c r="R15" i="28"/>
  <c r="AA15" i="28"/>
  <c r="AB15" i="28"/>
  <c r="U15" i="28"/>
  <c r="AE15" i="28"/>
  <c r="AG15" i="28"/>
  <c r="Z15" i="28"/>
  <c r="AI15" i="28"/>
  <c r="AJ15" i="28"/>
  <c r="AC15" i="28"/>
  <c r="X15" i="28"/>
  <c r="AH15" i="28"/>
  <c r="N15" i="28"/>
  <c r="W15" i="28"/>
  <c r="AF15" i="28"/>
  <c r="P15" i="28"/>
  <c r="H15" i="28"/>
  <c r="V15" i="28"/>
  <c r="O15" i="28"/>
  <c r="AH48" i="28"/>
  <c r="K48" i="28"/>
  <c r="P48" i="28"/>
  <c r="X48" i="28"/>
  <c r="AF48" i="28"/>
  <c r="AI48" i="28"/>
  <c r="AB48" i="28"/>
  <c r="J48" i="28"/>
  <c r="R48" i="28"/>
  <c r="AA48" i="28"/>
  <c r="L48" i="28"/>
  <c r="AC48" i="28"/>
  <c r="AE48" i="28"/>
  <c r="I48" i="28"/>
  <c r="T48" i="28"/>
  <c r="O48" i="28"/>
  <c r="AJ48" i="28"/>
  <c r="Y48" i="28"/>
  <c r="N48" i="28"/>
  <c r="AD48" i="28"/>
  <c r="Z48" i="28"/>
  <c r="AG48" i="28"/>
  <c r="S48" i="28"/>
  <c r="U48" i="28"/>
  <c r="V48" i="28"/>
  <c r="Q48" i="28"/>
  <c r="W48" i="28"/>
  <c r="H48" i="28"/>
  <c r="M48" i="28"/>
  <c r="Y35" i="28"/>
  <c r="AB35" i="28"/>
  <c r="U35" i="28"/>
  <c r="AF35" i="28"/>
  <c r="X35" i="28"/>
  <c r="AG35" i="28"/>
  <c r="AJ35" i="28"/>
  <c r="AC35" i="28"/>
  <c r="S35" i="28"/>
  <c r="N35" i="28"/>
  <c r="AI35" i="28"/>
  <c r="J35" i="28"/>
  <c r="V35" i="28"/>
  <c r="I35" i="28"/>
  <c r="L35" i="28"/>
  <c r="AD35" i="28"/>
  <c r="T35" i="28"/>
  <c r="W35" i="28"/>
  <c r="AE35" i="28"/>
  <c r="P35" i="28"/>
  <c r="Z35" i="28"/>
  <c r="H35" i="28"/>
  <c r="AH35" i="28"/>
  <c r="Q35" i="28"/>
  <c r="M35" i="28"/>
  <c r="O35" i="28"/>
  <c r="R35" i="28"/>
  <c r="K35" i="28"/>
  <c r="AA35" i="28"/>
  <c r="AB68" i="28"/>
  <c r="AC68" i="28"/>
  <c r="K68" i="28"/>
  <c r="Z68" i="28"/>
  <c r="S68" i="28"/>
  <c r="L68" i="28"/>
  <c r="T68" i="28"/>
  <c r="J68" i="28"/>
  <c r="AH68" i="28"/>
  <c r="AA68" i="28"/>
  <c r="N68" i="28"/>
  <c r="O68" i="28"/>
  <c r="P68" i="28"/>
  <c r="Q68" i="28"/>
  <c r="AI68" i="28"/>
  <c r="V68" i="28"/>
  <c r="W68" i="28"/>
  <c r="X68" i="28"/>
  <c r="Y68" i="28"/>
  <c r="M68" i="28"/>
  <c r="AD68" i="28"/>
  <c r="AE68" i="28"/>
  <c r="AF68" i="28"/>
  <c r="AG68" i="28"/>
  <c r="AJ68" i="28"/>
  <c r="R68" i="28"/>
  <c r="U68" i="28"/>
  <c r="I68" i="28"/>
  <c r="H68" i="28"/>
  <c r="Q17" i="28"/>
  <c r="J17" i="28"/>
  <c r="S17" i="28"/>
  <c r="T17" i="28"/>
  <c r="M17" i="28"/>
  <c r="AE17" i="28"/>
  <c r="O17" i="28"/>
  <c r="Y17" i="28"/>
  <c r="R17" i="28"/>
  <c r="AA17" i="28"/>
  <c r="AB17" i="28"/>
  <c r="U17" i="28"/>
  <c r="AG17" i="28"/>
  <c r="Z17" i="28"/>
  <c r="AI17" i="28"/>
  <c r="AJ17" i="28"/>
  <c r="AC17" i="28"/>
  <c r="AH17" i="28"/>
  <c r="N17" i="28"/>
  <c r="AF17" i="28"/>
  <c r="V17" i="28"/>
  <c r="I17" i="28"/>
  <c r="L17" i="28"/>
  <c r="X17" i="28"/>
  <c r="H17" i="28"/>
  <c r="K17" i="28"/>
  <c r="W17" i="28"/>
  <c r="AD17" i="28"/>
  <c r="P17" i="28"/>
  <c r="AB47" i="28"/>
  <c r="AE47" i="28"/>
  <c r="AJ47" i="28"/>
  <c r="AF47" i="28"/>
  <c r="N47" i="28"/>
  <c r="V47" i="28"/>
  <c r="AD47" i="28"/>
  <c r="Q47" i="28"/>
  <c r="L47" i="28"/>
  <c r="U47" i="28"/>
  <c r="K47" i="28"/>
  <c r="AH47" i="28"/>
  <c r="S47" i="28"/>
  <c r="I47" i="28"/>
  <c r="X47" i="28"/>
  <c r="Y47" i="28"/>
  <c r="Z47" i="28"/>
  <c r="O47" i="28"/>
  <c r="AG47" i="28"/>
  <c r="M47" i="28"/>
  <c r="H47" i="28"/>
  <c r="T47" i="28"/>
  <c r="W47" i="28"/>
  <c r="P47" i="28"/>
  <c r="AI47" i="28"/>
  <c r="R47" i="28"/>
  <c r="J47" i="28"/>
  <c r="AA47" i="28"/>
  <c r="AC47" i="28"/>
  <c r="R44" i="28"/>
  <c r="Z44" i="28"/>
  <c r="AH44" i="28"/>
  <c r="K44" i="28"/>
  <c r="P44" i="28"/>
  <c r="S44" i="28"/>
  <c r="L44" i="28"/>
  <c r="X44" i="28"/>
  <c r="AA44" i="28"/>
  <c r="T44" i="28"/>
  <c r="AF44" i="28"/>
  <c r="AI44" i="28"/>
  <c r="W44" i="28"/>
  <c r="J44" i="28"/>
  <c r="AB44" i="28"/>
  <c r="N44" i="28"/>
  <c r="AJ44" i="28"/>
  <c r="M44" i="28"/>
  <c r="AG44" i="28"/>
  <c r="O44" i="28"/>
  <c r="U44" i="28"/>
  <c r="H44" i="28"/>
  <c r="AC44" i="28"/>
  <c r="I44" i="28"/>
  <c r="V44" i="28"/>
  <c r="AE44" i="28"/>
  <c r="Q44" i="28"/>
  <c r="Y44" i="28"/>
  <c r="AD44" i="28"/>
  <c r="S54" i="28"/>
  <c r="AE54" i="28"/>
  <c r="Z54" i="28"/>
  <c r="N54" i="28"/>
  <c r="V54" i="28"/>
  <c r="W54" i="28"/>
  <c r="L54" i="28"/>
  <c r="AH54" i="28"/>
  <c r="T54" i="28"/>
  <c r="AC54" i="28"/>
  <c r="AD54" i="28"/>
  <c r="AB54" i="28"/>
  <c r="P54" i="28"/>
  <c r="I54" i="28"/>
  <c r="K54" i="28"/>
  <c r="AJ54" i="28"/>
  <c r="X54" i="28"/>
  <c r="Q54" i="28"/>
  <c r="U54" i="28"/>
  <c r="AA54" i="28"/>
  <c r="AF54" i="28"/>
  <c r="Y54" i="28"/>
  <c r="H54" i="28"/>
  <c r="R54" i="28"/>
  <c r="AI54" i="28"/>
  <c r="O54" i="28"/>
  <c r="AG54" i="28"/>
  <c r="J54" i="28"/>
  <c r="M54" i="28"/>
  <c r="W63" i="28"/>
  <c r="O63" i="28"/>
  <c r="AI63" i="28"/>
  <c r="AD63" i="28"/>
  <c r="R63" i="28"/>
  <c r="AE63" i="28"/>
  <c r="P63" i="28"/>
  <c r="I63" i="28"/>
  <c r="J63" i="28"/>
  <c r="X63" i="28"/>
  <c r="L63" i="28"/>
  <c r="AG63" i="28"/>
  <c r="AH63" i="28"/>
  <c r="Y63" i="28"/>
  <c r="Q63" i="28"/>
  <c r="H63" i="28"/>
  <c r="AF63" i="28"/>
  <c r="T63" i="28"/>
  <c r="M63" i="28"/>
  <c r="AA63" i="28"/>
  <c r="V63" i="28"/>
  <c r="AB63" i="28"/>
  <c r="U63" i="28"/>
  <c r="K63" i="28"/>
  <c r="AJ63" i="28"/>
  <c r="AC63" i="28"/>
  <c r="S63" i="28"/>
  <c r="N63" i="28"/>
  <c r="Z63" i="28"/>
  <c r="H62" i="28"/>
  <c r="AJ62" i="28"/>
  <c r="X62" i="28"/>
  <c r="Q62" i="28"/>
  <c r="AI62" i="28"/>
  <c r="AF62" i="28"/>
  <c r="Y62" i="28"/>
  <c r="AC62" i="28"/>
  <c r="AD62" i="28"/>
  <c r="V62" i="28"/>
  <c r="I62" i="28"/>
  <c r="O62" i="28"/>
  <c r="AG62" i="28"/>
  <c r="J62" i="28"/>
  <c r="U62" i="28"/>
  <c r="P62" i="28"/>
  <c r="W62" i="28"/>
  <c r="R62" i="28"/>
  <c r="N62" i="28"/>
  <c r="K62" i="28"/>
  <c r="AE62" i="28"/>
  <c r="Z62" i="28"/>
  <c r="S62" i="28"/>
  <c r="L62" i="28"/>
  <c r="AH62" i="28"/>
  <c r="AB62" i="28"/>
  <c r="AA62" i="28"/>
  <c r="T62" i="28"/>
  <c r="M62" i="28"/>
  <c r="R36" i="28"/>
  <c r="K36" i="28"/>
  <c r="Z36" i="28"/>
  <c r="P36" i="28"/>
  <c r="U36" i="28"/>
  <c r="L36" i="28"/>
  <c r="I36" i="28"/>
  <c r="AH36" i="28"/>
  <c r="AB36" i="28"/>
  <c r="AE36" i="28"/>
  <c r="Q36" i="28"/>
  <c r="Y36" i="28"/>
  <c r="AG36" i="28"/>
  <c r="T36" i="28"/>
  <c r="AD36" i="28"/>
  <c r="S36" i="28"/>
  <c r="AJ36" i="28"/>
  <c r="M36" i="28"/>
  <c r="N36" i="28"/>
  <c r="H36" i="28"/>
  <c r="V36" i="28"/>
  <c r="W36" i="28"/>
  <c r="X36" i="28"/>
  <c r="O36" i="28"/>
  <c r="AF36" i="28"/>
  <c r="AI36" i="28"/>
  <c r="AA36" i="28"/>
  <c r="J36" i="28"/>
  <c r="AC36" i="28"/>
  <c r="N67" i="28"/>
  <c r="Q67" i="28"/>
  <c r="X67" i="28"/>
  <c r="AD67" i="28"/>
  <c r="AG67" i="28"/>
  <c r="AH67" i="28"/>
  <c r="AJ67" i="28"/>
  <c r="R67" i="28"/>
  <c r="AF67" i="28"/>
  <c r="U67" i="28"/>
  <c r="AC67" i="28"/>
  <c r="P67" i="28"/>
  <c r="K67" i="28"/>
  <c r="V67" i="28"/>
  <c r="O67" i="28"/>
  <c r="S67" i="28"/>
  <c r="L67" i="28"/>
  <c r="AB67" i="28"/>
  <c r="W67" i="28"/>
  <c r="AA67" i="28"/>
  <c r="Y67" i="28"/>
  <c r="H67" i="28"/>
  <c r="M67" i="28"/>
  <c r="T67" i="28"/>
  <c r="AE67" i="28"/>
  <c r="AI67" i="28"/>
  <c r="Z67" i="28"/>
  <c r="I67" i="28"/>
  <c r="J67" i="28"/>
  <c r="AD13" i="28"/>
  <c r="T13" i="28"/>
  <c r="R13" i="28"/>
  <c r="U13" i="28"/>
  <c r="Z13" i="28"/>
  <c r="AH13" i="28"/>
  <c r="N13" i="28"/>
  <c r="K66" i="28"/>
  <c r="O66" i="28"/>
  <c r="N66" i="28"/>
  <c r="H66" i="28"/>
  <c r="S66" i="28"/>
  <c r="W66" i="28"/>
  <c r="M66" i="28"/>
  <c r="AC66" i="28"/>
  <c r="AA66" i="28"/>
  <c r="AE66" i="28"/>
  <c r="I66" i="28"/>
  <c r="AI66" i="28"/>
  <c r="L66" i="28"/>
  <c r="Y66" i="28"/>
  <c r="J66" i="28"/>
  <c r="T66" i="28"/>
  <c r="Z66" i="28"/>
  <c r="AB66" i="28"/>
  <c r="P66" i="28"/>
  <c r="Q66" i="28"/>
  <c r="R66" i="28"/>
  <c r="U66" i="28"/>
  <c r="V66" i="28"/>
  <c r="AD66" i="28"/>
  <c r="AJ66" i="28"/>
  <c r="X66" i="28"/>
  <c r="AG66" i="28"/>
  <c r="AH66" i="28"/>
  <c r="AF66" i="28"/>
  <c r="AF53" i="28"/>
  <c r="T53" i="28"/>
  <c r="M53" i="28"/>
  <c r="R53" i="28"/>
  <c r="Q53" i="28"/>
  <c r="O53" i="28"/>
  <c r="AB53" i="28"/>
  <c r="U53" i="28"/>
  <c r="Y53" i="28"/>
  <c r="Z53" i="28"/>
  <c r="AG53" i="28"/>
  <c r="AH53" i="28"/>
  <c r="H53" i="28"/>
  <c r="X53" i="28"/>
  <c r="W53" i="28"/>
  <c r="K53" i="28"/>
  <c r="AJ53" i="28"/>
  <c r="AC53" i="28"/>
  <c r="AE53" i="28"/>
  <c r="S53" i="28"/>
  <c r="N53" i="28"/>
  <c r="AA53" i="28"/>
  <c r="V53" i="28"/>
  <c r="AI53" i="28"/>
  <c r="AD53" i="28"/>
  <c r="J53" i="28"/>
  <c r="P53" i="28"/>
  <c r="I53" i="28"/>
  <c r="L53" i="28"/>
  <c r="H61" i="28"/>
  <c r="O61" i="28"/>
  <c r="AA61" i="28"/>
  <c r="V61" i="28"/>
  <c r="Y61" i="28"/>
  <c r="Z61" i="28"/>
  <c r="AG61" i="28"/>
  <c r="AH61" i="28"/>
  <c r="AI61" i="28"/>
  <c r="AD61" i="28"/>
  <c r="W61" i="28"/>
  <c r="P61" i="28"/>
  <c r="N61" i="28"/>
  <c r="AE61" i="28"/>
  <c r="X61" i="28"/>
  <c r="L61" i="28"/>
  <c r="AF61" i="28"/>
  <c r="T61" i="28"/>
  <c r="M61" i="28"/>
  <c r="R61" i="28"/>
  <c r="AB61" i="28"/>
  <c r="U61" i="28"/>
  <c r="I61" i="28"/>
  <c r="K61" i="28"/>
  <c r="AJ61" i="28"/>
  <c r="AC61" i="28"/>
  <c r="J61" i="28"/>
  <c r="Q61" i="28"/>
  <c r="S61" i="28"/>
  <c r="AJ49" i="28"/>
  <c r="N49" i="28"/>
  <c r="V49" i="28"/>
  <c r="AD49" i="28"/>
  <c r="Y49" i="28"/>
  <c r="L49" i="28"/>
  <c r="O49" i="28"/>
  <c r="T49" i="28"/>
  <c r="U49" i="28"/>
  <c r="W49" i="28"/>
  <c r="I49" i="28"/>
  <c r="Z49" i="28"/>
  <c r="AI49" i="28"/>
  <c r="AE49" i="28"/>
  <c r="Q49" i="28"/>
  <c r="J49" i="28"/>
  <c r="AH49" i="28"/>
  <c r="P49" i="28"/>
  <c r="AG49" i="28"/>
  <c r="AC49" i="28"/>
  <c r="S49" i="28"/>
  <c r="X49" i="28"/>
  <c r="AA49" i="28"/>
  <c r="AF49" i="28"/>
  <c r="M49" i="28"/>
  <c r="H49" i="28"/>
  <c r="K49" i="28"/>
  <c r="R49" i="28"/>
  <c r="AB49" i="28"/>
  <c r="R20" i="28"/>
  <c r="Z20" i="28"/>
  <c r="M20" i="28"/>
  <c r="O20" i="28"/>
  <c r="P20" i="28"/>
  <c r="I20" i="28"/>
  <c r="AH20" i="28"/>
  <c r="K20" i="28"/>
  <c r="T20" i="28"/>
  <c r="U20" i="28"/>
  <c r="N20" i="28"/>
  <c r="W20" i="28"/>
  <c r="X20" i="28"/>
  <c r="Q20" i="28"/>
  <c r="AC20" i="28"/>
  <c r="V20" i="28"/>
  <c r="AE20" i="28"/>
  <c r="AF20" i="28"/>
  <c r="Y20" i="28"/>
  <c r="AD20" i="28"/>
  <c r="AG20" i="28"/>
  <c r="S20" i="28"/>
  <c r="AA20" i="28"/>
  <c r="H20" i="28"/>
  <c r="AJ20" i="28"/>
  <c r="L20" i="28"/>
  <c r="AB20" i="28"/>
  <c r="AI20" i="28"/>
  <c r="J20" i="28"/>
  <c r="AF69" i="28"/>
  <c r="AG69" i="28"/>
  <c r="P69" i="28"/>
  <c r="I69" i="28"/>
  <c r="X69" i="28"/>
  <c r="N69" i="28"/>
  <c r="Y69" i="28"/>
  <c r="AI69" i="28"/>
  <c r="AJ69" i="28"/>
  <c r="V69" i="28"/>
  <c r="O69" i="28"/>
  <c r="AH69" i="28"/>
  <c r="AD69" i="28"/>
  <c r="W69" i="28"/>
  <c r="J69" i="28"/>
  <c r="K69" i="28"/>
  <c r="L69" i="28"/>
  <c r="M69" i="28"/>
  <c r="H69" i="28"/>
  <c r="AE69" i="28"/>
  <c r="R69" i="28"/>
  <c r="S69" i="28"/>
  <c r="T69" i="28"/>
  <c r="U69" i="28"/>
  <c r="Z69" i="28"/>
  <c r="AA69" i="28"/>
  <c r="AB69" i="28"/>
  <c r="AC69" i="28"/>
  <c r="Q69" i="28"/>
  <c r="P73" i="28"/>
  <c r="Q73" i="28"/>
  <c r="N73" i="28"/>
  <c r="H73" i="28"/>
  <c r="I73" i="28"/>
  <c r="X73" i="28"/>
  <c r="V73" i="28"/>
  <c r="O73" i="28"/>
  <c r="AD73" i="28"/>
  <c r="W73" i="28"/>
  <c r="J73" i="28"/>
  <c r="K73" i="28"/>
  <c r="L73" i="28"/>
  <c r="M73" i="28"/>
  <c r="AG73" i="28"/>
  <c r="AE73" i="28"/>
  <c r="R73" i="28"/>
  <c r="S73" i="28"/>
  <c r="T73" i="28"/>
  <c r="U73" i="28"/>
  <c r="AF73" i="28"/>
  <c r="Z73" i="28"/>
  <c r="AA73" i="28"/>
  <c r="AB73" i="28"/>
  <c r="AC73" i="28"/>
  <c r="AH73" i="28"/>
  <c r="AI73" i="28"/>
  <c r="AJ73" i="28"/>
  <c r="Y73" i="28"/>
  <c r="J16" i="28"/>
  <c r="R16" i="28"/>
  <c r="Z16" i="28"/>
  <c r="AI16" i="28"/>
  <c r="M16" i="28"/>
  <c r="O16" i="28"/>
  <c r="P16" i="28"/>
  <c r="I16" i="28"/>
  <c r="AH16" i="28"/>
  <c r="AB16" i="28"/>
  <c r="L16" i="28"/>
  <c r="U16" i="28"/>
  <c r="N16" i="28"/>
  <c r="W16" i="28"/>
  <c r="X16" i="28"/>
  <c r="Q16" i="28"/>
  <c r="AC16" i="28"/>
  <c r="V16" i="28"/>
  <c r="AE16" i="28"/>
  <c r="AF16" i="28"/>
  <c r="Y16" i="28"/>
  <c r="H16" i="28"/>
  <c r="AG16" i="28"/>
  <c r="T16" i="28"/>
  <c r="AD16" i="28"/>
  <c r="AJ16" i="28"/>
  <c r="AA16" i="28"/>
  <c r="K16" i="28"/>
  <c r="S16" i="28"/>
  <c r="H30" i="28"/>
  <c r="AG30" i="28"/>
  <c r="AJ30" i="28"/>
  <c r="J30" i="28"/>
  <c r="O30" i="28"/>
  <c r="R30" i="28"/>
  <c r="AE30" i="28"/>
  <c r="Z30" i="28"/>
  <c r="V30" i="28"/>
  <c r="AD30" i="28"/>
  <c r="M30" i="28"/>
  <c r="P30" i="28"/>
  <c r="I30" i="28"/>
  <c r="AH30" i="28"/>
  <c r="U30" i="28"/>
  <c r="X30" i="28"/>
  <c r="Q30" i="28"/>
  <c r="L30" i="28"/>
  <c r="S30" i="28"/>
  <c r="AC30" i="28"/>
  <c r="Y30" i="28"/>
  <c r="AB30" i="28"/>
  <c r="N30" i="28"/>
  <c r="W30" i="28"/>
  <c r="AF30" i="28"/>
  <c r="T30" i="28"/>
  <c r="K30" i="28"/>
  <c r="AI30" i="28"/>
  <c r="AA30" i="28"/>
  <c r="AE65" i="28"/>
  <c r="P65" i="28"/>
  <c r="X65" i="28"/>
  <c r="L65" i="28"/>
  <c r="U65" i="28"/>
  <c r="AF65" i="28"/>
  <c r="T65" i="28"/>
  <c r="M65" i="28"/>
  <c r="V65" i="28"/>
  <c r="H65" i="28"/>
  <c r="AB65" i="28"/>
  <c r="I65" i="28"/>
  <c r="J65" i="28"/>
  <c r="Q65" i="28"/>
  <c r="R65" i="28"/>
  <c r="Z65" i="28"/>
  <c r="K65" i="28"/>
  <c r="AJ65" i="28"/>
  <c r="AC65" i="28"/>
  <c r="AD65" i="28"/>
  <c r="AG65" i="28"/>
  <c r="AH65" i="28"/>
  <c r="S65" i="28"/>
  <c r="N65" i="28"/>
  <c r="Y65" i="28"/>
  <c r="W65" i="28"/>
  <c r="AI65" i="28"/>
  <c r="O65" i="28"/>
  <c r="AA65" i="28"/>
  <c r="V37" i="28"/>
  <c r="AD37" i="28"/>
  <c r="N37" i="28"/>
  <c r="J37" i="28"/>
  <c r="O37" i="28"/>
  <c r="T37" i="28"/>
  <c r="W37" i="28"/>
  <c r="P37" i="28"/>
  <c r="AB37" i="28"/>
  <c r="AE37" i="28"/>
  <c r="X37" i="28"/>
  <c r="M37" i="28"/>
  <c r="AJ37" i="28"/>
  <c r="AA37" i="28"/>
  <c r="R37" i="28"/>
  <c r="S37" i="28"/>
  <c r="I37" i="28"/>
  <c r="K37" i="28"/>
  <c r="AC37" i="28"/>
  <c r="AH37" i="28"/>
  <c r="AI37" i="28"/>
  <c r="U37" i="28"/>
  <c r="AF37" i="28"/>
  <c r="Q37" i="28"/>
  <c r="Z37" i="28"/>
  <c r="H37" i="28"/>
  <c r="AG37" i="28"/>
  <c r="L37" i="28"/>
  <c r="Y37" i="28"/>
  <c r="Z22" i="28"/>
  <c r="AA22" i="28"/>
  <c r="M22" i="28"/>
  <c r="O22" i="28"/>
  <c r="P22" i="28"/>
  <c r="I22" i="28"/>
  <c r="AH22" i="28"/>
  <c r="T22" i="28"/>
  <c r="U22" i="28"/>
  <c r="N22" i="28"/>
  <c r="W22" i="28"/>
  <c r="X22" i="28"/>
  <c r="Q22" i="28"/>
  <c r="AC22" i="28"/>
  <c r="V22" i="28"/>
  <c r="AE22" i="28"/>
  <c r="AF22" i="28"/>
  <c r="Y22" i="28"/>
  <c r="AD22" i="28"/>
  <c r="AG22" i="28"/>
  <c r="S22" i="28"/>
  <c r="AB22" i="28"/>
  <c r="AI22" i="28"/>
  <c r="J22" i="28"/>
  <c r="L22" i="28"/>
  <c r="R22" i="28"/>
  <c r="AJ22" i="28"/>
  <c r="K22" i="28"/>
  <c r="H22" i="28"/>
  <c r="L41" i="28"/>
  <c r="O41" i="28"/>
  <c r="T41" i="28"/>
  <c r="W41" i="28"/>
  <c r="AB41" i="28"/>
  <c r="AE41" i="28"/>
  <c r="AJ41" i="28"/>
  <c r="AF41" i="28"/>
  <c r="U41" i="28"/>
  <c r="N41" i="28"/>
  <c r="V41" i="28"/>
  <c r="AD41" i="28"/>
  <c r="I41" i="28"/>
  <c r="J41" i="28"/>
  <c r="Q41" i="28"/>
  <c r="S41" i="28"/>
  <c r="AC41" i="28"/>
  <c r="R41" i="28"/>
  <c r="AI41" i="28"/>
  <c r="Y41" i="28"/>
  <c r="P41" i="28"/>
  <c r="AG41" i="28"/>
  <c r="X41" i="28"/>
  <c r="Z41" i="28"/>
  <c r="H41" i="28"/>
  <c r="AA41" i="28"/>
  <c r="K41" i="28"/>
  <c r="AH41" i="28"/>
  <c r="M41" i="28"/>
  <c r="AC28" i="28"/>
  <c r="AF28" i="28"/>
  <c r="Y28" i="28"/>
  <c r="AG28" i="28"/>
  <c r="AD28" i="28"/>
  <c r="K28" i="28"/>
  <c r="J28" i="28"/>
  <c r="T28" i="28"/>
  <c r="AA28" i="28"/>
  <c r="R28" i="28"/>
  <c r="AJ28" i="28"/>
  <c r="AB28" i="28"/>
  <c r="Z28" i="28"/>
  <c r="M28" i="28"/>
  <c r="P28" i="28"/>
  <c r="I28" i="28"/>
  <c r="AH28" i="28"/>
  <c r="U28" i="28"/>
  <c r="H28" i="28"/>
  <c r="O28" i="28"/>
  <c r="S28" i="28"/>
  <c r="AE28" i="28"/>
  <c r="Q28" i="28"/>
  <c r="N28" i="28"/>
  <c r="AI28" i="28"/>
  <c r="W28" i="28"/>
  <c r="L28" i="28"/>
  <c r="X28" i="28"/>
  <c r="V28" i="28"/>
  <c r="C13" i="21"/>
  <c r="J13" i="21" s="1"/>
  <c r="Y49" i="21"/>
  <c r="Z49" i="21" s="1"/>
  <c r="AA49" i="21" s="1"/>
  <c r="Y57" i="21"/>
  <c r="Z57" i="21" s="1"/>
  <c r="AA57" i="21" s="1"/>
  <c r="Y65" i="21"/>
  <c r="Z65" i="21" s="1"/>
  <c r="AA65" i="21" s="1"/>
  <c r="Y73" i="21"/>
  <c r="Z73" i="21" s="1"/>
  <c r="AA73" i="21" s="1"/>
  <c r="Y20" i="21"/>
  <c r="Z20" i="21" s="1"/>
  <c r="AA20" i="21" s="1"/>
  <c r="Y28" i="21"/>
  <c r="Z28" i="21" s="1"/>
  <c r="AA28" i="21" s="1"/>
  <c r="Y36" i="21"/>
  <c r="Z36" i="21" s="1"/>
  <c r="AA36" i="21" s="1"/>
  <c r="J19" i="21"/>
  <c r="J27" i="21"/>
  <c r="J35" i="21"/>
  <c r="J43" i="21"/>
  <c r="J51" i="21"/>
  <c r="J59" i="21"/>
  <c r="J67" i="21"/>
  <c r="Y22" i="21"/>
  <c r="Z22" i="21" s="1"/>
  <c r="AA22" i="21" s="1"/>
  <c r="J21" i="21"/>
  <c r="J37" i="21"/>
  <c r="J61" i="21"/>
  <c r="Y52" i="21"/>
  <c r="Z52" i="21" s="1"/>
  <c r="AA52" i="21" s="1"/>
  <c r="Y15" i="21"/>
  <c r="Z15" i="21" s="1"/>
  <c r="AA15" i="21" s="1"/>
  <c r="Y31" i="21"/>
  <c r="Z31" i="21" s="1"/>
  <c r="AA31" i="21" s="1"/>
  <c r="J14" i="21"/>
  <c r="J38" i="21"/>
  <c r="J54" i="21"/>
  <c r="J70" i="21"/>
  <c r="J48" i="21"/>
  <c r="J72" i="21"/>
  <c r="Y63" i="21"/>
  <c r="Z63" i="21" s="1"/>
  <c r="AA63" i="21" s="1"/>
  <c r="J17" i="21"/>
  <c r="J49" i="21"/>
  <c r="Y42" i="21"/>
  <c r="Z42" i="21" s="1"/>
  <c r="AA42" i="21" s="1"/>
  <c r="Y50" i="21"/>
  <c r="Z50" i="21" s="1"/>
  <c r="AA50" i="21" s="1"/>
  <c r="Y58" i="21"/>
  <c r="Z58" i="21" s="1"/>
  <c r="AA58" i="21" s="1"/>
  <c r="Y66" i="21"/>
  <c r="Z66" i="21" s="1"/>
  <c r="AA66" i="21" s="1"/>
  <c r="Y74" i="21"/>
  <c r="Z74" i="21" s="1"/>
  <c r="AA74" i="21" s="1"/>
  <c r="Y21" i="21"/>
  <c r="Z21" i="21" s="1"/>
  <c r="AA21" i="21" s="1"/>
  <c r="Y29" i="21"/>
  <c r="Z29" i="21" s="1"/>
  <c r="AA29" i="21" s="1"/>
  <c r="Y37" i="21"/>
  <c r="Z37" i="21" s="1"/>
  <c r="AA37" i="21" s="1"/>
  <c r="J20" i="21"/>
  <c r="J28" i="21"/>
  <c r="J36" i="21"/>
  <c r="J44" i="21"/>
  <c r="J52" i="21"/>
  <c r="J60" i="21"/>
  <c r="J68" i="21"/>
  <c r="Y43" i="21"/>
  <c r="Z43" i="21" s="1"/>
  <c r="AA43" i="21" s="1"/>
  <c r="Y51" i="21"/>
  <c r="Z51" i="21" s="1"/>
  <c r="AA51" i="21" s="1"/>
  <c r="Y59" i="21"/>
  <c r="Z59" i="21" s="1"/>
  <c r="AA59" i="21" s="1"/>
  <c r="Y67" i="21"/>
  <c r="Z67" i="21" s="1"/>
  <c r="AA67" i="21" s="1"/>
  <c r="Y14" i="21"/>
  <c r="Z14" i="21" s="1"/>
  <c r="AA14" i="21" s="1"/>
  <c r="Y30" i="21"/>
  <c r="Z30" i="21" s="1"/>
  <c r="AA30" i="21" s="1"/>
  <c r="Y38" i="21"/>
  <c r="Z38" i="21" s="1"/>
  <c r="AA38" i="21" s="1"/>
  <c r="J29" i="21"/>
  <c r="J45" i="21"/>
  <c r="J53" i="21"/>
  <c r="J69" i="21"/>
  <c r="Y44" i="21"/>
  <c r="Z44" i="21" s="1"/>
  <c r="AA44" i="21" s="1"/>
  <c r="Y60" i="21"/>
  <c r="Z60" i="21" s="1"/>
  <c r="AA60" i="21" s="1"/>
  <c r="Y68" i="21"/>
  <c r="Z68" i="21" s="1"/>
  <c r="AA68" i="21" s="1"/>
  <c r="Y23" i="21"/>
  <c r="Z23" i="21" s="1"/>
  <c r="AA23" i="21" s="1"/>
  <c r="Y39" i="21"/>
  <c r="Z39" i="21" s="1"/>
  <c r="AA39" i="21" s="1"/>
  <c r="J22" i="21"/>
  <c r="J30" i="21"/>
  <c r="J46" i="21"/>
  <c r="J62" i="21"/>
  <c r="J32" i="21"/>
  <c r="J56" i="21"/>
  <c r="Y47" i="21"/>
  <c r="Z47" i="21" s="1"/>
  <c r="AA47" i="21" s="1"/>
  <c r="Y18" i="21"/>
  <c r="Z18" i="21" s="1"/>
  <c r="AA18" i="21" s="1"/>
  <c r="Y34" i="21"/>
  <c r="Z34" i="21" s="1"/>
  <c r="AA34" i="21" s="1"/>
  <c r="J25" i="21"/>
  <c r="J41" i="21"/>
  <c r="Y45" i="21"/>
  <c r="Z45" i="21" s="1"/>
  <c r="AA45" i="21" s="1"/>
  <c r="Y53" i="21"/>
  <c r="Z53" i="21" s="1"/>
  <c r="AA53" i="21" s="1"/>
  <c r="Y61" i="21"/>
  <c r="Z61" i="21" s="1"/>
  <c r="AA61" i="21" s="1"/>
  <c r="Y69" i="21"/>
  <c r="Z69" i="21" s="1"/>
  <c r="AA69" i="21" s="1"/>
  <c r="Y16" i="21"/>
  <c r="Z16" i="21" s="1"/>
  <c r="AA16" i="21" s="1"/>
  <c r="Y24" i="21"/>
  <c r="Z24" i="21" s="1"/>
  <c r="AA24" i="21" s="1"/>
  <c r="Y32" i="21"/>
  <c r="Z32" i="21" s="1"/>
  <c r="AA32" i="21" s="1"/>
  <c r="Y40" i="21"/>
  <c r="Z40" i="21" s="1"/>
  <c r="AA40" i="21" s="1"/>
  <c r="J15" i="21"/>
  <c r="J23" i="21"/>
  <c r="J31" i="21"/>
  <c r="J39" i="21"/>
  <c r="J47" i="21"/>
  <c r="J55" i="21"/>
  <c r="J63" i="21"/>
  <c r="J71" i="21"/>
  <c r="Y46" i="21"/>
  <c r="Z46" i="21" s="1"/>
  <c r="AA46" i="21" s="1"/>
  <c r="Y54" i="21"/>
  <c r="Z54" i="21" s="1"/>
  <c r="AA54" i="21" s="1"/>
  <c r="Y62" i="21"/>
  <c r="Z62" i="21" s="1"/>
  <c r="AA62" i="21" s="1"/>
  <c r="Y70" i="21"/>
  <c r="Z70" i="21" s="1"/>
  <c r="AA70" i="21" s="1"/>
  <c r="Y17" i="21"/>
  <c r="Z17" i="21" s="1"/>
  <c r="AA17" i="21" s="1"/>
  <c r="Y25" i="21"/>
  <c r="Z25" i="21" s="1"/>
  <c r="AA25" i="21" s="1"/>
  <c r="Y33" i="21"/>
  <c r="Z33" i="21" s="1"/>
  <c r="AA33" i="21" s="1"/>
  <c r="Y41" i="21"/>
  <c r="Z41" i="21" s="1"/>
  <c r="AA41" i="21" s="1"/>
  <c r="J16" i="21"/>
  <c r="J24" i="21"/>
  <c r="J40" i="21"/>
  <c r="J64" i="21"/>
  <c r="Y55" i="21"/>
  <c r="Z55" i="21" s="1"/>
  <c r="AA55" i="21" s="1"/>
  <c r="Y71" i="21"/>
  <c r="Z71" i="21" s="1"/>
  <c r="AA71" i="21" s="1"/>
  <c r="Y26" i="21"/>
  <c r="Z26" i="21" s="1"/>
  <c r="AA26" i="21" s="1"/>
  <c r="J33" i="21"/>
  <c r="J57" i="21"/>
  <c r="Y56" i="21"/>
  <c r="Z56" i="21" s="1"/>
  <c r="AA56" i="21" s="1"/>
  <c r="J34" i="21"/>
  <c r="Y64" i="21"/>
  <c r="Z64" i="21" s="1"/>
  <c r="AA64" i="21" s="1"/>
  <c r="J42" i="21"/>
  <c r="Y72" i="21"/>
  <c r="Z72" i="21" s="1"/>
  <c r="AA72" i="21" s="1"/>
  <c r="J50" i="21"/>
  <c r="Y19" i="21"/>
  <c r="Z19" i="21" s="1"/>
  <c r="AA19" i="21" s="1"/>
  <c r="J58" i="21"/>
  <c r="Y27" i="21"/>
  <c r="Z27" i="21" s="1"/>
  <c r="AA27" i="21" s="1"/>
  <c r="J65" i="21"/>
  <c r="Y35" i="21"/>
  <c r="Z35" i="21" s="1"/>
  <c r="AA35" i="21" s="1"/>
  <c r="J66" i="21"/>
  <c r="J18" i="21"/>
  <c r="J73" i="21"/>
  <c r="Y48" i="21"/>
  <c r="Z48" i="21" s="1"/>
  <c r="AA48" i="21" s="1"/>
  <c r="J26" i="21"/>
  <c r="J74" i="21"/>
  <c r="L67" i="21"/>
  <c r="L35" i="21"/>
  <c r="L43" i="21"/>
  <c r="L51" i="21"/>
  <c r="L59" i="21"/>
  <c r="L16" i="21"/>
  <c r="L24" i="21"/>
  <c r="L32" i="21"/>
  <c r="K47" i="21"/>
  <c r="K55" i="21"/>
  <c r="K63" i="21"/>
  <c r="K71" i="21"/>
  <c r="K18" i="21"/>
  <c r="K26" i="21"/>
  <c r="K34" i="21"/>
  <c r="K42" i="21"/>
  <c r="F49" i="21"/>
  <c r="F57" i="21"/>
  <c r="F65" i="21"/>
  <c r="F73" i="21"/>
  <c r="F20" i="21"/>
  <c r="F28" i="21"/>
  <c r="F36" i="21"/>
  <c r="E40" i="21"/>
  <c r="G40" i="21" s="1"/>
  <c r="E48" i="21"/>
  <c r="G48" i="21" s="1"/>
  <c r="E56" i="21"/>
  <c r="G56" i="21" s="1"/>
  <c r="E64" i="21"/>
  <c r="G64" i="21" s="1"/>
  <c r="E72" i="21"/>
  <c r="G72" i="21" s="1"/>
  <c r="E19" i="21"/>
  <c r="G19" i="21" s="1"/>
  <c r="E27" i="21"/>
  <c r="G27" i="21" s="1"/>
  <c r="E35" i="21"/>
  <c r="G35" i="21" s="1"/>
  <c r="L68" i="21"/>
  <c r="L36" i="21"/>
  <c r="L44" i="21"/>
  <c r="L52" i="21"/>
  <c r="L60" i="21"/>
  <c r="L17" i="21"/>
  <c r="L25" i="21"/>
  <c r="L33" i="21"/>
  <c r="K48" i="21"/>
  <c r="K56" i="21"/>
  <c r="K64" i="21"/>
  <c r="K72" i="21"/>
  <c r="K19" i="21"/>
  <c r="K27" i="21"/>
  <c r="K35" i="21"/>
  <c r="F50" i="21"/>
  <c r="F58" i="21"/>
  <c r="F66" i="21"/>
  <c r="F74" i="21"/>
  <c r="F21" i="21"/>
  <c r="F29" i="21"/>
  <c r="F37" i="21"/>
  <c r="E41" i="21"/>
  <c r="G41" i="21" s="1"/>
  <c r="E49" i="21"/>
  <c r="G49" i="21" s="1"/>
  <c r="E57" i="21"/>
  <c r="G57" i="21" s="1"/>
  <c r="E65" i="21"/>
  <c r="G65" i="21" s="1"/>
  <c r="E73" i="21"/>
  <c r="G73" i="21" s="1"/>
  <c r="E20" i="21"/>
  <c r="G20" i="21" s="1"/>
  <c r="E28" i="21"/>
  <c r="G28" i="21" s="1"/>
  <c r="E36" i="21"/>
  <c r="G36" i="21" s="1"/>
  <c r="L69" i="21"/>
  <c r="L37" i="21"/>
  <c r="L45" i="21"/>
  <c r="L53" i="21"/>
  <c r="L61" i="21"/>
  <c r="L18" i="21"/>
  <c r="L26" i="21"/>
  <c r="L34" i="21"/>
  <c r="K49" i="21"/>
  <c r="K57" i="21"/>
  <c r="K65" i="21"/>
  <c r="K73" i="21"/>
  <c r="K20" i="21"/>
  <c r="K28" i="21"/>
  <c r="K36" i="21"/>
  <c r="F43" i="21"/>
  <c r="F51" i="21"/>
  <c r="F59" i="21"/>
  <c r="F67" i="21"/>
  <c r="F14" i="21"/>
  <c r="F22" i="21"/>
  <c r="F30" i="21"/>
  <c r="F38" i="21"/>
  <c r="L65" i="21"/>
  <c r="L39" i="21"/>
  <c r="L50" i="21"/>
  <c r="L64" i="21"/>
  <c r="L27" i="21"/>
  <c r="K45" i="21"/>
  <c r="K59" i="21"/>
  <c r="K70" i="21"/>
  <c r="K23" i="21"/>
  <c r="K37" i="21"/>
  <c r="F47" i="21"/>
  <c r="F61" i="21"/>
  <c r="F72" i="21"/>
  <c r="F25" i="21"/>
  <c r="F39" i="21"/>
  <c r="E45" i="21"/>
  <c r="G45" i="21" s="1"/>
  <c r="E55" i="21"/>
  <c r="G55" i="21" s="1"/>
  <c r="E67" i="21"/>
  <c r="G67" i="21" s="1"/>
  <c r="E16" i="21"/>
  <c r="G16" i="21" s="1"/>
  <c r="E26" i="21"/>
  <c r="G26" i="21" s="1"/>
  <c r="E38" i="21"/>
  <c r="G38" i="21" s="1"/>
  <c r="F15" i="21"/>
  <c r="F40" i="21"/>
  <c r="E46" i="21"/>
  <c r="G46" i="21" s="1"/>
  <c r="E68" i="21"/>
  <c r="G68" i="21" s="1"/>
  <c r="E17" i="21"/>
  <c r="G17" i="21" s="1"/>
  <c r="E39" i="21"/>
  <c r="G39" i="21" s="1"/>
  <c r="L70" i="21"/>
  <c r="L55" i="21"/>
  <c r="L29" i="21"/>
  <c r="K61" i="21"/>
  <c r="K14" i="21"/>
  <c r="K39" i="21"/>
  <c r="F63" i="21"/>
  <c r="F27" i="21"/>
  <c r="E47" i="21"/>
  <c r="G47" i="21" s="1"/>
  <c r="E69" i="21"/>
  <c r="G69" i="21" s="1"/>
  <c r="E18" i="21"/>
  <c r="G18" i="21" s="1"/>
  <c r="L71" i="21"/>
  <c r="L56" i="21"/>
  <c r="L30" i="21"/>
  <c r="K62" i="21"/>
  <c r="K29" i="21"/>
  <c r="F53" i="21"/>
  <c r="F17" i="21"/>
  <c r="F42" i="21"/>
  <c r="E70" i="21"/>
  <c r="G70" i="21" s="1"/>
  <c r="L74" i="21"/>
  <c r="K43" i="21"/>
  <c r="K21" i="21"/>
  <c r="F70" i="21"/>
  <c r="E43" i="21"/>
  <c r="G43" i="21" s="1"/>
  <c r="E24" i="21"/>
  <c r="G24" i="21" s="1"/>
  <c r="L49" i="21"/>
  <c r="K69" i="21"/>
  <c r="F46" i="21"/>
  <c r="F24" i="21"/>
  <c r="E66" i="21"/>
  <c r="G66" i="21" s="1"/>
  <c r="L66" i="21"/>
  <c r="L40" i="21"/>
  <c r="L54" i="21"/>
  <c r="L14" i="21"/>
  <c r="L28" i="21"/>
  <c r="K46" i="21"/>
  <c r="K60" i="21"/>
  <c r="K74" i="21"/>
  <c r="K24" i="21"/>
  <c r="K38" i="21"/>
  <c r="F48" i="21"/>
  <c r="F62" i="21"/>
  <c r="F26" i="21"/>
  <c r="E58" i="21"/>
  <c r="G58" i="21" s="1"/>
  <c r="E29" i="21"/>
  <c r="G29" i="21" s="1"/>
  <c r="L41" i="21"/>
  <c r="L15" i="21"/>
  <c r="K50" i="21"/>
  <c r="K25" i="21"/>
  <c r="F52" i="21"/>
  <c r="F16" i="21"/>
  <c r="F41" i="21"/>
  <c r="E59" i="21"/>
  <c r="G59" i="21" s="1"/>
  <c r="E30" i="21"/>
  <c r="G30" i="21" s="1"/>
  <c r="L42" i="21"/>
  <c r="L19" i="21"/>
  <c r="K51" i="21"/>
  <c r="K15" i="21"/>
  <c r="K40" i="21"/>
  <c r="F31" i="21"/>
  <c r="E60" i="21"/>
  <c r="G60" i="21" s="1"/>
  <c r="E21" i="21"/>
  <c r="G21" i="21" s="1"/>
  <c r="E33" i="21"/>
  <c r="G33" i="21" s="1"/>
  <c r="L22" i="21"/>
  <c r="K54" i="21"/>
  <c r="F45" i="21"/>
  <c r="F34" i="21"/>
  <c r="E14" i="21"/>
  <c r="G14" i="21" s="1"/>
  <c r="L63" i="21"/>
  <c r="K58" i="21"/>
  <c r="K33" i="21"/>
  <c r="F35" i="21"/>
  <c r="E15" i="21"/>
  <c r="G15" i="21" s="1"/>
  <c r="F64" i="21"/>
  <c r="E50" i="21"/>
  <c r="G50" i="21" s="1"/>
  <c r="E31" i="21"/>
  <c r="G31" i="21" s="1"/>
  <c r="L48" i="21"/>
  <c r="K68" i="21"/>
  <c r="F56" i="21"/>
  <c r="E53" i="21"/>
  <c r="G53" i="21" s="1"/>
  <c r="E34" i="21"/>
  <c r="G34" i="21" s="1"/>
  <c r="L23" i="21"/>
  <c r="K22" i="21"/>
  <c r="F71" i="21"/>
  <c r="E54" i="21"/>
  <c r="G54" i="21" s="1"/>
  <c r="E25" i="21"/>
  <c r="G25" i="21" s="1"/>
  <c r="L72" i="21"/>
  <c r="L46" i="21"/>
  <c r="L57" i="21"/>
  <c r="L20" i="21"/>
  <c r="L31" i="21"/>
  <c r="K52" i="21"/>
  <c r="K66" i="21"/>
  <c r="K16" i="21"/>
  <c r="K30" i="21"/>
  <c r="K41" i="21"/>
  <c r="F54" i="21"/>
  <c r="F68" i="21"/>
  <c r="F18" i="21"/>
  <c r="F32" i="21"/>
  <c r="E51" i="21"/>
  <c r="G51" i="21" s="1"/>
  <c r="E61" i="21"/>
  <c r="G61" i="21" s="1"/>
  <c r="E71" i="21"/>
  <c r="G71" i="21" s="1"/>
  <c r="E22" i="21"/>
  <c r="G22" i="21" s="1"/>
  <c r="E32" i="21"/>
  <c r="G32" i="21" s="1"/>
  <c r="L47" i="21"/>
  <c r="L73" i="21"/>
  <c r="L58" i="21"/>
  <c r="L21" i="21"/>
  <c r="K53" i="21"/>
  <c r="K67" i="21"/>
  <c r="K17" i="21"/>
  <c r="K31" i="21"/>
  <c r="F44" i="21"/>
  <c r="F55" i="21"/>
  <c r="F69" i="21"/>
  <c r="F19" i="21"/>
  <c r="F33" i="21"/>
  <c r="E42" i="21"/>
  <c r="G42" i="21" s="1"/>
  <c r="E52" i="21"/>
  <c r="G52" i="21" s="1"/>
  <c r="E62" i="21"/>
  <c r="G62" i="21" s="1"/>
  <c r="E74" i="21"/>
  <c r="G74" i="21" s="1"/>
  <c r="E23" i="21"/>
  <c r="G23" i="21" s="1"/>
  <c r="L62" i="21"/>
  <c r="K32" i="21"/>
  <c r="F23" i="21"/>
  <c r="E63" i="21"/>
  <c r="G63" i="21" s="1"/>
  <c r="L38" i="21"/>
  <c r="K44" i="21"/>
  <c r="F60" i="21"/>
  <c r="E44" i="21"/>
  <c r="G44" i="21" s="1"/>
  <c r="E37" i="21"/>
  <c r="G37" i="21" s="1"/>
  <c r="I19" i="21" l="1"/>
  <c r="M26" i="21"/>
  <c r="N26" i="21" s="1"/>
  <c r="H31" i="21"/>
  <c r="I59" i="21"/>
  <c r="R59" i="21" s="1"/>
  <c r="V59" i="21" s="1"/>
  <c r="F13" i="29"/>
  <c r="O13" i="27" s="1" a="1"/>
  <c r="Q48" i="27" s="1"/>
  <c r="J13" i="28"/>
  <c r="AC13" i="28"/>
  <c r="V13" i="28"/>
  <c r="AJ13" i="28"/>
  <c r="Y13" i="28"/>
  <c r="L13" i="28"/>
  <c r="AF13" i="28"/>
  <c r="AI13" i="28"/>
  <c r="M13" i="28"/>
  <c r="K13" i="28"/>
  <c r="AE13" i="28"/>
  <c r="AG13" i="28"/>
  <c r="S13" i="28"/>
  <c r="W13" i="28"/>
  <c r="X13" i="28"/>
  <c r="AB13" i="28"/>
  <c r="Q13" i="28"/>
  <c r="O13" i="28"/>
  <c r="AA13" i="28"/>
  <c r="F60" i="28"/>
  <c r="I15" i="21"/>
  <c r="P15" i="21" s="1"/>
  <c r="T15" i="21" s="1"/>
  <c r="I22" i="21"/>
  <c r="R22" i="21" s="1"/>
  <c r="V22" i="21" s="1"/>
  <c r="F32" i="28"/>
  <c r="F50" i="28"/>
  <c r="F39" i="28"/>
  <c r="F23" i="28"/>
  <c r="F33" i="28"/>
  <c r="I66" i="21"/>
  <c r="R66" i="21" s="1"/>
  <c r="V66" i="21" s="1"/>
  <c r="I14" i="21"/>
  <c r="R14" i="21" s="1"/>
  <c r="V14" i="21" s="1"/>
  <c r="I36" i="21"/>
  <c r="R36" i="21" s="1"/>
  <c r="V36" i="21" s="1"/>
  <c r="F25" i="28"/>
  <c r="F45" i="28"/>
  <c r="H57" i="21"/>
  <c r="Q57" i="21" s="1"/>
  <c r="U57" i="21" s="1"/>
  <c r="F55" i="28"/>
  <c r="F44" i="28"/>
  <c r="F68" i="28"/>
  <c r="I51" i="21"/>
  <c r="R51" i="21" s="1"/>
  <c r="V51" i="21" s="1"/>
  <c r="H43" i="21"/>
  <c r="Q43" i="21" s="1"/>
  <c r="U43" i="21" s="1"/>
  <c r="H20" i="21"/>
  <c r="Q20" i="21" s="1"/>
  <c r="U20" i="21" s="1"/>
  <c r="F73" i="28"/>
  <c r="F53" i="28"/>
  <c r="F15" i="28"/>
  <c r="I28" i="21"/>
  <c r="P28" i="21" s="1"/>
  <c r="T28" i="21" s="1"/>
  <c r="F30" i="28"/>
  <c r="F16" i="28"/>
  <c r="F49" i="28"/>
  <c r="F54" i="28"/>
  <c r="F52" i="28"/>
  <c r="F64" i="28"/>
  <c r="F48" i="28"/>
  <c r="F61" i="28"/>
  <c r="F65" i="28"/>
  <c r="F63" i="28"/>
  <c r="F35" i="28"/>
  <c r="F29" i="28"/>
  <c r="H67" i="21"/>
  <c r="O67" i="21" s="1"/>
  <c r="S67" i="21" s="1"/>
  <c r="F41" i="28"/>
  <c r="F36" i="28"/>
  <c r="F62" i="28"/>
  <c r="F47" i="28"/>
  <c r="F57" i="28"/>
  <c r="I27" i="21"/>
  <c r="R27" i="21" s="1"/>
  <c r="V27" i="21" s="1"/>
  <c r="H49" i="21"/>
  <c r="Q49" i="21" s="1"/>
  <c r="U49" i="21" s="1"/>
  <c r="F28" i="28"/>
  <c r="F22" i="28"/>
  <c r="F37" i="28"/>
  <c r="F69" i="28"/>
  <c r="F20" i="28"/>
  <c r="F66" i="28"/>
  <c r="F67" i="28"/>
  <c r="F17" i="28"/>
  <c r="F31" i="28"/>
  <c r="F21" i="28"/>
  <c r="I58" i="21"/>
  <c r="R58" i="21" s="1"/>
  <c r="V58" i="21" s="1"/>
  <c r="I50" i="21"/>
  <c r="R50" i="21" s="1"/>
  <c r="V50" i="21" s="1"/>
  <c r="H38" i="21"/>
  <c r="O38" i="21" s="1"/>
  <c r="S38" i="21" s="1"/>
  <c r="I73" i="21"/>
  <c r="R73" i="21" s="1"/>
  <c r="V73" i="21" s="1"/>
  <c r="H30" i="21"/>
  <c r="Q30" i="21" s="1"/>
  <c r="U30" i="21" s="1"/>
  <c r="I65" i="21"/>
  <c r="R65" i="21" s="1"/>
  <c r="V65" i="21" s="1"/>
  <c r="M73" i="21"/>
  <c r="N73" i="21" s="1"/>
  <c r="M53" i="21"/>
  <c r="N53" i="21" s="1"/>
  <c r="I69" i="21"/>
  <c r="H69" i="21"/>
  <c r="H29" i="21"/>
  <c r="I29" i="21"/>
  <c r="M18" i="21"/>
  <c r="N18" i="21" s="1"/>
  <c r="M45" i="21"/>
  <c r="N45" i="21" s="1"/>
  <c r="M14" i="21"/>
  <c r="N14" i="21" s="1"/>
  <c r="I18" i="21"/>
  <c r="H18" i="21"/>
  <c r="I39" i="21"/>
  <c r="H39" i="21"/>
  <c r="I20" i="21"/>
  <c r="M42" i="21"/>
  <c r="N42" i="21" s="1"/>
  <c r="M29" i="21"/>
  <c r="N29" i="21" s="1"/>
  <c r="M59" i="21"/>
  <c r="N59" i="21" s="1"/>
  <c r="H60" i="21"/>
  <c r="I60" i="21"/>
  <c r="I44" i="21"/>
  <c r="H44" i="21"/>
  <c r="H68" i="21"/>
  <c r="I68" i="21"/>
  <c r="H64" i="21"/>
  <c r="I64" i="21"/>
  <c r="I45" i="21"/>
  <c r="H45" i="21"/>
  <c r="I52" i="21"/>
  <c r="H52" i="21"/>
  <c r="I62" i="21"/>
  <c r="H62" i="21"/>
  <c r="H42" i="21"/>
  <c r="I42" i="21"/>
  <c r="H15" i="21"/>
  <c r="H25" i="21"/>
  <c r="I25" i="21"/>
  <c r="H22" i="21"/>
  <c r="H73" i="21"/>
  <c r="H74" i="21"/>
  <c r="I74" i="21"/>
  <c r="I57" i="21"/>
  <c r="M64" i="21"/>
  <c r="N64" i="21" s="1"/>
  <c r="M39" i="21"/>
  <c r="N39" i="21" s="1"/>
  <c r="M60" i="21"/>
  <c r="N60" i="21" s="1"/>
  <c r="M51" i="21"/>
  <c r="N51" i="21" s="1"/>
  <c r="M63" i="21"/>
  <c r="N63" i="21" s="1"/>
  <c r="M30" i="21"/>
  <c r="N30" i="21" s="1"/>
  <c r="M20" i="21"/>
  <c r="N20" i="21" s="1"/>
  <c r="I71" i="21"/>
  <c r="H71" i="21"/>
  <c r="I41" i="21"/>
  <c r="H41" i="21"/>
  <c r="M22" i="21"/>
  <c r="N22" i="21"/>
  <c r="H40" i="21"/>
  <c r="I40" i="21"/>
  <c r="M68" i="21"/>
  <c r="N68" i="21" s="1"/>
  <c r="I54" i="21"/>
  <c r="H54" i="21"/>
  <c r="I48" i="21"/>
  <c r="H48" i="21"/>
  <c r="H17" i="21"/>
  <c r="I17" i="21"/>
  <c r="I38" i="21"/>
  <c r="I72" i="21"/>
  <c r="H72" i="21"/>
  <c r="H14" i="21"/>
  <c r="H65" i="21"/>
  <c r="H66" i="21"/>
  <c r="I49" i="21"/>
  <c r="M65" i="21"/>
  <c r="N65" i="21" s="1"/>
  <c r="M34" i="21"/>
  <c r="N34" i="21" s="1"/>
  <c r="M40" i="21"/>
  <c r="N40" i="21" s="1"/>
  <c r="M31" i="21"/>
  <c r="N31" i="21" s="1"/>
  <c r="M56" i="21"/>
  <c r="N56" i="21" s="1"/>
  <c r="M52" i="21"/>
  <c r="N52" i="21" s="1"/>
  <c r="M72" i="21"/>
  <c r="N72" i="21" s="1"/>
  <c r="M43" i="21"/>
  <c r="N43" i="21" s="1"/>
  <c r="R19" i="21"/>
  <c r="V19" i="21" s="1"/>
  <c r="P19" i="21"/>
  <c r="T19" i="21" s="1"/>
  <c r="H24" i="21"/>
  <c r="I24" i="21"/>
  <c r="H19" i="21"/>
  <c r="M38" i="21"/>
  <c r="N38" i="21" s="1"/>
  <c r="H32" i="21"/>
  <c r="I32" i="21"/>
  <c r="I31" i="21"/>
  <c r="H46" i="21"/>
  <c r="I46" i="21"/>
  <c r="M67" i="21"/>
  <c r="N67" i="21" s="1"/>
  <c r="H16" i="21"/>
  <c r="I16" i="21"/>
  <c r="M47" i="21"/>
  <c r="N47" i="21" s="1"/>
  <c r="H35" i="21"/>
  <c r="I35" i="21"/>
  <c r="I43" i="21"/>
  <c r="H53" i="21"/>
  <c r="I53" i="21"/>
  <c r="I61" i="21"/>
  <c r="H61" i="21"/>
  <c r="H58" i="21"/>
  <c r="M74" i="21"/>
  <c r="N74" i="21" s="1"/>
  <c r="M24" i="21"/>
  <c r="N24" i="21" s="1"/>
  <c r="M23" i="21"/>
  <c r="N23" i="21" s="1"/>
  <c r="M32" i="21"/>
  <c r="N32" i="21" s="1"/>
  <c r="M44" i="21"/>
  <c r="N44" i="21" s="1"/>
  <c r="M48" i="21"/>
  <c r="N48" i="21" s="1"/>
  <c r="M61" i="21"/>
  <c r="N61" i="21" s="1"/>
  <c r="M35" i="21"/>
  <c r="N35" i="21" s="1"/>
  <c r="M50" i="21"/>
  <c r="N50" i="21" s="1"/>
  <c r="M25" i="21"/>
  <c r="N25" i="21" s="1"/>
  <c r="M55" i="21"/>
  <c r="N55" i="21" s="1"/>
  <c r="H55" i="21"/>
  <c r="I55" i="21"/>
  <c r="H34" i="21"/>
  <c r="I34" i="21"/>
  <c r="H26" i="21"/>
  <c r="I26" i="21"/>
  <c r="H56" i="21"/>
  <c r="I56" i="21"/>
  <c r="I70" i="21"/>
  <c r="H70" i="21"/>
  <c r="H47" i="21"/>
  <c r="I47" i="21"/>
  <c r="H59" i="21"/>
  <c r="H50" i="21"/>
  <c r="H36" i="21"/>
  <c r="M58" i="21"/>
  <c r="N58" i="21" s="1"/>
  <c r="M57" i="21"/>
  <c r="N57" i="21" s="1"/>
  <c r="M16" i="21"/>
  <c r="N16" i="21" s="1"/>
  <c r="M15" i="21"/>
  <c r="N15" i="21" s="1"/>
  <c r="M62" i="21"/>
  <c r="N62" i="21" s="1"/>
  <c r="M36" i="21"/>
  <c r="N36" i="21" s="1"/>
  <c r="M70" i="21"/>
  <c r="N70" i="21" s="1"/>
  <c r="M37" i="21"/>
  <c r="N37" i="21" s="1"/>
  <c r="M27" i="21"/>
  <c r="N27" i="21" s="1"/>
  <c r="H37" i="21"/>
  <c r="I37" i="21"/>
  <c r="M49" i="21"/>
  <c r="N49" i="21" s="1"/>
  <c r="H21" i="21"/>
  <c r="I21" i="21"/>
  <c r="M66" i="21"/>
  <c r="N66" i="21" s="1"/>
  <c r="M17" i="21"/>
  <c r="N17" i="21" s="1"/>
  <c r="H23" i="21"/>
  <c r="I23" i="21"/>
  <c r="H33" i="21"/>
  <c r="I33" i="21"/>
  <c r="I30" i="21"/>
  <c r="H63" i="21"/>
  <c r="I63" i="21"/>
  <c r="I67" i="21"/>
  <c r="H51" i="21"/>
  <c r="H27" i="21"/>
  <c r="H28" i="21"/>
  <c r="M33" i="21"/>
  <c r="N33" i="21" s="1"/>
  <c r="M71" i="21"/>
  <c r="N71" i="21" s="1"/>
  <c r="M41" i="21"/>
  <c r="N41" i="21" s="1"/>
  <c r="M46" i="21"/>
  <c r="N46" i="21" s="1"/>
  <c r="M69" i="21"/>
  <c r="N69" i="21" s="1"/>
  <c r="M28" i="21"/>
  <c r="N28" i="21" s="1"/>
  <c r="M54" i="21"/>
  <c r="N54" i="21" s="1"/>
  <c r="M21" i="21"/>
  <c r="N21" i="21" s="1"/>
  <c r="M19" i="21"/>
  <c r="N19" i="21" s="1"/>
  <c r="Y13" i="21"/>
  <c r="Z13" i="21" s="1"/>
  <c r="AA13" i="21" s="1"/>
  <c r="K13" i="21"/>
  <c r="E13" i="21"/>
  <c r="G13" i="21" s="1"/>
  <c r="F13" i="21"/>
  <c r="L13" i="21"/>
  <c r="P59" i="21" l="1"/>
  <c r="T59" i="21" s="1"/>
  <c r="X59" i="21" s="1"/>
  <c r="AC59" i="21" s="1"/>
  <c r="F13" i="28"/>
  <c r="P37" i="27"/>
  <c r="Q29" i="27"/>
  <c r="P71" i="27"/>
  <c r="Q36" i="27"/>
  <c r="P53" i="27"/>
  <c r="P72" i="27"/>
  <c r="Q62" i="27"/>
  <c r="P41" i="27"/>
  <c r="Q23" i="27"/>
  <c r="Q40" i="27"/>
  <c r="P22" i="21"/>
  <c r="T22" i="21" s="1"/>
  <c r="X22" i="21" s="1"/>
  <c r="AC22" i="21" s="1"/>
  <c r="O43" i="21"/>
  <c r="S43" i="21" s="1"/>
  <c r="W43" i="21" s="1"/>
  <c r="AB43" i="21" s="1"/>
  <c r="P36" i="21"/>
  <c r="T36" i="21" s="1"/>
  <c r="X36" i="21" s="1"/>
  <c r="AC36" i="21" s="1"/>
  <c r="O57" i="21"/>
  <c r="S57" i="21" s="1"/>
  <c r="W57" i="21" s="1"/>
  <c r="AB57" i="21" s="1"/>
  <c r="O20" i="21"/>
  <c r="S20" i="21" s="1"/>
  <c r="W20" i="21" s="1"/>
  <c r="AB20" i="21" s="1"/>
  <c r="P48" i="27"/>
  <c r="P19" i="27"/>
  <c r="P42" i="27"/>
  <c r="Q31" i="27"/>
  <c r="Q47" i="27"/>
  <c r="P68" i="27"/>
  <c r="P50" i="27"/>
  <c r="P16" i="27"/>
  <c r="Q17" i="27"/>
  <c r="Q72" i="27"/>
  <c r="P69" i="27"/>
  <c r="P30" i="27"/>
  <c r="P34" i="27"/>
  <c r="Q30" i="27"/>
  <c r="Q63" i="27"/>
  <c r="P21" i="27"/>
  <c r="P28" i="27"/>
  <c r="P22" i="27"/>
  <c r="Q22" i="27"/>
  <c r="Q41" i="27"/>
  <c r="P57" i="27"/>
  <c r="P54" i="27"/>
  <c r="Q16" i="27"/>
  <c r="Q55" i="27"/>
  <c r="Q71" i="27"/>
  <c r="P27" i="27"/>
  <c r="P38" i="27"/>
  <c r="P62" i="27"/>
  <c r="Q69" i="27"/>
  <c r="Q21" i="27"/>
  <c r="Q70" i="27"/>
  <c r="Q28" i="27"/>
  <c r="Q34" i="27"/>
  <c r="P63" i="27"/>
  <c r="P26" i="27"/>
  <c r="P25" i="27"/>
  <c r="P65" i="27"/>
  <c r="Q67" i="27"/>
  <c r="Q27" i="27"/>
  <c r="Q26" i="27"/>
  <c r="O13" i="27"/>
  <c r="P13" i="27" s="1"/>
  <c r="P15" i="27"/>
  <c r="P67" i="27"/>
  <c r="P33" i="27"/>
  <c r="P47" i="27"/>
  <c r="P56" i="27"/>
  <c r="P18" i="27"/>
  <c r="P14" i="27"/>
  <c r="P60" i="27"/>
  <c r="Q38" i="27"/>
  <c r="Q61" i="27"/>
  <c r="Q60" i="27"/>
  <c r="Q59" i="27"/>
  <c r="Q66" i="27"/>
  <c r="Q19" i="27"/>
  <c r="Q18" i="27"/>
  <c r="Q54" i="27"/>
  <c r="Q35" i="27"/>
  <c r="P40" i="27"/>
  <c r="P66" i="27"/>
  <c r="P36" i="27"/>
  <c r="P52" i="27"/>
  <c r="Q46" i="27"/>
  <c r="Q15" i="27"/>
  <c r="Q14" i="27"/>
  <c r="Q20" i="27"/>
  <c r="P74" i="27"/>
  <c r="P23" i="27"/>
  <c r="P29" i="27"/>
  <c r="P39" i="27"/>
  <c r="P73" i="27"/>
  <c r="P45" i="27"/>
  <c r="P58" i="27"/>
  <c r="Q39" i="27"/>
  <c r="Q68" i="27"/>
  <c r="Q53" i="27"/>
  <c r="Q52" i="27"/>
  <c r="Q51" i="27"/>
  <c r="Q58" i="27"/>
  <c r="Q65" i="27"/>
  <c r="Q64" i="27"/>
  <c r="P61" i="27"/>
  <c r="P46" i="27"/>
  <c r="P70" i="27"/>
  <c r="P64" i="27"/>
  <c r="P24" i="27"/>
  <c r="P51" i="27"/>
  <c r="P20" i="27"/>
  <c r="P44" i="27"/>
  <c r="Q32" i="27"/>
  <c r="Q33" i="27"/>
  <c r="Q45" i="27"/>
  <c r="Q44" i="27"/>
  <c r="Q43" i="27"/>
  <c r="Q50" i="27"/>
  <c r="Q57" i="27"/>
  <c r="Q56" i="27"/>
  <c r="P49" i="27"/>
  <c r="P31" i="27"/>
  <c r="P32" i="27"/>
  <c r="P43" i="27"/>
  <c r="P55" i="27"/>
  <c r="P35" i="27"/>
  <c r="P59" i="27"/>
  <c r="P17" i="27"/>
  <c r="Q24" i="27"/>
  <c r="Q25" i="27"/>
  <c r="Q37" i="27"/>
  <c r="Q74" i="27"/>
  <c r="Q73" i="27"/>
  <c r="Q42" i="27"/>
  <c r="Q49" i="27"/>
  <c r="P50" i="21"/>
  <c r="T50" i="21" s="1"/>
  <c r="X50" i="21" s="1"/>
  <c r="AC50" i="21" s="1"/>
  <c r="P27" i="21"/>
  <c r="T27" i="21" s="1"/>
  <c r="X27" i="21" s="1"/>
  <c r="AC27" i="21" s="1"/>
  <c r="P14" i="21"/>
  <c r="T14" i="21" s="1"/>
  <c r="X14" i="21" s="1"/>
  <c r="AC14" i="21" s="1"/>
  <c r="R28" i="21"/>
  <c r="V28" i="21" s="1"/>
  <c r="X28" i="21" s="1"/>
  <c r="AC28" i="21" s="1"/>
  <c r="R15" i="21"/>
  <c r="V15" i="21" s="1"/>
  <c r="X15" i="21" s="1"/>
  <c r="AC15" i="21" s="1"/>
  <c r="O49" i="21"/>
  <c r="S49" i="21" s="1"/>
  <c r="W49" i="21" s="1"/>
  <c r="AB49" i="21" s="1"/>
  <c r="P51" i="21"/>
  <c r="T51" i="21" s="1"/>
  <c r="X51" i="21" s="1"/>
  <c r="AC51" i="21" s="1"/>
  <c r="P66" i="21"/>
  <c r="T66" i="21" s="1"/>
  <c r="X66" i="21" s="1"/>
  <c r="AC66" i="21" s="1"/>
  <c r="Q38" i="21"/>
  <c r="U38" i="21" s="1"/>
  <c r="W38" i="21" s="1"/>
  <c r="AB38" i="21" s="1"/>
  <c r="Q67" i="21"/>
  <c r="U67" i="21" s="1"/>
  <c r="W67" i="21" s="1"/>
  <c r="AB67" i="21" s="1"/>
  <c r="P65" i="21"/>
  <c r="T65" i="21" s="1"/>
  <c r="X65" i="21" s="1"/>
  <c r="AC65" i="21" s="1"/>
  <c r="O30" i="21"/>
  <c r="S30" i="21" s="1"/>
  <c r="W30" i="21" s="1"/>
  <c r="AB30" i="21" s="1"/>
  <c r="P73" i="21"/>
  <c r="T73" i="21" s="1"/>
  <c r="X73" i="21" s="1"/>
  <c r="AC73" i="21" s="1"/>
  <c r="X19" i="21"/>
  <c r="AC19" i="21" s="1"/>
  <c r="P58" i="21"/>
  <c r="T58" i="21" s="1"/>
  <c r="X58" i="21" s="1"/>
  <c r="AC58" i="21" s="1"/>
  <c r="I13" i="21"/>
  <c r="P13" i="21" s="1"/>
  <c r="T13" i="21" s="1"/>
  <c r="O35" i="21"/>
  <c r="S35" i="21" s="1"/>
  <c r="Q35" i="21"/>
  <c r="U35" i="21" s="1"/>
  <c r="O73" i="21"/>
  <c r="S73" i="21" s="1"/>
  <c r="Q73" i="21"/>
  <c r="U73" i="21" s="1"/>
  <c r="O71" i="21"/>
  <c r="S71" i="21" s="1"/>
  <c r="Q71" i="21"/>
  <c r="U71" i="21" s="1"/>
  <c r="O44" i="21"/>
  <c r="S44" i="21" s="1"/>
  <c r="Q44" i="21"/>
  <c r="U44" i="21" s="1"/>
  <c r="H13" i="21"/>
  <c r="O13" i="21" s="1"/>
  <c r="S13" i="21" s="1"/>
  <c r="O27" i="21"/>
  <c r="S27" i="21" s="1"/>
  <c r="Q27" i="21"/>
  <c r="U27" i="21" s="1"/>
  <c r="P33" i="21"/>
  <c r="T33" i="21" s="1"/>
  <c r="R33" i="21"/>
  <c r="V33" i="21" s="1"/>
  <c r="O59" i="21"/>
  <c r="S59" i="21" s="1"/>
  <c r="Q59" i="21"/>
  <c r="U59" i="21" s="1"/>
  <c r="Q56" i="21"/>
  <c r="U56" i="21" s="1"/>
  <c r="O56" i="21"/>
  <c r="S56" i="21" s="1"/>
  <c r="Q61" i="21"/>
  <c r="U61" i="21" s="1"/>
  <c r="O61" i="21"/>
  <c r="S61" i="21" s="1"/>
  <c r="Q65" i="21"/>
  <c r="U65" i="21" s="1"/>
  <c r="O65" i="21"/>
  <c r="S65" i="21" s="1"/>
  <c r="P48" i="21"/>
  <c r="T48" i="21" s="1"/>
  <c r="R48" i="21"/>
  <c r="V48" i="21" s="1"/>
  <c r="P71" i="21"/>
  <c r="T71" i="21" s="1"/>
  <c r="R71" i="21"/>
  <c r="V71" i="21" s="1"/>
  <c r="P25" i="21"/>
  <c r="T25" i="21" s="1"/>
  <c r="R25" i="21"/>
  <c r="V25" i="21" s="1"/>
  <c r="P52" i="21"/>
  <c r="T52" i="21" s="1"/>
  <c r="R52" i="21"/>
  <c r="V52" i="21" s="1"/>
  <c r="R44" i="21"/>
  <c r="V44" i="21" s="1"/>
  <c r="P44" i="21"/>
  <c r="T44" i="21" s="1"/>
  <c r="Q69" i="21"/>
  <c r="U69" i="21" s="1"/>
  <c r="O69" i="21"/>
  <c r="S69" i="21" s="1"/>
  <c r="R37" i="21"/>
  <c r="V37" i="21" s="1"/>
  <c r="P37" i="21"/>
  <c r="T37" i="21" s="1"/>
  <c r="R70" i="21"/>
  <c r="V70" i="21" s="1"/>
  <c r="P70" i="21"/>
  <c r="T70" i="21" s="1"/>
  <c r="Q32" i="21"/>
  <c r="U32" i="21" s="1"/>
  <c r="O32" i="21"/>
  <c r="S32" i="21" s="1"/>
  <c r="P41" i="21"/>
  <c r="T41" i="21" s="1"/>
  <c r="R41" i="21"/>
  <c r="V41" i="21" s="1"/>
  <c r="P62" i="21"/>
  <c r="T62" i="21" s="1"/>
  <c r="R62" i="21"/>
  <c r="V62" i="21" s="1"/>
  <c r="O28" i="21"/>
  <c r="S28" i="21" s="1"/>
  <c r="Q28" i="21"/>
  <c r="U28" i="21" s="1"/>
  <c r="Q33" i="21"/>
  <c r="U33" i="21" s="1"/>
  <c r="O33" i="21"/>
  <c r="S33" i="21" s="1"/>
  <c r="P47" i="21"/>
  <c r="T47" i="21" s="1"/>
  <c r="R47" i="21"/>
  <c r="V47" i="21" s="1"/>
  <c r="R61" i="21"/>
  <c r="V61" i="21" s="1"/>
  <c r="P61" i="21"/>
  <c r="T61" i="21" s="1"/>
  <c r="P16" i="21"/>
  <c r="T16" i="21" s="1"/>
  <c r="R16" i="21"/>
  <c r="V16" i="21" s="1"/>
  <c r="P46" i="21"/>
  <c r="T46" i="21" s="1"/>
  <c r="R46" i="21"/>
  <c r="V46" i="21" s="1"/>
  <c r="O19" i="21"/>
  <c r="S19" i="21" s="1"/>
  <c r="Q19" i="21"/>
  <c r="U19" i="21" s="1"/>
  <c r="Q14" i="21"/>
  <c r="U14" i="21" s="1"/>
  <c r="O14" i="21"/>
  <c r="S14" i="21" s="1"/>
  <c r="P40" i="21"/>
  <c r="T40" i="21" s="1"/>
  <c r="R40" i="21"/>
  <c r="V40" i="21" s="1"/>
  <c r="O25" i="21"/>
  <c r="S25" i="21" s="1"/>
  <c r="Q25" i="21"/>
  <c r="U25" i="21" s="1"/>
  <c r="Q45" i="21"/>
  <c r="U45" i="21" s="1"/>
  <c r="O45" i="21"/>
  <c r="S45" i="21" s="1"/>
  <c r="P60" i="21"/>
  <c r="T60" i="21" s="1"/>
  <c r="R60" i="21"/>
  <c r="V60" i="21" s="1"/>
  <c r="R20" i="21"/>
  <c r="V20" i="21" s="1"/>
  <c r="P20" i="21"/>
  <c r="T20" i="21" s="1"/>
  <c r="R69" i="21"/>
  <c r="V69" i="21" s="1"/>
  <c r="P69" i="21"/>
  <c r="T69" i="21" s="1"/>
  <c r="Q55" i="21"/>
  <c r="U55" i="21" s="1"/>
  <c r="O55" i="21"/>
  <c r="S55" i="21" s="1"/>
  <c r="O17" i="21"/>
  <c r="S17" i="21" s="1"/>
  <c r="Q17" i="21"/>
  <c r="U17" i="21" s="1"/>
  <c r="R30" i="21"/>
  <c r="V30" i="21" s="1"/>
  <c r="P30" i="21"/>
  <c r="T30" i="21" s="1"/>
  <c r="Q37" i="21"/>
  <c r="U37" i="21" s="1"/>
  <c r="O37" i="21"/>
  <c r="S37" i="21" s="1"/>
  <c r="P56" i="21"/>
  <c r="T56" i="21" s="1"/>
  <c r="R56" i="21"/>
  <c r="V56" i="21" s="1"/>
  <c r="O51" i="21"/>
  <c r="S51" i="21" s="1"/>
  <c r="Q51" i="21"/>
  <c r="U51" i="21" s="1"/>
  <c r="R26" i="21"/>
  <c r="V26" i="21" s="1"/>
  <c r="P26" i="21"/>
  <c r="T26" i="21" s="1"/>
  <c r="R67" i="21"/>
  <c r="V67" i="21" s="1"/>
  <c r="P67" i="21"/>
  <c r="T67" i="21" s="1"/>
  <c r="P23" i="21"/>
  <c r="T23" i="21" s="1"/>
  <c r="R23" i="21"/>
  <c r="V23" i="21" s="1"/>
  <c r="R21" i="21"/>
  <c r="V21" i="21" s="1"/>
  <c r="P21" i="21"/>
  <c r="T21" i="21" s="1"/>
  <c r="Q47" i="21"/>
  <c r="U47" i="21" s="1"/>
  <c r="O47" i="21"/>
  <c r="S47" i="21" s="1"/>
  <c r="O26" i="21"/>
  <c r="S26" i="21" s="1"/>
  <c r="Q26" i="21"/>
  <c r="U26" i="21" s="1"/>
  <c r="R53" i="21"/>
  <c r="V53" i="21" s="1"/>
  <c r="P53" i="21"/>
  <c r="T53" i="21" s="1"/>
  <c r="Q16" i="21"/>
  <c r="U16" i="21" s="1"/>
  <c r="O16" i="21"/>
  <c r="S16" i="21" s="1"/>
  <c r="Q46" i="21"/>
  <c r="U46" i="21" s="1"/>
  <c r="O46" i="21"/>
  <c r="S46" i="21" s="1"/>
  <c r="P24" i="21"/>
  <c r="T24" i="21" s="1"/>
  <c r="R24" i="21"/>
  <c r="V24" i="21" s="1"/>
  <c r="Q72" i="21"/>
  <c r="U72" i="21" s="1"/>
  <c r="O72" i="21"/>
  <c r="S72" i="21" s="1"/>
  <c r="Q40" i="21"/>
  <c r="U40" i="21" s="1"/>
  <c r="O40" i="21"/>
  <c r="S40" i="21" s="1"/>
  <c r="Q15" i="21"/>
  <c r="U15" i="21" s="1"/>
  <c r="O15" i="21"/>
  <c r="S15" i="21" s="1"/>
  <c r="R45" i="21"/>
  <c r="V45" i="21" s="1"/>
  <c r="P45" i="21"/>
  <c r="T45" i="21" s="1"/>
  <c r="O60" i="21"/>
  <c r="S60" i="21" s="1"/>
  <c r="Q60" i="21"/>
  <c r="U60" i="21" s="1"/>
  <c r="O39" i="21"/>
  <c r="S39" i="21" s="1"/>
  <c r="Q39" i="21"/>
  <c r="U39" i="21" s="1"/>
  <c r="O68" i="21"/>
  <c r="S68" i="21" s="1"/>
  <c r="Q68" i="21"/>
  <c r="U68" i="21" s="1"/>
  <c r="Q48" i="21"/>
  <c r="U48" i="21" s="1"/>
  <c r="O48" i="21"/>
  <c r="S48" i="21" s="1"/>
  <c r="Q22" i="21"/>
  <c r="U22" i="21" s="1"/>
  <c r="O22" i="21"/>
  <c r="S22" i="21" s="1"/>
  <c r="P63" i="21"/>
  <c r="T63" i="21" s="1"/>
  <c r="R63" i="21"/>
  <c r="V63" i="21" s="1"/>
  <c r="Q23" i="21"/>
  <c r="U23" i="21" s="1"/>
  <c r="O23" i="21"/>
  <c r="S23" i="21" s="1"/>
  <c r="Q21" i="21"/>
  <c r="U21" i="21" s="1"/>
  <c r="O21" i="21"/>
  <c r="S21" i="21" s="1"/>
  <c r="R34" i="21"/>
  <c r="V34" i="21" s="1"/>
  <c r="P34" i="21"/>
  <c r="T34" i="21" s="1"/>
  <c r="O58" i="21"/>
  <c r="S58" i="21" s="1"/>
  <c r="Q58" i="21"/>
  <c r="U58" i="21" s="1"/>
  <c r="Q53" i="21"/>
  <c r="U53" i="21" s="1"/>
  <c r="O53" i="21"/>
  <c r="S53" i="21" s="1"/>
  <c r="P31" i="21"/>
  <c r="T31" i="21" s="1"/>
  <c r="R31" i="21"/>
  <c r="V31" i="21" s="1"/>
  <c r="Q24" i="21"/>
  <c r="U24" i="21" s="1"/>
  <c r="O24" i="21"/>
  <c r="S24" i="21" s="1"/>
  <c r="P72" i="21"/>
  <c r="T72" i="21" s="1"/>
  <c r="R72" i="21"/>
  <c r="V72" i="21" s="1"/>
  <c r="Q54" i="21"/>
  <c r="U54" i="21" s="1"/>
  <c r="O54" i="21"/>
  <c r="S54" i="21" s="1"/>
  <c r="P57" i="21"/>
  <c r="T57" i="21" s="1"/>
  <c r="R57" i="21"/>
  <c r="V57" i="21" s="1"/>
  <c r="R42" i="21"/>
  <c r="V42" i="21" s="1"/>
  <c r="P42" i="21"/>
  <c r="T42" i="21" s="1"/>
  <c r="P64" i="21"/>
  <c r="T64" i="21" s="1"/>
  <c r="R64" i="21"/>
  <c r="V64" i="21" s="1"/>
  <c r="P39" i="21"/>
  <c r="T39" i="21" s="1"/>
  <c r="R39" i="21"/>
  <c r="V39" i="21" s="1"/>
  <c r="P49" i="21"/>
  <c r="T49" i="21" s="1"/>
  <c r="R49" i="21"/>
  <c r="V49" i="21" s="1"/>
  <c r="O52" i="21"/>
  <c r="S52" i="21" s="1"/>
  <c r="Q52" i="21"/>
  <c r="U52" i="21" s="1"/>
  <c r="M13" i="21"/>
  <c r="N13" i="21" s="1"/>
  <c r="Q63" i="21"/>
  <c r="U63" i="21" s="1"/>
  <c r="O63" i="21"/>
  <c r="S63" i="21" s="1"/>
  <c r="Q36" i="21"/>
  <c r="U36" i="21" s="1"/>
  <c r="O36" i="21"/>
  <c r="S36" i="21" s="1"/>
  <c r="O34" i="21"/>
  <c r="S34" i="21" s="1"/>
  <c r="Q34" i="21"/>
  <c r="U34" i="21" s="1"/>
  <c r="R43" i="21"/>
  <c r="V43" i="21" s="1"/>
  <c r="P43" i="21"/>
  <c r="T43" i="21" s="1"/>
  <c r="O31" i="21"/>
  <c r="S31" i="21" s="1"/>
  <c r="Q31" i="21"/>
  <c r="U31" i="21" s="1"/>
  <c r="P38" i="21"/>
  <c r="T38" i="21" s="1"/>
  <c r="R38" i="21"/>
  <c r="V38" i="21" s="1"/>
  <c r="P54" i="21"/>
  <c r="T54" i="21" s="1"/>
  <c r="R54" i="21"/>
  <c r="V54" i="21" s="1"/>
  <c r="R74" i="21"/>
  <c r="V74" i="21" s="1"/>
  <c r="P74" i="21"/>
  <c r="T74" i="21" s="1"/>
  <c r="O42" i="21"/>
  <c r="S42" i="21" s="1"/>
  <c r="Q42" i="21"/>
  <c r="U42" i="21" s="1"/>
  <c r="Q64" i="21"/>
  <c r="U64" i="21" s="1"/>
  <c r="O64" i="21"/>
  <c r="S64" i="21" s="1"/>
  <c r="O18" i="21"/>
  <c r="S18" i="21" s="1"/>
  <c r="Q18" i="21"/>
  <c r="U18" i="21" s="1"/>
  <c r="R29" i="21"/>
  <c r="V29" i="21" s="1"/>
  <c r="P29" i="21"/>
  <c r="T29" i="21" s="1"/>
  <c r="O66" i="21"/>
  <c r="S66" i="21" s="1"/>
  <c r="Q66" i="21"/>
  <c r="U66" i="21" s="1"/>
  <c r="O50" i="21"/>
  <c r="S50" i="21" s="1"/>
  <c r="Q50" i="21"/>
  <c r="U50" i="21" s="1"/>
  <c r="Q70" i="21"/>
  <c r="U70" i="21" s="1"/>
  <c r="O70" i="21"/>
  <c r="S70" i="21" s="1"/>
  <c r="P55" i="21"/>
  <c r="T55" i="21" s="1"/>
  <c r="R55" i="21"/>
  <c r="V55" i="21" s="1"/>
  <c r="R35" i="21"/>
  <c r="V35" i="21" s="1"/>
  <c r="P35" i="21"/>
  <c r="T35" i="21" s="1"/>
  <c r="P32" i="21"/>
  <c r="T32" i="21" s="1"/>
  <c r="R32" i="21"/>
  <c r="V32" i="21" s="1"/>
  <c r="P17" i="21"/>
  <c r="T17" i="21" s="1"/>
  <c r="R17" i="21"/>
  <c r="V17" i="21" s="1"/>
  <c r="O41" i="21"/>
  <c r="S41" i="21" s="1"/>
  <c r="Q41" i="21"/>
  <c r="U41" i="21" s="1"/>
  <c r="O74" i="21"/>
  <c r="S74" i="21" s="1"/>
  <c r="Q74" i="21"/>
  <c r="U74" i="21" s="1"/>
  <c r="Q62" i="21"/>
  <c r="U62" i="21" s="1"/>
  <c r="O62" i="21"/>
  <c r="S62" i="21" s="1"/>
  <c r="R68" i="21"/>
  <c r="V68" i="21" s="1"/>
  <c r="P68" i="21"/>
  <c r="T68" i="21" s="1"/>
  <c r="R18" i="21"/>
  <c r="V18" i="21" s="1"/>
  <c r="P18" i="21"/>
  <c r="T18" i="21" s="1"/>
  <c r="Q29" i="21"/>
  <c r="U29" i="21" s="1"/>
  <c r="O29" i="21"/>
  <c r="S29" i="21" s="1"/>
  <c r="K13" i="27" l="1" a="1"/>
  <c r="Q13" i="27"/>
  <c r="Q14" i="31" s="1" a="1"/>
  <c r="M14" i="31" a="1"/>
  <c r="M14" i="31" s="1"/>
  <c r="AU20" i="31" s="1"/>
  <c r="R13" i="21"/>
  <c r="V13" i="21" s="1"/>
  <c r="W54" i="21"/>
  <c r="AB54" i="21" s="1"/>
  <c r="W53" i="21"/>
  <c r="AB53" i="21" s="1"/>
  <c r="W23" i="21"/>
  <c r="AB23" i="21" s="1"/>
  <c r="W15" i="21"/>
  <c r="AB15" i="21" s="1"/>
  <c r="W46" i="21"/>
  <c r="AB46" i="21" s="1"/>
  <c r="W47" i="21"/>
  <c r="AB47" i="21" s="1"/>
  <c r="X26" i="21"/>
  <c r="AC26" i="21" s="1"/>
  <c r="X42" i="21"/>
  <c r="AC42" i="21" s="1"/>
  <c r="W24" i="21"/>
  <c r="AB24" i="21" s="1"/>
  <c r="X34" i="21"/>
  <c r="AC34" i="21" s="1"/>
  <c r="W40" i="21"/>
  <c r="AB40" i="21" s="1"/>
  <c r="W16" i="21"/>
  <c r="AB16" i="21" s="1"/>
  <c r="X21" i="21"/>
  <c r="AC21" i="21" s="1"/>
  <c r="X17" i="21"/>
  <c r="AC17" i="21" s="1"/>
  <c r="W18" i="21"/>
  <c r="AB18" i="21" s="1"/>
  <c r="X54" i="21"/>
  <c r="AC54" i="21" s="1"/>
  <c r="W34" i="21"/>
  <c r="AB34" i="21" s="1"/>
  <c r="X56" i="21"/>
  <c r="AC56" i="21" s="1"/>
  <c r="W19" i="21"/>
  <c r="AB19" i="21" s="1"/>
  <c r="X47" i="21"/>
  <c r="AC47" i="21" s="1"/>
  <c r="X41" i="21"/>
  <c r="AC41" i="21" s="1"/>
  <c r="X71" i="21"/>
  <c r="AC71" i="21" s="1"/>
  <c r="W74" i="21"/>
  <c r="AB74" i="21" s="1"/>
  <c r="W66" i="21"/>
  <c r="AB66" i="21" s="1"/>
  <c r="W31" i="21"/>
  <c r="AB31" i="21" s="1"/>
  <c r="X40" i="21"/>
  <c r="AC40" i="21" s="1"/>
  <c r="W28" i="21"/>
  <c r="AB28" i="21" s="1"/>
  <c r="X52" i="21"/>
  <c r="AC52" i="21" s="1"/>
  <c r="X33" i="21"/>
  <c r="AC33" i="21" s="1"/>
  <c r="W42" i="21"/>
  <c r="AB42" i="21" s="1"/>
  <c r="X16" i="21"/>
  <c r="AC16" i="21" s="1"/>
  <c r="X18" i="21"/>
  <c r="AC18" i="21" s="1"/>
  <c r="X29" i="21"/>
  <c r="AC29" i="21" s="1"/>
  <c r="X74" i="21"/>
  <c r="AC74" i="21" s="1"/>
  <c r="X43" i="21"/>
  <c r="AC43" i="21" s="1"/>
  <c r="W14" i="21"/>
  <c r="AB14" i="21" s="1"/>
  <c r="X61" i="21"/>
  <c r="AC61" i="21" s="1"/>
  <c r="X37" i="21"/>
  <c r="AC37" i="21" s="1"/>
  <c r="W61" i="21"/>
  <c r="AB61" i="21" s="1"/>
  <c r="W62" i="21"/>
  <c r="AB62" i="21" s="1"/>
  <c r="W22" i="21"/>
  <c r="AB22" i="21" s="1"/>
  <c r="W72" i="21"/>
  <c r="AB72" i="21" s="1"/>
  <c r="X53" i="21"/>
  <c r="AC53" i="21" s="1"/>
  <c r="W64" i="21"/>
  <c r="AB64" i="21" s="1"/>
  <c r="W36" i="21"/>
  <c r="AB36" i="21" s="1"/>
  <c r="X49" i="21"/>
  <c r="AC49" i="21" s="1"/>
  <c r="X57" i="21"/>
  <c r="AC57" i="21" s="1"/>
  <c r="X31" i="21"/>
  <c r="AC31" i="21" s="1"/>
  <c r="X24" i="21"/>
  <c r="AC24" i="21" s="1"/>
  <c r="W26" i="21"/>
  <c r="AB26" i="21" s="1"/>
  <c r="W37" i="21"/>
  <c r="AB37" i="21" s="1"/>
  <c r="X69" i="21"/>
  <c r="AC69" i="21" s="1"/>
  <c r="W33" i="21"/>
  <c r="AB33" i="21" s="1"/>
  <c r="W32" i="21"/>
  <c r="AB32" i="21" s="1"/>
  <c r="X44" i="21"/>
  <c r="AC44" i="21" s="1"/>
  <c r="W44" i="21"/>
  <c r="AB44" i="21" s="1"/>
  <c r="X72" i="21"/>
  <c r="AC72" i="21" s="1"/>
  <c r="W41" i="21"/>
  <c r="AB41" i="21" s="1"/>
  <c r="W17" i="21"/>
  <c r="AB17" i="21" s="1"/>
  <c r="X60" i="21"/>
  <c r="AC60" i="21" s="1"/>
  <c r="X62" i="21"/>
  <c r="AC62" i="21" s="1"/>
  <c r="X25" i="21"/>
  <c r="AC25" i="21" s="1"/>
  <c r="W27" i="21"/>
  <c r="AB27" i="21" s="1"/>
  <c r="X68" i="21"/>
  <c r="AC68" i="21" s="1"/>
  <c r="W70" i="21"/>
  <c r="AB70" i="21" s="1"/>
  <c r="W52" i="21"/>
  <c r="AB52" i="21" s="1"/>
  <c r="W60" i="21"/>
  <c r="AB60" i="21" s="1"/>
  <c r="X23" i="21"/>
  <c r="AC23" i="21" s="1"/>
  <c r="W55" i="21"/>
  <c r="AB55" i="21" s="1"/>
  <c r="W45" i="21"/>
  <c r="AB45" i="21" s="1"/>
  <c r="W69" i="21"/>
  <c r="AB69" i="21" s="1"/>
  <c r="W56" i="21"/>
  <c r="AB56" i="21" s="1"/>
  <c r="W35" i="21"/>
  <c r="AB35" i="21" s="1"/>
  <c r="X64" i="21"/>
  <c r="AC64" i="21" s="1"/>
  <c r="W51" i="21"/>
  <c r="AB51" i="21" s="1"/>
  <c r="W73" i="21"/>
  <c r="AB73" i="21" s="1"/>
  <c r="X55" i="21"/>
  <c r="AC55" i="21" s="1"/>
  <c r="W21" i="21"/>
  <c r="AB21" i="21" s="1"/>
  <c r="W48" i="21"/>
  <c r="AB48" i="21" s="1"/>
  <c r="X45" i="21"/>
  <c r="AC45" i="21" s="1"/>
  <c r="X67" i="21"/>
  <c r="AC67" i="21" s="1"/>
  <c r="W58" i="21"/>
  <c r="AB58" i="21" s="1"/>
  <c r="W39" i="21"/>
  <c r="AB39" i="21" s="1"/>
  <c r="X32" i="21"/>
  <c r="AC32" i="21" s="1"/>
  <c r="W50" i="21"/>
  <c r="AB50" i="21" s="1"/>
  <c r="X38" i="21"/>
  <c r="AC38" i="21" s="1"/>
  <c r="W25" i="21"/>
  <c r="AB25" i="21" s="1"/>
  <c r="X46" i="21"/>
  <c r="AC46" i="21" s="1"/>
  <c r="X48" i="21"/>
  <c r="AC48" i="21" s="1"/>
  <c r="W59" i="21"/>
  <c r="AB59" i="21" s="1"/>
  <c r="X63" i="21"/>
  <c r="AC63" i="21" s="1"/>
  <c r="W29" i="21"/>
  <c r="AB29" i="21" s="1"/>
  <c r="X35" i="21"/>
  <c r="AC35" i="21" s="1"/>
  <c r="W63" i="21"/>
  <c r="AB63" i="21" s="1"/>
  <c r="X39" i="21"/>
  <c r="AC39" i="21" s="1"/>
  <c r="W68" i="21"/>
  <c r="AB68" i="21" s="1"/>
  <c r="X30" i="21"/>
  <c r="AC30" i="21" s="1"/>
  <c r="X20" i="21"/>
  <c r="AC20" i="21" s="1"/>
  <c r="X70" i="21"/>
  <c r="AC70" i="21" s="1"/>
  <c r="W65" i="21"/>
  <c r="AB65" i="21" s="1"/>
  <c r="W71" i="21"/>
  <c r="AB71" i="21" s="1"/>
  <c r="Q13" i="21"/>
  <c r="U13" i="21" s="1"/>
  <c r="W13" i="21" s="1"/>
  <c r="AB13" i="21" s="1"/>
  <c r="L52" i="27" l="1"/>
  <c r="L18" i="27"/>
  <c r="L41" i="27"/>
  <c r="L34" i="27"/>
  <c r="L44" i="27"/>
  <c r="L20" i="27"/>
  <c r="K13" i="27"/>
  <c r="M14" i="27"/>
  <c r="M19" i="27"/>
  <c r="M18" i="27"/>
  <c r="M51" i="27"/>
  <c r="M38" i="27"/>
  <c r="L70" i="27"/>
  <c r="L59" i="27"/>
  <c r="L58" i="27"/>
  <c r="L72" i="27"/>
  <c r="L46" i="27"/>
  <c r="L26" i="27"/>
  <c r="M59" i="27"/>
  <c r="M58" i="27"/>
  <c r="M72" i="27"/>
  <c r="M34" i="27"/>
  <c r="M46" i="27"/>
  <c r="L71" i="27"/>
  <c r="L24" i="27"/>
  <c r="L42" i="27"/>
  <c r="L43" i="27"/>
  <c r="L40" i="27"/>
  <c r="L74" i="27"/>
  <c r="M71" i="27"/>
  <c r="M24" i="27"/>
  <c r="M42" i="27"/>
  <c r="M43" i="27"/>
  <c r="M40" i="27"/>
  <c r="L27" i="27"/>
  <c r="M26" i="27"/>
  <c r="M56" i="27"/>
  <c r="M74" i="27"/>
  <c r="M70" i="27"/>
  <c r="M27" i="27"/>
  <c r="L14" i="27"/>
  <c r="L19" i="27"/>
  <c r="L51" i="27"/>
  <c r="L38" i="27"/>
  <c r="L56" i="27"/>
  <c r="L23" i="27"/>
  <c r="L16" i="27"/>
  <c r="L33" i="27"/>
  <c r="L21" i="27"/>
  <c r="L36" i="27"/>
  <c r="L35" i="27"/>
  <c r="L66" i="27"/>
  <c r="L37" i="27"/>
  <c r="L65" i="27"/>
  <c r="M62" i="27"/>
  <c r="L60" i="27"/>
  <c r="M23" i="27"/>
  <c r="M21" i="27"/>
  <c r="M36" i="27"/>
  <c r="M52" i="27"/>
  <c r="M35" i="27"/>
  <c r="M66" i="27"/>
  <c r="M37" i="27"/>
  <c r="M65" i="27"/>
  <c r="L61" i="27"/>
  <c r="M33" i="27"/>
  <c r="M45" i="27"/>
  <c r="L22" i="27"/>
  <c r="L64" i="27"/>
  <c r="L73" i="27"/>
  <c r="L54" i="27"/>
  <c r="L57" i="27"/>
  <c r="L53" i="27"/>
  <c r="M16" i="27"/>
  <c r="M61" i="27"/>
  <c r="L39" i="27"/>
  <c r="M22" i="27"/>
  <c r="M64" i="27"/>
  <c r="M73" i="27"/>
  <c r="M54" i="27"/>
  <c r="M57" i="27"/>
  <c r="M53" i="27"/>
  <c r="L55" i="27"/>
  <c r="L30" i="27"/>
  <c r="L45" i="27"/>
  <c r="M50" i="27"/>
  <c r="M39" i="27"/>
  <c r="L17" i="27"/>
  <c r="L31" i="27"/>
  <c r="L63" i="27"/>
  <c r="M55" i="27"/>
  <c r="M30" i="27"/>
  <c r="L50" i="27"/>
  <c r="M41" i="27"/>
  <c r="M17" i="27"/>
  <c r="M31" i="27"/>
  <c r="M44" i="27"/>
  <c r="M63" i="27"/>
  <c r="M20" i="27"/>
  <c r="L69" i="27"/>
  <c r="L68" i="27"/>
  <c r="M25" i="27"/>
  <c r="M60" i="27"/>
  <c r="L25" i="27"/>
  <c r="L48" i="27"/>
  <c r="L15" i="27"/>
  <c r="L29" i="27"/>
  <c r="L67" i="27"/>
  <c r="L28" i="27"/>
  <c r="L49" i="27"/>
  <c r="L47" i="27"/>
  <c r="M69" i="27"/>
  <c r="M68" i="27"/>
  <c r="L32" i="27"/>
  <c r="M32" i="27"/>
  <c r="M48" i="27"/>
  <c r="M15" i="27"/>
  <c r="M29" i="27"/>
  <c r="M67" i="27"/>
  <c r="M28" i="27"/>
  <c r="M49" i="27"/>
  <c r="M47" i="27"/>
  <c r="L62" i="27"/>
  <c r="X13" i="21"/>
  <c r="AU34" i="31"/>
  <c r="N165" i="7" s="1"/>
  <c r="AU43" i="31"/>
  <c r="N34" i="7" s="1"/>
  <c r="AU15" i="31"/>
  <c r="AU18" i="31"/>
  <c r="AU16" i="31"/>
  <c r="AU36" i="31"/>
  <c r="N213" i="7" s="1"/>
  <c r="AU32" i="31"/>
  <c r="N130" i="7" s="1"/>
  <c r="F14" i="31" a="1"/>
  <c r="AU37" i="31"/>
  <c r="N204" i="7" s="1"/>
  <c r="AU33" i="31"/>
  <c r="N209" i="7" s="1"/>
  <c r="AU35" i="31"/>
  <c r="N107" i="7" s="1"/>
  <c r="AU19" i="31"/>
  <c r="AU39" i="31"/>
  <c r="N155" i="7" s="1"/>
  <c r="AU45" i="31"/>
  <c r="N149" i="7" s="1"/>
  <c r="AU17" i="31"/>
  <c r="AU41" i="31"/>
  <c r="N67" i="7" s="1"/>
  <c r="AU42" i="31"/>
  <c r="N27" i="7" s="1"/>
  <c r="AU40" i="31"/>
  <c r="N185" i="7" s="1"/>
  <c r="AU44" i="31"/>
  <c r="N151" i="7" s="1"/>
  <c r="AU27" i="31"/>
  <c r="AU51" i="31" s="1"/>
  <c r="AU25" i="31"/>
  <c r="AU56" i="31" s="1"/>
  <c r="AU26" i="31"/>
  <c r="N20" i="7"/>
  <c r="AU14" i="31"/>
  <c r="R53" i="7"/>
  <c r="R71" i="7"/>
  <c r="R133" i="7"/>
  <c r="R154" i="7"/>
  <c r="R140" i="7"/>
  <c r="R173" i="7"/>
  <c r="R54" i="7"/>
  <c r="R65" i="7"/>
  <c r="R100" i="7"/>
  <c r="R160" i="7"/>
  <c r="R167" i="7"/>
  <c r="R28" i="7"/>
  <c r="R109" i="7"/>
  <c r="R128" i="7"/>
  <c r="R106" i="7"/>
  <c r="R42" i="7"/>
  <c r="R48" i="7"/>
  <c r="R31" i="7"/>
  <c r="R75" i="7"/>
  <c r="R69" i="7"/>
  <c r="R89" i="7"/>
  <c r="R152" i="7"/>
  <c r="R110" i="7"/>
  <c r="R23" i="7"/>
  <c r="R59" i="7"/>
  <c r="R103" i="7"/>
  <c r="R122" i="7"/>
  <c r="R186" i="7"/>
  <c r="R55" i="7"/>
  <c r="R93" i="7"/>
  <c r="R86" i="7"/>
  <c r="R24" i="7"/>
  <c r="R39" i="7"/>
  <c r="R81" i="7"/>
  <c r="R102" i="7"/>
  <c r="R70" i="7"/>
  <c r="R169" i="7"/>
  <c r="R187" i="7"/>
  <c r="R221" i="7"/>
  <c r="R224" i="7"/>
  <c r="R111" i="7"/>
  <c r="R112" i="7"/>
  <c r="R225" i="7"/>
  <c r="R193" i="7"/>
  <c r="R80" i="7"/>
  <c r="R108" i="7"/>
  <c r="R170" i="7"/>
  <c r="R219" i="7"/>
  <c r="R164" i="7"/>
  <c r="R117" i="7"/>
  <c r="R139" i="7"/>
  <c r="R174" i="7"/>
  <c r="R200" i="7"/>
  <c r="R190" i="7"/>
  <c r="R36" i="7"/>
  <c r="R206" i="7"/>
  <c r="R66" i="7"/>
  <c r="R168" i="7"/>
  <c r="R192" i="7"/>
  <c r="R217" i="7"/>
  <c r="R220" i="7"/>
  <c r="N65" i="7"/>
  <c r="N103" i="7"/>
  <c r="N160" i="7"/>
  <c r="N170" i="7"/>
  <c r="N23" i="7"/>
  <c r="N81" i="7"/>
  <c r="N102" i="7"/>
  <c r="N112" i="7"/>
  <c r="N128" i="7"/>
  <c r="N154" i="7"/>
  <c r="N164" i="7"/>
  <c r="N54" i="7"/>
  <c r="N24" i="7"/>
  <c r="N42" i="7"/>
  <c r="N106" i="7"/>
  <c r="N93" i="7"/>
  <c r="N75" i="7"/>
  <c r="N174" i="7"/>
  <c r="N36" i="7"/>
  <c r="N66" i="7"/>
  <c r="N48" i="7"/>
  <c r="N80" i="7"/>
  <c r="N168" i="7"/>
  <c r="N110" i="7"/>
  <c r="N69" i="7"/>
  <c r="N100" i="7"/>
  <c r="N39" i="7"/>
  <c r="N28" i="7"/>
  <c r="N53" i="7"/>
  <c r="N70" i="7"/>
  <c r="N89" i="7"/>
  <c r="N139" i="7"/>
  <c r="N55" i="7"/>
  <c r="N71" i="7"/>
  <c r="N86" i="7"/>
  <c r="N187" i="7"/>
  <c r="N152" i="7"/>
  <c r="N169" i="7"/>
  <c r="N206" i="7"/>
  <c r="N111" i="7"/>
  <c r="N133" i="7"/>
  <c r="N200" i="7"/>
  <c r="N221" i="7"/>
  <c r="N31" i="7"/>
  <c r="N192" i="7"/>
  <c r="N173" i="7"/>
  <c r="N109" i="7"/>
  <c r="N59" i="7"/>
  <c r="N167" i="7"/>
  <c r="N225" i="7"/>
  <c r="N193" i="7"/>
  <c r="N224" i="7"/>
  <c r="N117" i="7"/>
  <c r="N219" i="7"/>
  <c r="N217" i="7"/>
  <c r="N140" i="7"/>
  <c r="N190" i="7"/>
  <c r="N220" i="7"/>
  <c r="N108" i="7"/>
  <c r="N186" i="7"/>
  <c r="N122" i="7"/>
  <c r="AY27" i="31"/>
  <c r="AY25" i="31"/>
  <c r="AU38" i="31"/>
  <c r="Q14" i="31"/>
  <c r="AY40" i="31"/>
  <c r="AY36" i="31"/>
  <c r="AY35" i="31"/>
  <c r="AY39" i="31"/>
  <c r="AY41" i="31"/>
  <c r="AY34" i="31"/>
  <c r="AY33" i="31"/>
  <c r="AY45" i="31"/>
  <c r="AY42" i="31"/>
  <c r="AY32" i="31"/>
  <c r="AY44" i="31"/>
  <c r="AY43" i="31"/>
  <c r="R34" i="7" s="1"/>
  <c r="AY37" i="31"/>
  <c r="AY20" i="31"/>
  <c r="AY18" i="31"/>
  <c r="AY15" i="31"/>
  <c r="AY16" i="31"/>
  <c r="AY19" i="31"/>
  <c r="J6" i="19"/>
  <c r="J5" i="19"/>
  <c r="F6" i="19"/>
  <c r="F5" i="19"/>
  <c r="F4" i="19"/>
  <c r="C14" i="19" a="1"/>
  <c r="N207" i="7" l="1"/>
  <c r="L13" i="27"/>
  <c r="H14" i="31" s="1" a="1"/>
  <c r="T16" i="31" s="1"/>
  <c r="I7" i="27"/>
  <c r="AU54" i="31"/>
  <c r="N116" i="7" s="1"/>
  <c r="AY54" i="31"/>
  <c r="R116" i="7" s="1"/>
  <c r="AY57" i="31"/>
  <c r="AY52" i="31"/>
  <c r="AY56" i="31"/>
  <c r="AY51" i="31"/>
  <c r="AU55" i="31"/>
  <c r="AU50" i="31"/>
  <c r="N13" i="7" s="1"/>
  <c r="AU57" i="31"/>
  <c r="N228" i="7" s="1"/>
  <c r="AU53" i="31"/>
  <c r="AU52" i="31"/>
  <c r="N125" i="7" s="1"/>
  <c r="N215" i="7"/>
  <c r="N163" i="7"/>
  <c r="N177" i="7"/>
  <c r="N79" i="7"/>
  <c r="N137" i="7"/>
  <c r="N17" i="7"/>
  <c r="N201" i="7"/>
  <c r="N64" i="7"/>
  <c r="N61" i="7"/>
  <c r="N88" i="7"/>
  <c r="N129" i="7"/>
  <c r="N78" i="7"/>
  <c r="N143" i="7"/>
  <c r="N52" i="7"/>
  <c r="N127" i="7"/>
  <c r="N101" i="7"/>
  <c r="N90" i="7"/>
  <c r="AC13" i="21"/>
  <c r="I14" i="31" s="1" a="1"/>
  <c r="M13" i="27"/>
  <c r="K14" i="31" s="1" a="1"/>
  <c r="N46" i="7"/>
  <c r="N121" i="7"/>
  <c r="N144" i="7"/>
  <c r="N196" i="7"/>
  <c r="N40" i="7"/>
  <c r="N188" i="7"/>
  <c r="N176" i="7"/>
  <c r="N223" i="7"/>
  <c r="N148" i="7"/>
  <c r="N115" i="7"/>
  <c r="N35" i="7"/>
  <c r="N63" i="7"/>
  <c r="N222" i="7"/>
  <c r="O16" i="19"/>
  <c r="O24" i="19"/>
  <c r="O32" i="19"/>
  <c r="O40" i="19"/>
  <c r="O48" i="19"/>
  <c r="O56" i="19"/>
  <c r="O64" i="19"/>
  <c r="O72" i="19"/>
  <c r="F18" i="19"/>
  <c r="F26" i="19"/>
  <c r="F34" i="19"/>
  <c r="F42" i="19"/>
  <c r="F50" i="19"/>
  <c r="F58" i="19"/>
  <c r="F66" i="19"/>
  <c r="F74" i="19"/>
  <c r="O21" i="19"/>
  <c r="O69" i="19"/>
  <c r="F15" i="19"/>
  <c r="F23" i="19"/>
  <c r="F47" i="19"/>
  <c r="O38" i="19"/>
  <c r="F56" i="19"/>
  <c r="O17" i="19"/>
  <c r="O25" i="19"/>
  <c r="O33" i="19"/>
  <c r="O41" i="19"/>
  <c r="O49" i="19"/>
  <c r="O57" i="19"/>
  <c r="O65" i="19"/>
  <c r="O73" i="19"/>
  <c r="F19" i="19"/>
  <c r="F27" i="19"/>
  <c r="F35" i="19"/>
  <c r="F43" i="19"/>
  <c r="F51" i="19"/>
  <c r="F59" i="19"/>
  <c r="F67" i="19"/>
  <c r="F75" i="19"/>
  <c r="O37" i="19"/>
  <c r="F72" i="19"/>
  <c r="O18" i="19"/>
  <c r="O26" i="19"/>
  <c r="O34" i="19"/>
  <c r="O42" i="19"/>
  <c r="O50" i="19"/>
  <c r="O58" i="19"/>
  <c r="O66" i="19"/>
  <c r="O74" i="19"/>
  <c r="F20" i="19"/>
  <c r="F28" i="19"/>
  <c r="F36" i="19"/>
  <c r="F44" i="19"/>
  <c r="F52" i="19"/>
  <c r="F60" i="19"/>
  <c r="F68" i="19"/>
  <c r="O61" i="19"/>
  <c r="O54" i="19"/>
  <c r="F24" i="19"/>
  <c r="F48" i="19"/>
  <c r="O19" i="19"/>
  <c r="O27" i="19"/>
  <c r="O35" i="19"/>
  <c r="O43" i="19"/>
  <c r="O51" i="19"/>
  <c r="O59" i="19"/>
  <c r="O67" i="19"/>
  <c r="O75" i="19"/>
  <c r="F21" i="19"/>
  <c r="F29" i="19"/>
  <c r="F37" i="19"/>
  <c r="F45" i="19"/>
  <c r="F53" i="19"/>
  <c r="F61" i="19"/>
  <c r="F69" i="19"/>
  <c r="O29" i="19"/>
  <c r="F39" i="19"/>
  <c r="F63" i="19"/>
  <c r="O46" i="19"/>
  <c r="O20" i="19"/>
  <c r="O28" i="19"/>
  <c r="O36" i="19"/>
  <c r="O44" i="19"/>
  <c r="O52" i="19"/>
  <c r="O60" i="19"/>
  <c r="O68" i="19"/>
  <c r="F22" i="19"/>
  <c r="F30" i="19"/>
  <c r="F38" i="19"/>
  <c r="F46" i="19"/>
  <c r="F54" i="19"/>
  <c r="F62" i="19"/>
  <c r="F70" i="19"/>
  <c r="O45" i="19"/>
  <c r="F71" i="19"/>
  <c r="O22" i="19"/>
  <c r="F40" i="19"/>
  <c r="O15" i="19"/>
  <c r="O23" i="19"/>
  <c r="O31" i="19"/>
  <c r="O39" i="19"/>
  <c r="O47" i="19"/>
  <c r="O55" i="19"/>
  <c r="O63" i="19"/>
  <c r="O71" i="19"/>
  <c r="F17" i="19"/>
  <c r="F25" i="19"/>
  <c r="F33" i="19"/>
  <c r="F41" i="19"/>
  <c r="F49" i="19"/>
  <c r="F57" i="19"/>
  <c r="F65" i="19"/>
  <c r="F73" i="19"/>
  <c r="O53" i="19"/>
  <c r="F31" i="19"/>
  <c r="F55" i="19"/>
  <c r="O30" i="19"/>
  <c r="O62" i="19"/>
  <c r="O70" i="19"/>
  <c r="F16" i="19"/>
  <c r="F32" i="19"/>
  <c r="F64" i="19"/>
  <c r="G17" i="19"/>
  <c r="G25" i="19"/>
  <c r="G33" i="19"/>
  <c r="G41" i="19"/>
  <c r="G49" i="19"/>
  <c r="G57" i="19"/>
  <c r="G65" i="19"/>
  <c r="G73" i="19"/>
  <c r="I19" i="19"/>
  <c r="I27" i="19"/>
  <c r="I35" i="19"/>
  <c r="I43" i="19"/>
  <c r="I51" i="19"/>
  <c r="I59" i="19"/>
  <c r="I67" i="19"/>
  <c r="I75" i="19"/>
  <c r="G51" i="19"/>
  <c r="G67" i="19"/>
  <c r="I29" i="19"/>
  <c r="I53" i="19"/>
  <c r="I69" i="19"/>
  <c r="I24" i="19"/>
  <c r="I56" i="19"/>
  <c r="G23" i="19"/>
  <c r="G55" i="19"/>
  <c r="I33" i="19"/>
  <c r="G18" i="19"/>
  <c r="G26" i="19"/>
  <c r="G34" i="19"/>
  <c r="G42" i="19"/>
  <c r="G50" i="19"/>
  <c r="G58" i="19"/>
  <c r="G66" i="19"/>
  <c r="G74" i="19"/>
  <c r="I20" i="19"/>
  <c r="I28" i="19"/>
  <c r="I36" i="19"/>
  <c r="I44" i="19"/>
  <c r="I52" i="19"/>
  <c r="I60" i="19"/>
  <c r="I68" i="19"/>
  <c r="G43" i="19"/>
  <c r="I21" i="19"/>
  <c r="I45" i="19"/>
  <c r="I61" i="19"/>
  <c r="G62" i="19"/>
  <c r="I40" i="19"/>
  <c r="G39" i="19"/>
  <c r="I17" i="19"/>
  <c r="I57" i="19"/>
  <c r="G19" i="19"/>
  <c r="G27" i="19"/>
  <c r="G35" i="19"/>
  <c r="G59" i="19"/>
  <c r="G75" i="19"/>
  <c r="I37" i="19"/>
  <c r="G54" i="19"/>
  <c r="I64" i="19"/>
  <c r="G47" i="19"/>
  <c r="I25" i="19"/>
  <c r="I73" i="19"/>
  <c r="G20" i="19"/>
  <c r="G28" i="19"/>
  <c r="G36" i="19"/>
  <c r="G44" i="19"/>
  <c r="G52" i="19"/>
  <c r="G60" i="19"/>
  <c r="G68" i="19"/>
  <c r="I22" i="19"/>
  <c r="I30" i="19"/>
  <c r="I38" i="19"/>
  <c r="I46" i="19"/>
  <c r="I54" i="19"/>
  <c r="I62" i="19"/>
  <c r="I70" i="19"/>
  <c r="I39" i="19"/>
  <c r="I55" i="19"/>
  <c r="I71" i="19"/>
  <c r="G22" i="19"/>
  <c r="G38" i="19"/>
  <c r="G70" i="19"/>
  <c r="I48" i="19"/>
  <c r="G31" i="19"/>
  <c r="G63" i="19"/>
  <c r="I41" i="19"/>
  <c r="G21" i="19"/>
  <c r="G29" i="19"/>
  <c r="G37" i="19"/>
  <c r="G45" i="19"/>
  <c r="G53" i="19"/>
  <c r="G61" i="19"/>
  <c r="G69" i="19"/>
  <c r="I15" i="19"/>
  <c r="I23" i="19"/>
  <c r="I31" i="19"/>
  <c r="I47" i="19"/>
  <c r="I63" i="19"/>
  <c r="G30" i="19"/>
  <c r="G46" i="19"/>
  <c r="I16" i="19"/>
  <c r="I32" i="19"/>
  <c r="I72" i="19"/>
  <c r="G15" i="19"/>
  <c r="G71" i="19"/>
  <c r="I49" i="19"/>
  <c r="G16" i="19"/>
  <c r="G24" i="19"/>
  <c r="G32" i="19"/>
  <c r="G40" i="19"/>
  <c r="G48" i="19"/>
  <c r="G56" i="19"/>
  <c r="G64" i="19"/>
  <c r="G72" i="19"/>
  <c r="I18" i="19"/>
  <c r="I26" i="19"/>
  <c r="I34" i="19"/>
  <c r="I42" i="19"/>
  <c r="I50" i="19"/>
  <c r="I58" i="19"/>
  <c r="I66" i="19"/>
  <c r="I74" i="19"/>
  <c r="I65" i="19"/>
  <c r="N21" i="7"/>
  <c r="N98" i="7"/>
  <c r="N73" i="7"/>
  <c r="N120" i="7"/>
  <c r="E14" i="19"/>
  <c r="E17" i="19"/>
  <c r="N25" i="7"/>
  <c r="N153" i="7"/>
  <c r="N158" i="7"/>
  <c r="N162" i="7"/>
  <c r="N99" i="7"/>
  <c r="N212" i="7"/>
  <c r="N83" i="7"/>
  <c r="N38" i="7"/>
  <c r="N29" i="7"/>
  <c r="N150" i="7"/>
  <c r="N184" i="7"/>
  <c r="N82" i="7"/>
  <c r="N181" i="7"/>
  <c r="N85" i="7"/>
  <c r="N141" i="7"/>
  <c r="N92" i="7"/>
  <c r="N203" i="7"/>
  <c r="N113" i="7"/>
  <c r="N142" i="7"/>
  <c r="N16" i="7"/>
  <c r="N14" i="7"/>
  <c r="N159" i="7"/>
  <c r="N118" i="7"/>
  <c r="N145" i="7"/>
  <c r="N97" i="7"/>
  <c r="N41" i="7"/>
  <c r="N30" i="7"/>
  <c r="N37" i="7"/>
  <c r="N214" i="7"/>
  <c r="N49" i="7"/>
  <c r="N96" i="7"/>
  <c r="N226" i="7"/>
  <c r="N19" i="7"/>
  <c r="N171" i="7"/>
  <c r="N210" i="7"/>
  <c r="N22" i="7"/>
  <c r="N194" i="7"/>
  <c r="N26" i="7"/>
  <c r="N218" i="7"/>
  <c r="N179" i="7"/>
  <c r="N136" i="7"/>
  <c r="N161" i="7"/>
  <c r="N119" i="7"/>
  <c r="N172" i="7"/>
  <c r="N146" i="7"/>
  <c r="N123" i="7"/>
  <c r="N15" i="7"/>
  <c r="N211" i="7"/>
  <c r="N104" i="7"/>
  <c r="R149" i="7"/>
  <c r="R73" i="7"/>
  <c r="R38" i="7"/>
  <c r="R83" i="7"/>
  <c r="AY26" i="31"/>
  <c r="AY53" i="31" s="1"/>
  <c r="R20" i="7"/>
  <c r="R215" i="7"/>
  <c r="R137" i="7"/>
  <c r="R163" i="7"/>
  <c r="R209" i="7"/>
  <c r="R79" i="7"/>
  <c r="R207" i="7"/>
  <c r="R176" i="7"/>
  <c r="R144" i="7"/>
  <c r="R115" i="7"/>
  <c r="R148" i="7"/>
  <c r="R46" i="7"/>
  <c r="R188" i="7"/>
  <c r="R121" i="7"/>
  <c r="R223" i="7"/>
  <c r="R141" i="7"/>
  <c r="R165" i="7"/>
  <c r="R204" i="7"/>
  <c r="R222" i="7"/>
  <c r="R120" i="7"/>
  <c r="R211" i="7"/>
  <c r="R67" i="7"/>
  <c r="R15" i="7"/>
  <c r="R123" i="7"/>
  <c r="R146" i="7"/>
  <c r="R104" i="7"/>
  <c r="R97" i="7"/>
  <c r="R155" i="7"/>
  <c r="R98" i="7"/>
  <c r="R35" i="7"/>
  <c r="R151" i="7"/>
  <c r="R162" i="7"/>
  <c r="R143" i="7"/>
  <c r="R90" i="7"/>
  <c r="R201" i="7"/>
  <c r="R127" i="7"/>
  <c r="R78" i="7"/>
  <c r="R177" i="7"/>
  <c r="R61" i="7"/>
  <c r="R17" i="7"/>
  <c r="R88" i="7"/>
  <c r="R64" i="7"/>
  <c r="R101" i="7"/>
  <c r="R129" i="7"/>
  <c r="R52" i="7"/>
  <c r="R107" i="7"/>
  <c r="AY14" i="31"/>
  <c r="R150" i="7"/>
  <c r="R99" i="7"/>
  <c r="R16" i="7"/>
  <c r="R82" i="7"/>
  <c r="R41" i="7"/>
  <c r="R153" i="7"/>
  <c r="R92" i="7"/>
  <c r="R184" i="7"/>
  <c r="R203" i="7"/>
  <c r="R159" i="7"/>
  <c r="R130" i="7"/>
  <c r="R213" i="7"/>
  <c r="R145" i="7"/>
  <c r="R37" i="7"/>
  <c r="R85" i="7"/>
  <c r="R113" i="7"/>
  <c r="R14" i="7"/>
  <c r="R21" i="7"/>
  <c r="R30" i="7"/>
  <c r="R118" i="7"/>
  <c r="R142" i="7"/>
  <c r="R25" i="7"/>
  <c r="R212" i="7"/>
  <c r="R181" i="7"/>
  <c r="R158" i="7"/>
  <c r="N32" i="7"/>
  <c r="N166" i="7"/>
  <c r="N195" i="7"/>
  <c r="N72" i="7"/>
  <c r="N199" i="7"/>
  <c r="N68" i="7"/>
  <c r="N197" i="7"/>
  <c r="N62" i="7"/>
  <c r="N91" i="7"/>
  <c r="R161" i="7"/>
  <c r="R136" i="7"/>
  <c r="R27" i="7"/>
  <c r="R119" i="7"/>
  <c r="R179" i="7"/>
  <c r="R218" i="7"/>
  <c r="R172" i="7"/>
  <c r="R29" i="7"/>
  <c r="R214" i="7"/>
  <c r="R40" i="7"/>
  <c r="R226" i="7"/>
  <c r="R22" i="7"/>
  <c r="R171" i="7"/>
  <c r="R49" i="7"/>
  <c r="R26" i="7"/>
  <c r="R63" i="7"/>
  <c r="R194" i="7"/>
  <c r="R19" i="7"/>
  <c r="R196" i="7"/>
  <c r="R210" i="7"/>
  <c r="R96" i="7"/>
  <c r="R185" i="7"/>
  <c r="AN25" i="31"/>
  <c r="AN27" i="31"/>
  <c r="AN33" i="31"/>
  <c r="AN39" i="31"/>
  <c r="AN40" i="31"/>
  <c r="AN43" i="31"/>
  <c r="AN37" i="31"/>
  <c r="AN36" i="31"/>
  <c r="AN34" i="31"/>
  <c r="AN41" i="31"/>
  <c r="AN45" i="31"/>
  <c r="AN44" i="31"/>
  <c r="AN32" i="31"/>
  <c r="AN35" i="31"/>
  <c r="AN42" i="31"/>
  <c r="AY17" i="31"/>
  <c r="AY38" i="31"/>
  <c r="F14" i="31"/>
  <c r="N47" i="19"/>
  <c r="N46" i="19"/>
  <c r="N45" i="19"/>
  <c r="N44" i="19"/>
  <c r="N30" i="19"/>
  <c r="N65" i="19"/>
  <c r="N19" i="19"/>
  <c r="N34" i="19"/>
  <c r="N60" i="19"/>
  <c r="N67" i="19"/>
  <c r="N73" i="19"/>
  <c r="N27" i="19"/>
  <c r="N41" i="19"/>
  <c r="N40" i="19"/>
  <c r="N39" i="19"/>
  <c r="N37" i="19"/>
  <c r="N75" i="19"/>
  <c r="N57" i="19"/>
  <c r="N72" i="19"/>
  <c r="N26" i="19"/>
  <c r="N62" i="19"/>
  <c r="N50" i="19"/>
  <c r="N33" i="19"/>
  <c r="N32" i="19"/>
  <c r="N31" i="19"/>
  <c r="N29" i="19"/>
  <c r="N51" i="19"/>
  <c r="N49" i="19"/>
  <c r="N64" i="19"/>
  <c r="N18" i="19"/>
  <c r="N58" i="19"/>
  <c r="N52" i="19"/>
  <c r="N25" i="19"/>
  <c r="N24" i="19"/>
  <c r="N23" i="19"/>
  <c r="N21" i="19"/>
  <c r="N14" i="19"/>
  <c r="N22" i="19"/>
  <c r="N56" i="19"/>
  <c r="N71" i="19"/>
  <c r="N61" i="19"/>
  <c r="N54" i="19"/>
  <c r="N17" i="19"/>
  <c r="N16" i="19"/>
  <c r="N15" i="19"/>
  <c r="N74" i="19"/>
  <c r="N36" i="19"/>
  <c r="N59" i="19"/>
  <c r="N48" i="19"/>
  <c r="N63" i="19"/>
  <c r="N70" i="19"/>
  <c r="N69" i="19"/>
  <c r="N68" i="19"/>
  <c r="N66" i="19"/>
  <c r="N28" i="19"/>
  <c r="N43" i="19"/>
  <c r="N38" i="19"/>
  <c r="N55" i="19"/>
  <c r="N20" i="19"/>
  <c r="N35" i="19"/>
  <c r="N53" i="19"/>
  <c r="N42" i="19"/>
  <c r="J64" i="19"/>
  <c r="J72" i="19"/>
  <c r="J38" i="19"/>
  <c r="J46" i="19"/>
  <c r="J54" i="19"/>
  <c r="J16" i="19"/>
  <c r="J24" i="19"/>
  <c r="J32" i="19"/>
  <c r="J63" i="19"/>
  <c r="J15" i="19"/>
  <c r="J65" i="19"/>
  <c r="J73" i="19"/>
  <c r="J39" i="19"/>
  <c r="J47" i="19"/>
  <c r="J55" i="19"/>
  <c r="J17" i="19"/>
  <c r="J25" i="19"/>
  <c r="J33" i="19"/>
  <c r="J53" i="19"/>
  <c r="J66" i="19"/>
  <c r="J74" i="19"/>
  <c r="J40" i="19"/>
  <c r="J48" i="19"/>
  <c r="J56" i="19"/>
  <c r="J18" i="19"/>
  <c r="J26" i="19"/>
  <c r="J23" i="19"/>
  <c r="J67" i="19"/>
  <c r="J75" i="19"/>
  <c r="J41" i="19"/>
  <c r="J49" i="19"/>
  <c r="J57" i="19"/>
  <c r="J19" i="19"/>
  <c r="J27" i="19"/>
  <c r="J45" i="19"/>
  <c r="J68" i="19"/>
  <c r="J34" i="19"/>
  <c r="J42" i="19"/>
  <c r="J50" i="19"/>
  <c r="J58" i="19"/>
  <c r="J20" i="19"/>
  <c r="J28" i="19"/>
  <c r="J37" i="19"/>
  <c r="J61" i="19"/>
  <c r="J69" i="19"/>
  <c r="J35" i="19"/>
  <c r="J43" i="19"/>
  <c r="J51" i="19"/>
  <c r="J59" i="19"/>
  <c r="J21" i="19"/>
  <c r="J29" i="19"/>
  <c r="J62" i="19"/>
  <c r="J70" i="19"/>
  <c r="J36" i="19"/>
  <c r="J44" i="19"/>
  <c r="J52" i="19"/>
  <c r="J60" i="19"/>
  <c r="J22" i="19"/>
  <c r="J30" i="19"/>
  <c r="J71" i="19"/>
  <c r="J31" i="19"/>
  <c r="E34" i="19"/>
  <c r="E58" i="19"/>
  <c r="C14" i="19"/>
  <c r="E66" i="19"/>
  <c r="E26" i="19"/>
  <c r="E74" i="19"/>
  <c r="E19" i="19"/>
  <c r="E50" i="19"/>
  <c r="E42" i="19"/>
  <c r="E18" i="19"/>
  <c r="E65" i="19"/>
  <c r="E49" i="19"/>
  <c r="E41" i="19"/>
  <c r="E33" i="19"/>
  <c r="E72" i="19"/>
  <c r="E64" i="19"/>
  <c r="E56" i="19"/>
  <c r="E48" i="19"/>
  <c r="E40" i="19"/>
  <c r="E32" i="19"/>
  <c r="E24" i="19"/>
  <c r="E16" i="19"/>
  <c r="E73" i="19"/>
  <c r="E57" i="19"/>
  <c r="E25" i="19"/>
  <c r="E71" i="19"/>
  <c r="E63" i="19"/>
  <c r="E55" i="19"/>
  <c r="E47" i="19"/>
  <c r="E39" i="19"/>
  <c r="E31" i="19"/>
  <c r="E23" i="19"/>
  <c r="E15" i="19"/>
  <c r="E70" i="19"/>
  <c r="E62" i="19"/>
  <c r="E54" i="19"/>
  <c r="E46" i="19"/>
  <c r="E38" i="19"/>
  <c r="E30" i="19"/>
  <c r="E22" i="19"/>
  <c r="E69" i="19"/>
  <c r="E61" i="19"/>
  <c r="E53" i="19"/>
  <c r="E45" i="19"/>
  <c r="E37" i="19"/>
  <c r="E29" i="19"/>
  <c r="E21" i="19"/>
  <c r="E68" i="19"/>
  <c r="E60" i="19"/>
  <c r="E52" i="19"/>
  <c r="E44" i="19"/>
  <c r="E36" i="19"/>
  <c r="E28" i="19"/>
  <c r="E20" i="19"/>
  <c r="E75" i="19"/>
  <c r="E67" i="19"/>
  <c r="E59" i="19"/>
  <c r="E51" i="19"/>
  <c r="E43" i="19"/>
  <c r="E35" i="19"/>
  <c r="E27" i="19"/>
  <c r="H48" i="19" l="1"/>
  <c r="H42" i="19"/>
  <c r="T49" i="31"/>
  <c r="T55" i="31"/>
  <c r="T75" i="31"/>
  <c r="T48" i="31"/>
  <c r="T29" i="31"/>
  <c r="T27" i="31"/>
  <c r="T39" i="31"/>
  <c r="T44" i="31"/>
  <c r="T58" i="31"/>
  <c r="T38" i="31"/>
  <c r="T31" i="31"/>
  <c r="T34" i="31"/>
  <c r="T46" i="31"/>
  <c r="T15" i="31"/>
  <c r="T41" i="31"/>
  <c r="T20" i="31"/>
  <c r="T61" i="31"/>
  <c r="T72" i="31"/>
  <c r="T51" i="31"/>
  <c r="T65" i="31"/>
  <c r="T57" i="31"/>
  <c r="T32" i="31"/>
  <c r="T22" i="31"/>
  <c r="T54" i="31"/>
  <c r="T63" i="31"/>
  <c r="T69" i="31"/>
  <c r="T23" i="31"/>
  <c r="T50" i="31"/>
  <c r="T28" i="31"/>
  <c r="T21" i="31"/>
  <c r="T45" i="31"/>
  <c r="T56" i="31"/>
  <c r="T62" i="31"/>
  <c r="T71" i="31"/>
  <c r="T43" i="31"/>
  <c r="T24" i="31"/>
  <c r="T19" i="31"/>
  <c r="T74" i="31"/>
  <c r="T37" i="31"/>
  <c r="T47" i="31"/>
  <c r="T53" i="31"/>
  <c r="T64" i="31"/>
  <c r="T35" i="31"/>
  <c r="T42" i="31"/>
  <c r="T17" i="31"/>
  <c r="T59" i="31"/>
  <c r="T68" i="31"/>
  <c r="T67" i="31"/>
  <c r="T33" i="31"/>
  <c r="T73" i="31"/>
  <c r="T40" i="31"/>
  <c r="T30" i="31"/>
  <c r="T18" i="31"/>
  <c r="T70" i="31"/>
  <c r="T52" i="31"/>
  <c r="T60" i="31"/>
  <c r="T25" i="31"/>
  <c r="T66" i="31"/>
  <c r="T36" i="31"/>
  <c r="T26" i="31"/>
  <c r="G34" i="7"/>
  <c r="G193" i="7"/>
  <c r="G36" i="7"/>
  <c r="G173" i="7"/>
  <c r="G190" i="7"/>
  <c r="G133" i="7"/>
  <c r="G117" i="7"/>
  <c r="U17" i="31"/>
  <c r="U22" i="31"/>
  <c r="U24" i="31"/>
  <c r="U26" i="31"/>
  <c r="U28" i="31"/>
  <c r="U30" i="31"/>
  <c r="U32" i="31"/>
  <c r="U34" i="31"/>
  <c r="U36" i="31"/>
  <c r="U38" i="31"/>
  <c r="U40" i="31"/>
  <c r="U42" i="31"/>
  <c r="U44" i="31"/>
  <c r="U46" i="31"/>
  <c r="U48" i="31"/>
  <c r="U50" i="31"/>
  <c r="U52" i="31"/>
  <c r="U54" i="31"/>
  <c r="U56" i="31"/>
  <c r="U58" i="31"/>
  <c r="U60" i="31"/>
  <c r="U62" i="31"/>
  <c r="U64" i="31"/>
  <c r="U66" i="31"/>
  <c r="U68" i="31"/>
  <c r="U70" i="31"/>
  <c r="U72" i="31"/>
  <c r="U74" i="31"/>
  <c r="U15" i="31"/>
  <c r="U16" i="31"/>
  <c r="U19" i="31"/>
  <c r="U59" i="31"/>
  <c r="U75" i="31"/>
  <c r="U27" i="31"/>
  <c r="U35" i="31"/>
  <c r="U43" i="31"/>
  <c r="U57" i="31"/>
  <c r="U73" i="31"/>
  <c r="U55" i="31"/>
  <c r="U71" i="31"/>
  <c r="U25" i="31"/>
  <c r="U33" i="31"/>
  <c r="U41" i="31"/>
  <c r="U53" i="31"/>
  <c r="U69" i="31"/>
  <c r="U20" i="31"/>
  <c r="U51" i="31"/>
  <c r="U23" i="31"/>
  <c r="U31" i="31"/>
  <c r="U39" i="31"/>
  <c r="U49" i="31"/>
  <c r="U65" i="31"/>
  <c r="U21" i="31"/>
  <c r="U37" i="31"/>
  <c r="U61" i="31"/>
  <c r="U67" i="31"/>
  <c r="U47" i="31"/>
  <c r="U63" i="31"/>
  <c r="U18" i="31"/>
  <c r="U29" i="31"/>
  <c r="U45" i="31"/>
  <c r="G168" i="7"/>
  <c r="G221" i="7"/>
  <c r="G71" i="7"/>
  <c r="G42" i="7"/>
  <c r="G108" i="7"/>
  <c r="G217" i="7"/>
  <c r="N84" i="7"/>
  <c r="N57" i="7"/>
  <c r="N175" i="7"/>
  <c r="N216" i="7"/>
  <c r="N95" i="7"/>
  <c r="N50" i="7"/>
  <c r="N156" i="7"/>
  <c r="N77" i="7"/>
  <c r="N43" i="7"/>
  <c r="N51" i="7"/>
  <c r="N191" i="7"/>
  <c r="N198" i="7"/>
  <c r="N183" i="7"/>
  <c r="N147" i="7"/>
  <c r="N44" i="7"/>
  <c r="N74" i="7"/>
  <c r="N131" i="7"/>
  <c r="N189" i="7"/>
  <c r="N208" i="7"/>
  <c r="N132" i="7"/>
  <c r="N135" i="7"/>
  <c r="G31" i="7"/>
  <c r="G174" i="7"/>
  <c r="G86" i="7"/>
  <c r="G152" i="7"/>
  <c r="G81" i="7"/>
  <c r="G53" i="7"/>
  <c r="G24" i="7"/>
  <c r="G225" i="7"/>
  <c r="G206" i="7"/>
  <c r="G23" i="7"/>
  <c r="G66" i="7"/>
  <c r="G80" i="7"/>
  <c r="G219" i="7"/>
  <c r="G200" i="7"/>
  <c r="H62" i="19"/>
  <c r="K62" i="19" s="1"/>
  <c r="L62" i="19" s="1"/>
  <c r="M62" i="19" s="1"/>
  <c r="H51" i="19"/>
  <c r="K51" i="19" s="1"/>
  <c r="L51" i="19" s="1"/>
  <c r="M51" i="19" s="1"/>
  <c r="H36" i="19"/>
  <c r="K36" i="19" s="1"/>
  <c r="L36" i="19" s="1"/>
  <c r="M36" i="19" s="1"/>
  <c r="H23" i="19"/>
  <c r="K23" i="19" s="1"/>
  <c r="L23" i="19" s="1"/>
  <c r="M23" i="19" s="1"/>
  <c r="H32" i="19"/>
  <c r="P32" i="19" s="1"/>
  <c r="Q32" i="19" s="1"/>
  <c r="R32" i="19" s="1"/>
  <c r="S32" i="19" s="1"/>
  <c r="H53" i="19"/>
  <c r="K53" i="19" s="1"/>
  <c r="L53" i="19" s="1"/>
  <c r="M53" i="19" s="1"/>
  <c r="AY50" i="31"/>
  <c r="R13" i="7" s="1"/>
  <c r="AY55" i="31"/>
  <c r="G102" i="7"/>
  <c r="G89" i="7"/>
  <c r="G139" i="7"/>
  <c r="G75" i="7"/>
  <c r="G28" i="7"/>
  <c r="G170" i="7"/>
  <c r="G109" i="7"/>
  <c r="G48" i="7"/>
  <c r="G186" i="7"/>
  <c r="G54" i="7"/>
  <c r="G112" i="7"/>
  <c r="G187" i="7"/>
  <c r="G164" i="7"/>
  <c r="G154" i="7"/>
  <c r="G111" i="7"/>
  <c r="G220" i="7"/>
  <c r="G122" i="7"/>
  <c r="G100" i="7"/>
  <c r="G106" i="7"/>
  <c r="G103" i="7"/>
  <c r="G192" i="7"/>
  <c r="G128" i="7"/>
  <c r="G160" i="7"/>
  <c r="G65" i="7"/>
  <c r="G169" i="7"/>
  <c r="H40" i="19"/>
  <c r="K40" i="19" s="1"/>
  <c r="L40" i="19" s="1"/>
  <c r="M40" i="19" s="1"/>
  <c r="H27" i="19"/>
  <c r="K27" i="19" s="1"/>
  <c r="L27" i="19" s="1"/>
  <c r="M27" i="19" s="1"/>
  <c r="H18" i="19"/>
  <c r="K18" i="19" s="1"/>
  <c r="L18" i="19" s="1"/>
  <c r="M18" i="19" s="1"/>
  <c r="H72" i="19"/>
  <c r="K72" i="19" s="1"/>
  <c r="L72" i="19" s="1"/>
  <c r="M72" i="19" s="1"/>
  <c r="H38" i="19"/>
  <c r="K38" i="19" s="1"/>
  <c r="L38" i="19" s="1"/>
  <c r="M38" i="19" s="1"/>
  <c r="H73" i="19"/>
  <c r="K73" i="19" s="1"/>
  <c r="L73" i="19" s="1"/>
  <c r="M73" i="19" s="1"/>
  <c r="H65" i="19"/>
  <c r="K65" i="19" s="1"/>
  <c r="L65" i="19" s="1"/>
  <c r="M65" i="19" s="1"/>
  <c r="H68" i="19"/>
  <c r="K68" i="19" s="1"/>
  <c r="L68" i="19" s="1"/>
  <c r="M68" i="19" s="1"/>
  <c r="H74" i="19"/>
  <c r="P74" i="19" s="1"/>
  <c r="Q74" i="19" s="1"/>
  <c r="R74" i="19" s="1"/>
  <c r="S74" i="19" s="1"/>
  <c r="H55" i="19"/>
  <c r="K55" i="19" s="1"/>
  <c r="L55" i="19" s="1"/>
  <c r="M55" i="19" s="1"/>
  <c r="N202" i="7"/>
  <c r="H25" i="19"/>
  <c r="K25" i="19" s="1"/>
  <c r="L25" i="19" s="1"/>
  <c r="M25" i="19" s="1"/>
  <c r="H54" i="19"/>
  <c r="K54" i="19" s="1"/>
  <c r="L54" i="19" s="1"/>
  <c r="M54" i="19" s="1"/>
  <c r="H28" i="19"/>
  <c r="K28" i="19" s="1"/>
  <c r="L28" i="19" s="1"/>
  <c r="M28" i="19" s="1"/>
  <c r="H43" i="19"/>
  <c r="K43" i="19" s="1"/>
  <c r="L43" i="19" s="1"/>
  <c r="M43" i="19" s="1"/>
  <c r="H15" i="19"/>
  <c r="K15" i="19" s="1"/>
  <c r="L15" i="19" s="1"/>
  <c r="M15" i="19" s="1"/>
  <c r="H34" i="19"/>
  <c r="K34" i="19" s="1"/>
  <c r="L34" i="19" s="1"/>
  <c r="M34" i="19" s="1"/>
  <c r="H69" i="19"/>
  <c r="K69" i="19" s="1"/>
  <c r="L69" i="19" s="1"/>
  <c r="M69" i="19" s="1"/>
  <c r="H24" i="19"/>
  <c r="K24" i="19" s="1"/>
  <c r="L24" i="19" s="1"/>
  <c r="M24" i="19" s="1"/>
  <c r="H31" i="19"/>
  <c r="K31" i="19" s="1"/>
  <c r="L31" i="19" s="1"/>
  <c r="M31" i="19" s="1"/>
  <c r="H64" i="19"/>
  <c r="K64" i="19" s="1"/>
  <c r="L64" i="19" s="1"/>
  <c r="M64" i="19" s="1"/>
  <c r="H17" i="19"/>
  <c r="K17" i="19" s="1"/>
  <c r="L17" i="19" s="1"/>
  <c r="M17" i="19" s="1"/>
  <c r="H26" i="19"/>
  <c r="K26" i="19" s="1"/>
  <c r="L26" i="19" s="1"/>
  <c r="M26" i="19" s="1"/>
  <c r="H33" i="19"/>
  <c r="P33" i="19" s="1"/>
  <c r="Q33" i="19" s="1"/>
  <c r="R33" i="19" s="1"/>
  <c r="S33" i="19" s="1"/>
  <c r="H20" i="19"/>
  <c r="P20" i="19" s="1"/>
  <c r="Q20" i="19" s="1"/>
  <c r="R20" i="19" s="1"/>
  <c r="S20" i="19" s="1"/>
  <c r="H35" i="19"/>
  <c r="K35" i="19" s="1"/>
  <c r="L35" i="19" s="1"/>
  <c r="M35" i="19" s="1"/>
  <c r="H46" i="19"/>
  <c r="K46" i="19" s="1"/>
  <c r="L46" i="19" s="1"/>
  <c r="M46" i="19" s="1"/>
  <c r="H61" i="19"/>
  <c r="K61" i="19" s="1"/>
  <c r="L61" i="19" s="1"/>
  <c r="M61" i="19" s="1"/>
  <c r="K48" i="19"/>
  <c r="L48" i="19" s="1"/>
  <c r="M48" i="19" s="1"/>
  <c r="H30" i="19"/>
  <c r="K30" i="19" s="1"/>
  <c r="L30" i="19" s="1"/>
  <c r="M30" i="19" s="1"/>
  <c r="H45" i="19"/>
  <c r="K45" i="19" s="1"/>
  <c r="L45" i="19" s="1"/>
  <c r="M45" i="19" s="1"/>
  <c r="H57" i="19"/>
  <c r="K57" i="19" s="1"/>
  <c r="L57" i="19" s="1"/>
  <c r="M57" i="19" s="1"/>
  <c r="H19" i="19"/>
  <c r="K19" i="19" s="1"/>
  <c r="L19" i="19" s="1"/>
  <c r="M19" i="19" s="1"/>
  <c r="H16" i="19"/>
  <c r="P16" i="19" s="1"/>
  <c r="Q16" i="19" s="1"/>
  <c r="R16" i="19" s="1"/>
  <c r="S16" i="19" s="1"/>
  <c r="K42" i="19"/>
  <c r="L42" i="19" s="1"/>
  <c r="M42" i="19" s="1"/>
  <c r="H70" i="19"/>
  <c r="K70" i="19" s="1"/>
  <c r="L70" i="19" s="1"/>
  <c r="M70" i="19" s="1"/>
  <c r="H39" i="19"/>
  <c r="K39" i="19" s="1"/>
  <c r="L39" i="19" s="1"/>
  <c r="M39" i="19" s="1"/>
  <c r="H21" i="19"/>
  <c r="K21" i="19" s="1"/>
  <c r="L21" i="19" s="1"/>
  <c r="M21" i="19" s="1"/>
  <c r="H44" i="19"/>
  <c r="K44" i="19" s="1"/>
  <c r="L44" i="19" s="1"/>
  <c r="M44" i="19" s="1"/>
  <c r="H59" i="19"/>
  <c r="K59" i="19" s="1"/>
  <c r="L59" i="19" s="1"/>
  <c r="M59" i="19" s="1"/>
  <c r="H50" i="19"/>
  <c r="K50" i="19" s="1"/>
  <c r="L50" i="19" s="1"/>
  <c r="M50" i="19" s="1"/>
  <c r="H47" i="19"/>
  <c r="K47" i="19" s="1"/>
  <c r="L47" i="19" s="1"/>
  <c r="M47" i="19" s="1"/>
  <c r="AQ35" i="31"/>
  <c r="J122" i="7" s="1"/>
  <c r="AQ40" i="31"/>
  <c r="AQ27" i="31"/>
  <c r="AQ44" i="31"/>
  <c r="J193" i="7" s="1"/>
  <c r="AQ25" i="31"/>
  <c r="AQ39" i="31"/>
  <c r="AQ45" i="31"/>
  <c r="AQ42" i="31"/>
  <c r="AQ43" i="31"/>
  <c r="AQ36" i="31"/>
  <c r="AQ34" i="31"/>
  <c r="I14" i="31"/>
  <c r="AQ37" i="31"/>
  <c r="AQ33" i="31"/>
  <c r="AQ41" i="31"/>
  <c r="AQ32" i="31"/>
  <c r="AS33" i="31"/>
  <c r="L133" i="7" s="1"/>
  <c r="AS42" i="31"/>
  <c r="L108" i="7" s="1"/>
  <c r="L206" i="7"/>
  <c r="AS36" i="31"/>
  <c r="L174" i="7" s="1"/>
  <c r="AS43" i="31"/>
  <c r="L34" i="7" s="1"/>
  <c r="AS27" i="31"/>
  <c r="AS44" i="31"/>
  <c r="L28" i="7" s="1"/>
  <c r="AS40" i="31"/>
  <c r="L164" i="7" s="1"/>
  <c r="L54" i="7"/>
  <c r="AS25" i="31"/>
  <c r="AS41" i="31"/>
  <c r="L112" i="7" s="1"/>
  <c r="AS35" i="31"/>
  <c r="L170" i="7" s="1"/>
  <c r="L220" i="7"/>
  <c r="AS34" i="31"/>
  <c r="L168" i="7" s="1"/>
  <c r="AS45" i="31"/>
  <c r="L139" i="7" s="1"/>
  <c r="AS37" i="31"/>
  <c r="L217" i="7" s="1"/>
  <c r="L187" i="7"/>
  <c r="AS39" i="31"/>
  <c r="L36" i="7" s="1"/>
  <c r="K14" i="31"/>
  <c r="L128" i="7"/>
  <c r="L122" i="7"/>
  <c r="L103" i="7"/>
  <c r="L186" i="7"/>
  <c r="AS32" i="31"/>
  <c r="L117" i="7" s="1"/>
  <c r="AP41" i="31"/>
  <c r="BM41" i="31" s="1"/>
  <c r="AP36" i="31"/>
  <c r="I42" i="7" s="1"/>
  <c r="AP44" i="31"/>
  <c r="I102" i="7" s="1"/>
  <c r="AP43" i="31"/>
  <c r="I34" i="7" s="1"/>
  <c r="H14" i="31"/>
  <c r="AP18" i="31" s="1"/>
  <c r="AP25" i="31"/>
  <c r="BM25" i="31" s="1"/>
  <c r="AP32" i="31"/>
  <c r="I111" i="7" s="1"/>
  <c r="AP35" i="31"/>
  <c r="I75" i="7" s="1"/>
  <c r="I112" i="7"/>
  <c r="I71" i="7"/>
  <c r="I187" i="7"/>
  <c r="AP42" i="31"/>
  <c r="I108" i="7" s="1"/>
  <c r="AP45" i="31"/>
  <c r="I190" i="7" s="1"/>
  <c r="I24" i="7"/>
  <c r="AP33" i="31"/>
  <c r="I103" i="7" s="1"/>
  <c r="AP37" i="31"/>
  <c r="I217" i="7" s="1"/>
  <c r="AP27" i="31"/>
  <c r="BM27" i="31" s="1"/>
  <c r="AP34" i="31"/>
  <c r="I225" i="7" s="1"/>
  <c r="AP39" i="31"/>
  <c r="I36" i="7" s="1"/>
  <c r="AP40" i="31"/>
  <c r="I164" i="7" s="1"/>
  <c r="H182" i="7"/>
  <c r="K182" i="7"/>
  <c r="S182" i="7"/>
  <c r="O182" i="7"/>
  <c r="N182" i="7"/>
  <c r="R182" i="7"/>
  <c r="H41" i="19"/>
  <c r="H63" i="19"/>
  <c r="H29" i="19"/>
  <c r="K29" i="19" s="1"/>
  <c r="L29" i="19" s="1"/>
  <c r="M29" i="19" s="1"/>
  <c r="H52" i="19"/>
  <c r="P52" i="19" s="1"/>
  <c r="Q52" i="19" s="1"/>
  <c r="R52" i="19" s="1"/>
  <c r="S52" i="19" s="1"/>
  <c r="H67" i="19"/>
  <c r="H58" i="19"/>
  <c r="K58" i="19" s="1"/>
  <c r="L58" i="19" s="1"/>
  <c r="M58" i="19" s="1"/>
  <c r="H49" i="19"/>
  <c r="H71" i="19"/>
  <c r="H22" i="19"/>
  <c r="H37" i="19"/>
  <c r="H60" i="19"/>
  <c r="H75" i="19"/>
  <c r="H56" i="19"/>
  <c r="H66" i="19"/>
  <c r="P66" i="19" s="1"/>
  <c r="Q66" i="19" s="1"/>
  <c r="R66" i="19" s="1"/>
  <c r="S66" i="19" s="1"/>
  <c r="P42" i="19"/>
  <c r="Q42" i="19" s="1"/>
  <c r="R42" i="19" s="1"/>
  <c r="S42" i="19" s="1"/>
  <c r="F14" i="19"/>
  <c r="O14" i="19"/>
  <c r="I14" i="19"/>
  <c r="G14" i="19"/>
  <c r="P48" i="19"/>
  <c r="Q48" i="19" s="1"/>
  <c r="R48" i="19" s="1"/>
  <c r="S48" i="19" s="1"/>
  <c r="G146" i="7"/>
  <c r="G211" i="7"/>
  <c r="G15" i="7"/>
  <c r="G123" i="7"/>
  <c r="G104" i="7"/>
  <c r="G67" i="7"/>
  <c r="G165" i="7"/>
  <c r="G176" i="7"/>
  <c r="G144" i="7"/>
  <c r="G46" i="7"/>
  <c r="G121" i="7"/>
  <c r="G141" i="7"/>
  <c r="G148" i="7"/>
  <c r="G188" i="7"/>
  <c r="G207" i="7"/>
  <c r="G115" i="7"/>
  <c r="G223" i="7"/>
  <c r="G37" i="7"/>
  <c r="G14" i="7"/>
  <c r="G145" i="7"/>
  <c r="G158" i="7"/>
  <c r="G118" i="7"/>
  <c r="G30" i="7"/>
  <c r="G212" i="7"/>
  <c r="G213" i="7"/>
  <c r="G181" i="7"/>
  <c r="G25" i="7"/>
  <c r="G142" i="7"/>
  <c r="G85" i="7"/>
  <c r="G21" i="7"/>
  <c r="G113" i="7"/>
  <c r="G119" i="7"/>
  <c r="G136" i="7"/>
  <c r="G172" i="7"/>
  <c r="G218" i="7"/>
  <c r="G161" i="7"/>
  <c r="G27" i="7"/>
  <c r="G179" i="7"/>
  <c r="G222" i="7"/>
  <c r="G204" i="7"/>
  <c r="G120" i="7"/>
  <c r="G163" i="7"/>
  <c r="G137" i="7"/>
  <c r="G79" i="7"/>
  <c r="G215" i="7"/>
  <c r="G209" i="7"/>
  <c r="G101" i="7"/>
  <c r="G52" i="7"/>
  <c r="G17" i="7"/>
  <c r="G127" i="7"/>
  <c r="G177" i="7"/>
  <c r="G129" i="7"/>
  <c r="G64" i="7"/>
  <c r="G88" i="7"/>
  <c r="G143" i="7"/>
  <c r="G78" i="7"/>
  <c r="G61" i="7"/>
  <c r="G90" i="7"/>
  <c r="G107" i="7"/>
  <c r="G201" i="7"/>
  <c r="R228" i="7"/>
  <c r="R202" i="7"/>
  <c r="G73" i="7"/>
  <c r="G38" i="7"/>
  <c r="G83" i="7"/>
  <c r="G149" i="7"/>
  <c r="G82" i="7"/>
  <c r="G92" i="7"/>
  <c r="G41" i="7"/>
  <c r="G99" i="7"/>
  <c r="G16" i="7"/>
  <c r="G203" i="7"/>
  <c r="G184" i="7"/>
  <c r="G159" i="7"/>
  <c r="G153" i="7"/>
  <c r="G130" i="7"/>
  <c r="G150" i="7"/>
  <c r="G26" i="7"/>
  <c r="G226" i="7"/>
  <c r="G171" i="7"/>
  <c r="G194" i="7"/>
  <c r="G29" i="7"/>
  <c r="G196" i="7"/>
  <c r="G19" i="7"/>
  <c r="G210" i="7"/>
  <c r="G40" i="7"/>
  <c r="G214" i="7"/>
  <c r="G63" i="7"/>
  <c r="G185" i="7"/>
  <c r="G96" i="7"/>
  <c r="G22" i="7"/>
  <c r="G49" i="7"/>
  <c r="AN26" i="31"/>
  <c r="R199" i="7"/>
  <c r="R197" i="7"/>
  <c r="R32" i="7"/>
  <c r="R68" i="7"/>
  <c r="R62" i="7"/>
  <c r="R166" i="7"/>
  <c r="R91" i="7"/>
  <c r="R195" i="7"/>
  <c r="R72" i="7"/>
  <c r="G151" i="7"/>
  <c r="G162" i="7"/>
  <c r="G35" i="7"/>
  <c r="G98" i="7"/>
  <c r="G155" i="7"/>
  <c r="G97" i="7"/>
  <c r="R189" i="7"/>
  <c r="R125" i="7"/>
  <c r="R198" i="7"/>
  <c r="R50" i="7"/>
  <c r="R43" i="7"/>
  <c r="R216" i="7"/>
  <c r="R156" i="7"/>
  <c r="R51" i="7"/>
  <c r="R95" i="7"/>
  <c r="R57" i="7"/>
  <c r="R183" i="7"/>
  <c r="R84" i="7"/>
  <c r="R44" i="7"/>
  <c r="R175" i="7"/>
  <c r="R131" i="7"/>
  <c r="R208" i="7"/>
  <c r="R191" i="7"/>
  <c r="R147" i="7"/>
  <c r="R135" i="7"/>
  <c r="R132" i="7"/>
  <c r="R77" i="7"/>
  <c r="R74" i="7"/>
  <c r="AN14" i="31"/>
  <c r="AN38" i="31"/>
  <c r="J14" i="19"/>
  <c r="AQ18" i="31"/>
  <c r="AQ20" i="31"/>
  <c r="AQ16" i="31"/>
  <c r="AQ19" i="31"/>
  <c r="AQ15" i="31"/>
  <c r="AQ17" i="31"/>
  <c r="AN16" i="31"/>
  <c r="AN17" i="31"/>
  <c r="AN18" i="31"/>
  <c r="AN19" i="31"/>
  <c r="AN20" i="31"/>
  <c r="AN15" i="31"/>
  <c r="BN27" i="31" l="1"/>
  <c r="BM18" i="31"/>
  <c r="P61" i="19"/>
  <c r="Q61" i="19" s="1"/>
  <c r="R61" i="19" s="1"/>
  <c r="S61" i="19" s="1"/>
  <c r="BM45" i="31"/>
  <c r="BM43" i="31"/>
  <c r="BM37" i="31"/>
  <c r="BM40" i="31"/>
  <c r="BM35" i="31"/>
  <c r="BM42" i="31"/>
  <c r="BM32" i="31"/>
  <c r="BM39" i="31"/>
  <c r="P72" i="19"/>
  <c r="Q72" i="19" s="1"/>
  <c r="R72" i="19" s="1"/>
  <c r="S72" i="19" s="1"/>
  <c r="BM34" i="31"/>
  <c r="BN25" i="31"/>
  <c r="BM36" i="31"/>
  <c r="BM33" i="31"/>
  <c r="BM44" i="31"/>
  <c r="I193" i="7"/>
  <c r="L53" i="7"/>
  <c r="I23" i="7"/>
  <c r="L200" i="7"/>
  <c r="L48" i="7"/>
  <c r="L152" i="7"/>
  <c r="I28" i="7"/>
  <c r="I117" i="7"/>
  <c r="L89" i="7"/>
  <c r="I81" i="7"/>
  <c r="I122" i="7"/>
  <c r="I89" i="7"/>
  <c r="L42" i="7"/>
  <c r="I154" i="7"/>
  <c r="I174" i="7"/>
  <c r="L86" i="7"/>
  <c r="L100" i="7"/>
  <c r="L102" i="7"/>
  <c r="L221" i="7"/>
  <c r="L31" i="7"/>
  <c r="L192" i="7"/>
  <c r="L109" i="7"/>
  <c r="I139" i="7"/>
  <c r="I128" i="7"/>
  <c r="I80" i="7"/>
  <c r="I220" i="7"/>
  <c r="I169" i="7"/>
  <c r="I106" i="7"/>
  <c r="L23" i="7"/>
  <c r="I31" i="7"/>
  <c r="I100" i="7"/>
  <c r="I186" i="7"/>
  <c r="I168" i="7"/>
  <c r="I86" i="7"/>
  <c r="L71" i="7"/>
  <c r="I109" i="7"/>
  <c r="I221" i="7"/>
  <c r="L173" i="7"/>
  <c r="L193" i="7"/>
  <c r="I200" i="7"/>
  <c r="I48" i="7"/>
  <c r="I66" i="7"/>
  <c r="I133" i="7"/>
  <c r="I170" i="7"/>
  <c r="I160" i="7"/>
  <c r="L154" i="7"/>
  <c r="L225" i="7"/>
  <c r="L169" i="7"/>
  <c r="L66" i="7"/>
  <c r="L24" i="7"/>
  <c r="K74" i="19"/>
  <c r="L74" i="19" s="1"/>
  <c r="M74" i="19" s="1"/>
  <c r="I219" i="7"/>
  <c r="I53" i="7"/>
  <c r="L106" i="7"/>
  <c r="L80" i="7"/>
  <c r="L111" i="7"/>
  <c r="L160" i="7"/>
  <c r="L190" i="7"/>
  <c r="L65" i="7"/>
  <c r="I206" i="7"/>
  <c r="I152" i="7"/>
  <c r="L75" i="7"/>
  <c r="I65" i="7"/>
  <c r="I192" i="7"/>
  <c r="L219" i="7"/>
  <c r="L81" i="7"/>
  <c r="I54" i="7"/>
  <c r="I173" i="7"/>
  <c r="T14" i="31"/>
  <c r="J83" i="7"/>
  <c r="BN45" i="31"/>
  <c r="J79" i="7"/>
  <c r="BN33" i="31"/>
  <c r="J97" i="7"/>
  <c r="BN39" i="31"/>
  <c r="J120" i="7"/>
  <c r="BN37" i="31"/>
  <c r="J119" i="7"/>
  <c r="BN42" i="31"/>
  <c r="AQ26" i="31"/>
  <c r="AQ53" i="31" s="1"/>
  <c r="U14" i="31"/>
  <c r="J35" i="7"/>
  <c r="BN44" i="31"/>
  <c r="G167" i="7"/>
  <c r="J121" i="7"/>
  <c r="BN34" i="31"/>
  <c r="J16" i="7"/>
  <c r="BN32" i="31"/>
  <c r="J181" i="7"/>
  <c r="BN36" i="31"/>
  <c r="J171" i="7"/>
  <c r="BN40" i="31"/>
  <c r="AN54" i="31"/>
  <c r="J123" i="7"/>
  <c r="BN41" i="31"/>
  <c r="J34" i="7"/>
  <c r="BN43" i="31"/>
  <c r="J61" i="7"/>
  <c r="BN35" i="31"/>
  <c r="K32" i="19"/>
  <c r="L32" i="19" s="1"/>
  <c r="M32" i="19" s="1"/>
  <c r="P62" i="19"/>
  <c r="Q62" i="19" s="1"/>
  <c r="R62" i="19" s="1"/>
  <c r="S62" i="19" s="1"/>
  <c r="P55" i="19"/>
  <c r="Q55" i="19" s="1"/>
  <c r="R55" i="19" s="1"/>
  <c r="S55" i="19" s="1"/>
  <c r="P23" i="19"/>
  <c r="Q23" i="19" s="1"/>
  <c r="R23" i="19" s="1"/>
  <c r="S23" i="19" s="1"/>
  <c r="P38" i="19"/>
  <c r="Q38" i="19" s="1"/>
  <c r="R38" i="19" s="1"/>
  <c r="S38" i="19" s="1"/>
  <c r="P53" i="19"/>
  <c r="Q53" i="19" s="1"/>
  <c r="R53" i="19" s="1"/>
  <c r="S53" i="19" s="1"/>
  <c r="P46" i="19"/>
  <c r="Q46" i="19" s="1"/>
  <c r="R46" i="19" s="1"/>
  <c r="S46" i="19" s="1"/>
  <c r="P24" i="19"/>
  <c r="Q24" i="19" s="1"/>
  <c r="R24" i="19" s="1"/>
  <c r="S24" i="19" s="1"/>
  <c r="P34" i="19"/>
  <c r="Q34" i="19" s="1"/>
  <c r="R34" i="19" s="1"/>
  <c r="S34" i="19" s="1"/>
  <c r="P31" i="19"/>
  <c r="Q31" i="19" s="1"/>
  <c r="R31" i="19" s="1"/>
  <c r="S31" i="19" s="1"/>
  <c r="P25" i="19"/>
  <c r="Q25" i="19" s="1"/>
  <c r="R25" i="19" s="1"/>
  <c r="S25" i="19" s="1"/>
  <c r="P21" i="19"/>
  <c r="Q21" i="19" s="1"/>
  <c r="R21" i="19" s="1"/>
  <c r="S21" i="19" s="1"/>
  <c r="P27" i="19"/>
  <c r="Q27" i="19" s="1"/>
  <c r="R27" i="19" s="1"/>
  <c r="S27" i="19" s="1"/>
  <c r="P36" i="19"/>
  <c r="Q36" i="19" s="1"/>
  <c r="R36" i="19" s="1"/>
  <c r="S36" i="19" s="1"/>
  <c r="J86" i="7"/>
  <c r="J66" i="7"/>
  <c r="P51" i="19"/>
  <c r="Q51" i="19" s="1"/>
  <c r="R51" i="19" s="1"/>
  <c r="S51" i="19" s="1"/>
  <c r="J81" i="7"/>
  <c r="J219" i="7"/>
  <c r="P40" i="19"/>
  <c r="Q40" i="19" s="1"/>
  <c r="R40" i="19" s="1"/>
  <c r="S40" i="19" s="1"/>
  <c r="J24" i="7"/>
  <c r="J152" i="7"/>
  <c r="J164" i="7"/>
  <c r="J80" i="7"/>
  <c r="J102" i="7"/>
  <c r="J23" i="7"/>
  <c r="J200" i="7"/>
  <c r="J31" i="7"/>
  <c r="J53" i="7"/>
  <c r="J206" i="7"/>
  <c r="J174" i="7"/>
  <c r="J225" i="7"/>
  <c r="P70" i="19"/>
  <c r="Q70" i="19" s="1"/>
  <c r="R70" i="19" s="1"/>
  <c r="S70" i="19" s="1"/>
  <c r="P54" i="19"/>
  <c r="Q54" i="19" s="1"/>
  <c r="R54" i="19" s="1"/>
  <c r="S54" i="19" s="1"/>
  <c r="P17" i="19"/>
  <c r="Q17" i="19" s="1"/>
  <c r="R17" i="19" s="1"/>
  <c r="S17" i="19" s="1"/>
  <c r="P65" i="19"/>
  <c r="Q65" i="19" s="1"/>
  <c r="R65" i="19" s="1"/>
  <c r="S65" i="19" s="1"/>
  <c r="J203" i="7"/>
  <c r="P28" i="19"/>
  <c r="Q28" i="19" s="1"/>
  <c r="R28" i="19" s="1"/>
  <c r="S28" i="19" s="1"/>
  <c r="P64" i="19"/>
  <c r="Q64" i="19" s="1"/>
  <c r="R64" i="19" s="1"/>
  <c r="S64" i="19" s="1"/>
  <c r="P73" i="19"/>
  <c r="Q73" i="19" s="1"/>
  <c r="R73" i="19" s="1"/>
  <c r="S73" i="19" s="1"/>
  <c r="P35" i="19"/>
  <c r="Q35" i="19" s="1"/>
  <c r="R35" i="19" s="1"/>
  <c r="S35" i="19" s="1"/>
  <c r="P18" i="19"/>
  <c r="Q18" i="19" s="1"/>
  <c r="R18" i="19" s="1"/>
  <c r="S18" i="19" s="1"/>
  <c r="AQ54" i="31"/>
  <c r="J221" i="7"/>
  <c r="J106" i="7"/>
  <c r="J128" i="7"/>
  <c r="J169" i="7"/>
  <c r="J160" i="7"/>
  <c r="J100" i="7"/>
  <c r="J192" i="7"/>
  <c r="J170" i="7"/>
  <c r="J139" i="7"/>
  <c r="J75" i="7"/>
  <c r="J187" i="7"/>
  <c r="J173" i="7"/>
  <c r="J65" i="7"/>
  <c r="J133" i="7"/>
  <c r="J217" i="7"/>
  <c r="J168" i="7"/>
  <c r="J111" i="7"/>
  <c r="J36" i="7"/>
  <c r="J42" i="7"/>
  <c r="AQ57" i="31"/>
  <c r="AQ51" i="31"/>
  <c r="AQ56" i="31"/>
  <c r="AQ52" i="31"/>
  <c r="J186" i="7"/>
  <c r="AN57" i="31"/>
  <c r="AN53" i="31"/>
  <c r="AN50" i="31"/>
  <c r="AN55" i="31"/>
  <c r="J27" i="7"/>
  <c r="J103" i="7"/>
  <c r="J154" i="7"/>
  <c r="J71" i="7"/>
  <c r="J89" i="7"/>
  <c r="G69" i="7"/>
  <c r="G70" i="7"/>
  <c r="G110" i="7"/>
  <c r="G93" i="7"/>
  <c r="G55" i="7"/>
  <c r="G140" i="7"/>
  <c r="G59" i="7"/>
  <c r="G39" i="7"/>
  <c r="G20" i="7"/>
  <c r="J218" i="7"/>
  <c r="J28" i="7"/>
  <c r="J109" i="7"/>
  <c r="AN52" i="31"/>
  <c r="AN51" i="31"/>
  <c r="AN56" i="31"/>
  <c r="J172" i="7"/>
  <c r="J54" i="7"/>
  <c r="J117" i="7"/>
  <c r="J112" i="7"/>
  <c r="J48" i="7"/>
  <c r="J220" i="7"/>
  <c r="J190" i="7"/>
  <c r="AQ50" i="31"/>
  <c r="J108" i="7"/>
  <c r="P68" i="19"/>
  <c r="Q68" i="19" s="1"/>
  <c r="R68" i="19" s="1"/>
  <c r="S68" i="19" s="1"/>
  <c r="P43" i="19"/>
  <c r="Q43" i="19" s="1"/>
  <c r="R43" i="19" s="1"/>
  <c r="S43" i="19" s="1"/>
  <c r="P26" i="19"/>
  <c r="Q26" i="19" s="1"/>
  <c r="R26" i="19" s="1"/>
  <c r="S26" i="19" s="1"/>
  <c r="AS19" i="31"/>
  <c r="BN19" i="31" s="1"/>
  <c r="AS17" i="31"/>
  <c r="BN17" i="31" s="1"/>
  <c r="AS16" i="31"/>
  <c r="BN16" i="31" s="1"/>
  <c r="AS15" i="31"/>
  <c r="AS54" i="31" s="1"/>
  <c r="L116" i="7" s="1"/>
  <c r="AP20" i="31"/>
  <c r="BM20" i="31" s="1"/>
  <c r="AP16" i="31"/>
  <c r="BM16" i="31" s="1"/>
  <c r="AP19" i="31"/>
  <c r="BM19" i="31" s="1"/>
  <c r="AP17" i="31"/>
  <c r="BM17" i="31" s="1"/>
  <c r="AP15" i="31"/>
  <c r="BM15" i="31" s="1"/>
  <c r="P44" i="19"/>
  <c r="Q44" i="19" s="1"/>
  <c r="R44" i="19" s="1"/>
  <c r="S44" i="19" s="1"/>
  <c r="P15" i="19"/>
  <c r="Q15" i="19" s="1"/>
  <c r="R15" i="19" s="1"/>
  <c r="S15" i="19" s="1"/>
  <c r="J14" i="7"/>
  <c r="P39" i="19"/>
  <c r="Q39" i="19" s="1"/>
  <c r="R39" i="19" s="1"/>
  <c r="S39" i="19" s="1"/>
  <c r="J38" i="7"/>
  <c r="J211" i="7"/>
  <c r="J127" i="7"/>
  <c r="J40" i="7"/>
  <c r="J201" i="7"/>
  <c r="J194" i="7"/>
  <c r="P59" i="19"/>
  <c r="Q59" i="19" s="1"/>
  <c r="R59" i="19" s="1"/>
  <c r="S59" i="19" s="1"/>
  <c r="P19" i="19"/>
  <c r="Q19" i="19" s="1"/>
  <c r="R19" i="19" s="1"/>
  <c r="S19" i="19" s="1"/>
  <c r="K20" i="19"/>
  <c r="L20" i="19" s="1"/>
  <c r="M20" i="19" s="1"/>
  <c r="P69" i="19"/>
  <c r="Q69" i="19" s="1"/>
  <c r="R69" i="19" s="1"/>
  <c r="S69" i="19" s="1"/>
  <c r="J155" i="7"/>
  <c r="J98" i="7"/>
  <c r="J107" i="7"/>
  <c r="K33" i="19"/>
  <c r="L33" i="19" s="1"/>
  <c r="M33" i="19" s="1"/>
  <c r="J78" i="7"/>
  <c r="J185" i="7"/>
  <c r="J214" i="7"/>
  <c r="J146" i="7"/>
  <c r="J90" i="7"/>
  <c r="J64" i="7"/>
  <c r="P47" i="19"/>
  <c r="Q47" i="19" s="1"/>
  <c r="R47" i="19" s="1"/>
  <c r="S47" i="19" s="1"/>
  <c r="J104" i="7"/>
  <c r="J210" i="7"/>
  <c r="J215" i="7"/>
  <c r="J15" i="7"/>
  <c r="J88" i="7"/>
  <c r="P30" i="19"/>
  <c r="Q30" i="19" s="1"/>
  <c r="R30" i="19" s="1"/>
  <c r="S30" i="19" s="1"/>
  <c r="J96" i="7"/>
  <c r="J22" i="7"/>
  <c r="J196" i="7"/>
  <c r="J137" i="7"/>
  <c r="J177" i="7"/>
  <c r="J226" i="7"/>
  <c r="J29" i="7"/>
  <c r="J209" i="7"/>
  <c r="J52" i="7"/>
  <c r="J17" i="7"/>
  <c r="J19" i="7"/>
  <c r="J63" i="7"/>
  <c r="J26" i="7"/>
  <c r="J163" i="7"/>
  <c r="J67" i="7"/>
  <c r="J143" i="7"/>
  <c r="J129" i="7"/>
  <c r="J49" i="7"/>
  <c r="J101" i="7"/>
  <c r="P45" i="19"/>
  <c r="Q45" i="19" s="1"/>
  <c r="R45" i="19" s="1"/>
  <c r="S45" i="19" s="1"/>
  <c r="P57" i="19"/>
  <c r="Q57" i="19" s="1"/>
  <c r="R57" i="19" s="1"/>
  <c r="S57" i="19" s="1"/>
  <c r="P50" i="19"/>
  <c r="Q50" i="19" s="1"/>
  <c r="R50" i="19" s="1"/>
  <c r="S50" i="19" s="1"/>
  <c r="J99" i="7"/>
  <c r="J151" i="7"/>
  <c r="J184" i="7"/>
  <c r="P58" i="19"/>
  <c r="Q58" i="19" s="1"/>
  <c r="R58" i="19" s="1"/>
  <c r="S58" i="19" s="1"/>
  <c r="J162" i="7"/>
  <c r="J92" i="7"/>
  <c r="K16" i="19"/>
  <c r="L16" i="19" s="1"/>
  <c r="M16" i="19" s="1"/>
  <c r="J130" i="7"/>
  <c r="J150" i="7"/>
  <c r="J153" i="7"/>
  <c r="J159" i="7"/>
  <c r="J41" i="7"/>
  <c r="J82" i="7"/>
  <c r="J25" i="7"/>
  <c r="J158" i="7"/>
  <c r="J113" i="7"/>
  <c r="AQ14" i="31"/>
  <c r="J145" i="7"/>
  <c r="J204" i="7"/>
  <c r="J142" i="7"/>
  <c r="J149" i="7"/>
  <c r="J136" i="7"/>
  <c r="J212" i="7"/>
  <c r="J30" i="7"/>
  <c r="AQ38" i="31"/>
  <c r="J73" i="7"/>
  <c r="J161" i="7"/>
  <c r="J21" i="7"/>
  <c r="J213" i="7"/>
  <c r="AS18" i="31"/>
  <c r="BN18" i="31" s="1"/>
  <c r="AS20" i="31"/>
  <c r="BN20" i="31" s="1"/>
  <c r="J37" i="7"/>
  <c r="J165" i="7"/>
  <c r="J179" i="7"/>
  <c r="J118" i="7"/>
  <c r="J85" i="7"/>
  <c r="P22" i="19"/>
  <c r="Q22" i="19" s="1"/>
  <c r="R22" i="19" s="1"/>
  <c r="S22" i="19" s="1"/>
  <c r="K22" i="19"/>
  <c r="L22" i="19" s="1"/>
  <c r="M22" i="19" s="1"/>
  <c r="P41" i="19"/>
  <c r="Q41" i="19" s="1"/>
  <c r="R41" i="19" s="1"/>
  <c r="S41" i="19" s="1"/>
  <c r="K41" i="19"/>
  <c r="L41" i="19" s="1"/>
  <c r="M41" i="19" s="1"/>
  <c r="P71" i="19"/>
  <c r="Q71" i="19" s="1"/>
  <c r="R71" i="19" s="1"/>
  <c r="S71" i="19" s="1"/>
  <c r="K71" i="19"/>
  <c r="L71" i="19" s="1"/>
  <c r="M71" i="19" s="1"/>
  <c r="P49" i="19"/>
  <c r="Q49" i="19" s="1"/>
  <c r="R49" i="19" s="1"/>
  <c r="S49" i="19" s="1"/>
  <c r="K49" i="19"/>
  <c r="L49" i="19" s="1"/>
  <c r="M49" i="19" s="1"/>
  <c r="K66" i="19"/>
  <c r="L66" i="19" s="1"/>
  <c r="M66" i="19" s="1"/>
  <c r="P56" i="19"/>
  <c r="Q56" i="19" s="1"/>
  <c r="R56" i="19" s="1"/>
  <c r="S56" i="19" s="1"/>
  <c r="K56" i="19"/>
  <c r="L56" i="19" s="1"/>
  <c r="M56" i="19" s="1"/>
  <c r="P67" i="19"/>
  <c r="Q67" i="19" s="1"/>
  <c r="R67" i="19" s="1"/>
  <c r="S67" i="19" s="1"/>
  <c r="K67" i="19"/>
  <c r="L67" i="19" s="1"/>
  <c r="M67" i="19" s="1"/>
  <c r="P29" i="19"/>
  <c r="Q29" i="19" s="1"/>
  <c r="R29" i="19" s="1"/>
  <c r="S29" i="19" s="1"/>
  <c r="P75" i="19"/>
  <c r="Q75" i="19" s="1"/>
  <c r="R75" i="19" s="1"/>
  <c r="S75" i="19" s="1"/>
  <c r="K75" i="19"/>
  <c r="L75" i="19" s="1"/>
  <c r="M75" i="19" s="1"/>
  <c r="K52" i="19"/>
  <c r="L52" i="19" s="1"/>
  <c r="M52" i="19" s="1"/>
  <c r="P60" i="19"/>
  <c r="Q60" i="19" s="1"/>
  <c r="R60" i="19" s="1"/>
  <c r="S60" i="19" s="1"/>
  <c r="K60" i="19"/>
  <c r="L60" i="19" s="1"/>
  <c r="M60" i="19" s="1"/>
  <c r="P37" i="19"/>
  <c r="Q37" i="19" s="1"/>
  <c r="R37" i="19" s="1"/>
  <c r="S37" i="19" s="1"/>
  <c r="K37" i="19"/>
  <c r="L37" i="19" s="1"/>
  <c r="M37" i="19" s="1"/>
  <c r="P63" i="19"/>
  <c r="Q63" i="19" s="1"/>
  <c r="R63" i="19" s="1"/>
  <c r="S63" i="19" s="1"/>
  <c r="K63" i="19"/>
  <c r="L63" i="19" s="1"/>
  <c r="M63" i="19" s="1"/>
  <c r="H14" i="19"/>
  <c r="K14" i="19" s="1"/>
  <c r="L14" i="19" s="1"/>
  <c r="M14" i="19" s="1"/>
  <c r="J223" i="7"/>
  <c r="J222" i="7"/>
  <c r="J188" i="7"/>
  <c r="J148" i="7"/>
  <c r="J141" i="7"/>
  <c r="J115" i="7"/>
  <c r="J144" i="7"/>
  <c r="J46" i="7"/>
  <c r="J207" i="7"/>
  <c r="J176" i="7"/>
  <c r="L223" i="7"/>
  <c r="L207" i="7"/>
  <c r="L148" i="7"/>
  <c r="L115" i="7"/>
  <c r="L176" i="7"/>
  <c r="L144" i="7"/>
  <c r="L46" i="7"/>
  <c r="L165" i="7"/>
  <c r="L188" i="7"/>
  <c r="L141" i="7"/>
  <c r="L121" i="7"/>
  <c r="L161" i="7"/>
  <c r="L218" i="7"/>
  <c r="L172" i="7"/>
  <c r="L119" i="7"/>
  <c r="L27" i="7"/>
  <c r="L136" i="7"/>
  <c r="L179" i="7"/>
  <c r="I222" i="7"/>
  <c r="I120" i="7"/>
  <c r="I204" i="7"/>
  <c r="I215" i="7"/>
  <c r="I79" i="7"/>
  <c r="I137" i="7"/>
  <c r="I209" i="7"/>
  <c r="I163" i="7"/>
  <c r="L171" i="7"/>
  <c r="L49" i="7"/>
  <c r="L19" i="7"/>
  <c r="L194" i="7"/>
  <c r="L26" i="7"/>
  <c r="L226" i="7"/>
  <c r="L210" i="7"/>
  <c r="L40" i="7"/>
  <c r="L96" i="7"/>
  <c r="L185" i="7"/>
  <c r="L214" i="7"/>
  <c r="L29" i="7"/>
  <c r="L63" i="7"/>
  <c r="L196" i="7"/>
  <c r="L22" i="7"/>
  <c r="L215" i="7"/>
  <c r="L137" i="7"/>
  <c r="L79" i="7"/>
  <c r="L209" i="7"/>
  <c r="L163" i="7"/>
  <c r="L16" i="7"/>
  <c r="L184" i="7"/>
  <c r="L159" i="7"/>
  <c r="L92" i="7"/>
  <c r="L82" i="7"/>
  <c r="L203" i="7"/>
  <c r="L150" i="7"/>
  <c r="L153" i="7"/>
  <c r="L41" i="7"/>
  <c r="L130" i="7"/>
  <c r="L99" i="7"/>
  <c r="AS38" i="31"/>
  <c r="AS14" i="31"/>
  <c r="AS26" i="31"/>
  <c r="L35" i="7"/>
  <c r="L151" i="7"/>
  <c r="L162" i="7"/>
  <c r="L85" i="7"/>
  <c r="L25" i="7"/>
  <c r="L118" i="7"/>
  <c r="L113" i="7"/>
  <c r="L14" i="7"/>
  <c r="L30" i="7"/>
  <c r="L142" i="7"/>
  <c r="L181" i="7"/>
  <c r="L37" i="7"/>
  <c r="L213" i="7"/>
  <c r="L21" i="7"/>
  <c r="L158" i="7"/>
  <c r="L145" i="7"/>
  <c r="L212" i="7"/>
  <c r="I38" i="7"/>
  <c r="I149" i="7"/>
  <c r="I83" i="7"/>
  <c r="I73" i="7"/>
  <c r="AP38" i="31"/>
  <c r="I20" i="7" s="1"/>
  <c r="AP26" i="31"/>
  <c r="BM26" i="31" s="1"/>
  <c r="AP14" i="31"/>
  <c r="BM14" i="31" s="1"/>
  <c r="L155" i="7"/>
  <c r="L97" i="7"/>
  <c r="L98" i="7"/>
  <c r="I144" i="7"/>
  <c r="I165" i="7"/>
  <c r="I115" i="7"/>
  <c r="I176" i="7"/>
  <c r="I223" i="7"/>
  <c r="I188" i="7"/>
  <c r="I46" i="7"/>
  <c r="I207" i="7"/>
  <c r="I121" i="7"/>
  <c r="I141" i="7"/>
  <c r="I148" i="7"/>
  <c r="I172" i="7"/>
  <c r="I27" i="7"/>
  <c r="I218" i="7"/>
  <c r="I161" i="7"/>
  <c r="I179" i="7"/>
  <c r="I119" i="7"/>
  <c r="I136" i="7"/>
  <c r="I30" i="7"/>
  <c r="I113" i="7"/>
  <c r="I37" i="7"/>
  <c r="I181" i="7"/>
  <c r="I145" i="7"/>
  <c r="I213" i="7"/>
  <c r="I158" i="7"/>
  <c r="I14" i="7"/>
  <c r="I118" i="7"/>
  <c r="I21" i="7"/>
  <c r="I142" i="7"/>
  <c r="I25" i="7"/>
  <c r="I212" i="7"/>
  <c r="I85" i="7"/>
  <c r="L204" i="7"/>
  <c r="L222" i="7"/>
  <c r="L120" i="7"/>
  <c r="I49" i="7"/>
  <c r="I210" i="7"/>
  <c r="I63" i="7"/>
  <c r="I214" i="7"/>
  <c r="I96" i="7"/>
  <c r="I19" i="7"/>
  <c r="I185" i="7"/>
  <c r="I171" i="7"/>
  <c r="I226" i="7"/>
  <c r="I196" i="7"/>
  <c r="I29" i="7"/>
  <c r="I22" i="7"/>
  <c r="I40" i="7"/>
  <c r="I26" i="7"/>
  <c r="I194" i="7"/>
  <c r="I127" i="7"/>
  <c r="I78" i="7"/>
  <c r="I90" i="7"/>
  <c r="I88" i="7"/>
  <c r="I107" i="7"/>
  <c r="I143" i="7"/>
  <c r="I177" i="7"/>
  <c r="I129" i="7"/>
  <c r="I52" i="7"/>
  <c r="I201" i="7"/>
  <c r="I64" i="7"/>
  <c r="I17" i="7"/>
  <c r="I101" i="7"/>
  <c r="I61" i="7"/>
  <c r="I162" i="7"/>
  <c r="I151" i="7"/>
  <c r="I35" i="7"/>
  <c r="I123" i="7"/>
  <c r="I146" i="7"/>
  <c r="I15" i="7"/>
  <c r="I67" i="7"/>
  <c r="I104" i="7"/>
  <c r="I211" i="7"/>
  <c r="L78" i="7"/>
  <c r="L177" i="7"/>
  <c r="L107" i="7"/>
  <c r="L129" i="7"/>
  <c r="L52" i="7"/>
  <c r="L64" i="7"/>
  <c r="L88" i="7"/>
  <c r="L143" i="7"/>
  <c r="L61" i="7"/>
  <c r="L101" i="7"/>
  <c r="L201" i="7"/>
  <c r="L90" i="7"/>
  <c r="L17" i="7"/>
  <c r="L127" i="7"/>
  <c r="H134" i="7"/>
  <c r="K134" i="7"/>
  <c r="S134" i="7"/>
  <c r="O134" i="7"/>
  <c r="N134" i="7"/>
  <c r="R134" i="7"/>
  <c r="I155" i="7"/>
  <c r="I98" i="7"/>
  <c r="I97" i="7"/>
  <c r="I99" i="7"/>
  <c r="I184" i="7"/>
  <c r="I82" i="7"/>
  <c r="I16" i="7"/>
  <c r="I92" i="7"/>
  <c r="I153" i="7"/>
  <c r="I150" i="7"/>
  <c r="I159" i="7"/>
  <c r="I203" i="7"/>
  <c r="I41" i="7"/>
  <c r="I130" i="7"/>
  <c r="L149" i="7"/>
  <c r="L83" i="7"/>
  <c r="L73" i="7"/>
  <c r="L38" i="7"/>
  <c r="L104" i="7"/>
  <c r="L15" i="7"/>
  <c r="L67" i="7"/>
  <c r="L211" i="7"/>
  <c r="L146" i="7"/>
  <c r="L123" i="7"/>
  <c r="K18" i="7"/>
  <c r="K178" i="7"/>
  <c r="K56" i="7"/>
  <c r="K60" i="7"/>
  <c r="K33" i="7"/>
  <c r="K87" i="7"/>
  <c r="K157" i="7"/>
  <c r="K124" i="7"/>
  <c r="K76" i="7"/>
  <c r="K114" i="7"/>
  <c r="K229" i="7"/>
  <c r="K58" i="7"/>
  <c r="K205" i="7"/>
  <c r="K45" i="7"/>
  <c r="K180" i="7"/>
  <c r="K138" i="7"/>
  <c r="K230" i="7"/>
  <c r="K47" i="7"/>
  <c r="K94" i="7"/>
  <c r="H157" i="7"/>
  <c r="H18" i="7"/>
  <c r="H230" i="7"/>
  <c r="H45" i="7"/>
  <c r="H58" i="7"/>
  <c r="H229" i="7"/>
  <c r="H205" i="7"/>
  <c r="H76" i="7"/>
  <c r="H180" i="7"/>
  <c r="H124" i="7"/>
  <c r="H33" i="7"/>
  <c r="H47" i="7"/>
  <c r="H56" i="7"/>
  <c r="H87" i="7"/>
  <c r="H138" i="7"/>
  <c r="H60" i="7"/>
  <c r="H94" i="7"/>
  <c r="H178" i="7"/>
  <c r="H114" i="7"/>
  <c r="G166" i="7"/>
  <c r="G199" i="7"/>
  <c r="G32" i="7"/>
  <c r="G72" i="7"/>
  <c r="G195" i="7"/>
  <c r="G68" i="7"/>
  <c r="G62" i="7"/>
  <c r="G91" i="7"/>
  <c r="G197" i="7"/>
  <c r="G224" i="7"/>
  <c r="R124" i="7"/>
  <c r="R138" i="7"/>
  <c r="R205" i="7"/>
  <c r="R114" i="7"/>
  <c r="R18" i="7"/>
  <c r="R230" i="7"/>
  <c r="R58" i="7"/>
  <c r="R94" i="7"/>
  <c r="R87" i="7"/>
  <c r="R56" i="7"/>
  <c r="R178" i="7"/>
  <c r="R60" i="7"/>
  <c r="R229" i="7"/>
  <c r="R157" i="7"/>
  <c r="R33" i="7"/>
  <c r="R47" i="7"/>
  <c r="R76" i="7"/>
  <c r="R45" i="7"/>
  <c r="R180" i="7"/>
  <c r="N205" i="7"/>
  <c r="N138" i="7"/>
  <c r="N60" i="7"/>
  <c r="N230" i="7"/>
  <c r="N94" i="7"/>
  <c r="N47" i="7"/>
  <c r="N87" i="7"/>
  <c r="N229" i="7"/>
  <c r="N180" i="7"/>
  <c r="N33" i="7"/>
  <c r="N45" i="7"/>
  <c r="N76" i="7"/>
  <c r="N178" i="7"/>
  <c r="N124" i="7"/>
  <c r="N58" i="7"/>
  <c r="N157" i="7"/>
  <c r="N56" i="7"/>
  <c r="N114" i="7"/>
  <c r="N18" i="7"/>
  <c r="S180" i="7"/>
  <c r="S47" i="7"/>
  <c r="S94" i="7"/>
  <c r="S205" i="7"/>
  <c r="S58" i="7"/>
  <c r="S157" i="7"/>
  <c r="S230" i="7"/>
  <c r="S56" i="7"/>
  <c r="S33" i="7"/>
  <c r="S18" i="7"/>
  <c r="S87" i="7"/>
  <c r="S114" i="7"/>
  <c r="S124" i="7"/>
  <c r="S229" i="7"/>
  <c r="S138" i="7"/>
  <c r="S76" i="7"/>
  <c r="S178" i="7"/>
  <c r="S45" i="7"/>
  <c r="S60" i="7"/>
  <c r="O180" i="7"/>
  <c r="O87" i="7"/>
  <c r="O58" i="7"/>
  <c r="O45" i="7"/>
  <c r="O114" i="7"/>
  <c r="O124" i="7"/>
  <c r="O138" i="7"/>
  <c r="O76" i="7"/>
  <c r="O60" i="7"/>
  <c r="O18" i="7"/>
  <c r="O178" i="7"/>
  <c r="O230" i="7"/>
  <c r="O56" i="7"/>
  <c r="O47" i="7"/>
  <c r="O33" i="7"/>
  <c r="O94" i="7"/>
  <c r="O157" i="7"/>
  <c r="O205" i="7"/>
  <c r="O229" i="7"/>
  <c r="AQ55" i="31" l="1"/>
  <c r="J134" i="7" s="1"/>
  <c r="BN14" i="31"/>
  <c r="BN26" i="31"/>
  <c r="BM38" i="31"/>
  <c r="BN15" i="31"/>
  <c r="G116" i="7"/>
  <c r="L140" i="7"/>
  <c r="L110" i="7"/>
  <c r="L39" i="7"/>
  <c r="L70" i="7"/>
  <c r="L55" i="7"/>
  <c r="L59" i="7"/>
  <c r="L167" i="7"/>
  <c r="L93" i="7"/>
  <c r="L224" i="7"/>
  <c r="L69" i="7"/>
  <c r="I55" i="7"/>
  <c r="I39" i="7"/>
  <c r="I167" i="7"/>
  <c r="I140" i="7"/>
  <c r="I70" i="7"/>
  <c r="I224" i="7"/>
  <c r="I59" i="7"/>
  <c r="I110" i="7"/>
  <c r="I69" i="7"/>
  <c r="I93" i="7"/>
  <c r="G182" i="7"/>
  <c r="J13" i="7"/>
  <c r="G134" i="7"/>
  <c r="G13" i="7"/>
  <c r="J182" i="7"/>
  <c r="J116" i="7"/>
  <c r="BN54" i="31"/>
  <c r="J167" i="7"/>
  <c r="BN38" i="31"/>
  <c r="AP53" i="31"/>
  <c r="I227" i="7" s="1"/>
  <c r="AP57" i="31"/>
  <c r="I202" i="7" s="1"/>
  <c r="AP50" i="31"/>
  <c r="I13" i="7" s="1"/>
  <c r="AP55" i="31"/>
  <c r="I134" i="7" s="1"/>
  <c r="AP56" i="31"/>
  <c r="I182" i="7" s="1"/>
  <c r="AP52" i="31"/>
  <c r="I125" i="7" s="1"/>
  <c r="AP51" i="31"/>
  <c r="BM51" i="31" s="1"/>
  <c r="AS51" i="31"/>
  <c r="BN51" i="31" s="1"/>
  <c r="AS52" i="31"/>
  <c r="BN52" i="31" s="1"/>
  <c r="AS56" i="31"/>
  <c r="L182" i="7" s="1"/>
  <c r="AS55" i="31"/>
  <c r="L134" i="7" s="1"/>
  <c r="AS50" i="31"/>
  <c r="L13" i="7" s="1"/>
  <c r="AP54" i="31"/>
  <c r="I116" i="7" s="1"/>
  <c r="AS53" i="31"/>
  <c r="L227" i="7" s="1"/>
  <c r="AS57" i="31"/>
  <c r="BN57" i="31" s="1"/>
  <c r="J197" i="7"/>
  <c r="J39" i="7"/>
  <c r="J70" i="7"/>
  <c r="J110" i="7"/>
  <c r="J69" i="7"/>
  <c r="J55" i="7"/>
  <c r="J59" i="7"/>
  <c r="J140" i="7"/>
  <c r="J93" i="7"/>
  <c r="J20" i="7"/>
  <c r="P14" i="19"/>
  <c r="Q14" i="19" s="1"/>
  <c r="R14" i="19" s="1"/>
  <c r="S14" i="19" s="1"/>
  <c r="P14" i="31" s="1" a="1"/>
  <c r="J91" i="7"/>
  <c r="J72" i="7"/>
  <c r="J62" i="7"/>
  <c r="J32" i="7"/>
  <c r="J224" i="7"/>
  <c r="J68" i="7"/>
  <c r="J166" i="7"/>
  <c r="J195" i="7"/>
  <c r="J199" i="7"/>
  <c r="I68" i="7"/>
  <c r="I197" i="7"/>
  <c r="I72" i="7"/>
  <c r="I195" i="7"/>
  <c r="I32" i="7"/>
  <c r="I91" i="7"/>
  <c r="I199" i="7"/>
  <c r="I166" i="7"/>
  <c r="I62" i="7"/>
  <c r="L20" i="7"/>
  <c r="L166" i="7"/>
  <c r="L62" i="7"/>
  <c r="L32" i="7"/>
  <c r="L72" i="7"/>
  <c r="L197" i="7"/>
  <c r="L199" i="7"/>
  <c r="L68" i="7"/>
  <c r="L195" i="7"/>
  <c r="L91" i="7"/>
  <c r="O227" i="7"/>
  <c r="O126" i="7"/>
  <c r="O105" i="7"/>
  <c r="K126" i="7"/>
  <c r="K227" i="7"/>
  <c r="K105" i="7"/>
  <c r="G202" i="7"/>
  <c r="G228" i="7"/>
  <c r="J105" i="7"/>
  <c r="J126" i="7"/>
  <c r="J227" i="7"/>
  <c r="G105" i="7"/>
  <c r="G126" i="7"/>
  <c r="G227" i="7"/>
  <c r="R105" i="7"/>
  <c r="R126" i="7"/>
  <c r="R227" i="7"/>
  <c r="J228" i="7"/>
  <c r="J202" i="7"/>
  <c r="N105" i="7"/>
  <c r="N126" i="7"/>
  <c r="N227" i="7"/>
  <c r="S126" i="7"/>
  <c r="S227" i="7"/>
  <c r="S105" i="7"/>
  <c r="G87" i="7"/>
  <c r="G58" i="7"/>
  <c r="G178" i="7"/>
  <c r="G230" i="7"/>
  <c r="G229" i="7"/>
  <c r="G94" i="7"/>
  <c r="G124" i="7"/>
  <c r="G18" i="7"/>
  <c r="G205" i="7"/>
  <c r="G33" i="7"/>
  <c r="G60" i="7"/>
  <c r="G138" i="7"/>
  <c r="G76" i="7"/>
  <c r="G180" i="7"/>
  <c r="G114" i="7"/>
  <c r="G56" i="7"/>
  <c r="G45" i="7"/>
  <c r="G47" i="7"/>
  <c r="G157" i="7"/>
  <c r="J147" i="7"/>
  <c r="J51" i="7"/>
  <c r="J84" i="7"/>
  <c r="J216" i="7"/>
  <c r="J208" i="7"/>
  <c r="J43" i="7"/>
  <c r="J198" i="7"/>
  <c r="J191" i="7"/>
  <c r="J156" i="7"/>
  <c r="J57" i="7"/>
  <c r="J44" i="7"/>
  <c r="J95" i="7"/>
  <c r="J125" i="7"/>
  <c r="J131" i="7"/>
  <c r="J50" i="7"/>
  <c r="J175" i="7"/>
  <c r="J74" i="7"/>
  <c r="J135" i="7"/>
  <c r="J77" i="7"/>
  <c r="J183" i="7"/>
  <c r="J189" i="7"/>
  <c r="J132" i="7"/>
  <c r="H126" i="7"/>
  <c r="H227" i="7"/>
  <c r="H105" i="7"/>
  <c r="J230" i="7"/>
  <c r="J76" i="7"/>
  <c r="J229" i="7"/>
  <c r="J33" i="7"/>
  <c r="J60" i="7"/>
  <c r="J87" i="7"/>
  <c r="J56" i="7"/>
  <c r="J45" i="7"/>
  <c r="J94" i="7"/>
  <c r="J157" i="7"/>
  <c r="J180" i="7"/>
  <c r="J205" i="7"/>
  <c r="J114" i="7"/>
  <c r="J124" i="7"/>
  <c r="J18" i="7"/>
  <c r="J58" i="7"/>
  <c r="J47" i="7"/>
  <c r="J138" i="7"/>
  <c r="J178" i="7"/>
  <c r="G43" i="7"/>
  <c r="G156" i="7"/>
  <c r="G175" i="7"/>
  <c r="G191" i="7"/>
  <c r="G95" i="7"/>
  <c r="G183" i="7"/>
  <c r="G74" i="7"/>
  <c r="G44" i="7"/>
  <c r="G208" i="7"/>
  <c r="G189" i="7"/>
  <c r="G84" i="7"/>
  <c r="G147" i="7"/>
  <c r="G77" i="7"/>
  <c r="G125" i="7"/>
  <c r="G131" i="7"/>
  <c r="G135" i="7"/>
  <c r="G132" i="7"/>
  <c r="G216" i="7"/>
  <c r="G57" i="7"/>
  <c r="G51" i="7"/>
  <c r="G50" i="7"/>
  <c r="G198" i="7"/>
  <c r="L14" i="31" a="1"/>
  <c r="BN56" i="31" l="1"/>
  <c r="BM52" i="31"/>
  <c r="BN53" i="31"/>
  <c r="BM50" i="31"/>
  <c r="BN55" i="31"/>
  <c r="BM55" i="31"/>
  <c r="BM57" i="31"/>
  <c r="BN50" i="31"/>
  <c r="BM56" i="31"/>
  <c r="BM54" i="31"/>
  <c r="BM53" i="31"/>
  <c r="I132" i="7"/>
  <c r="I198" i="7"/>
  <c r="I175" i="7"/>
  <c r="I156" i="7"/>
  <c r="I77" i="7"/>
  <c r="I74" i="7"/>
  <c r="I43" i="7"/>
  <c r="I183" i="7"/>
  <c r="I147" i="7"/>
  <c r="I135" i="7"/>
  <c r="I191" i="7"/>
  <c r="L126" i="7"/>
  <c r="I131" i="7"/>
  <c r="I189" i="7"/>
  <c r="I208" i="7"/>
  <c r="I216" i="7"/>
  <c r="I95" i="7"/>
  <c r="I51" i="7"/>
  <c r="I44" i="7"/>
  <c r="I228" i="7"/>
  <c r="I57" i="7"/>
  <c r="I50" i="7"/>
  <c r="L105" i="7"/>
  <c r="I84" i="7"/>
  <c r="I105" i="7"/>
  <c r="I126" i="7"/>
  <c r="L202" i="7"/>
  <c r="L228" i="7"/>
  <c r="I114" i="7"/>
  <c r="I87" i="7"/>
  <c r="I124" i="7"/>
  <c r="I230" i="7"/>
  <c r="I76" i="7"/>
  <c r="I94" i="7"/>
  <c r="I205" i="7"/>
  <c r="I47" i="7"/>
  <c r="I138" i="7"/>
  <c r="I45" i="7"/>
  <c r="I56" i="7"/>
  <c r="I180" i="7"/>
  <c r="I178" i="7"/>
  <c r="I18" i="7"/>
  <c r="I157" i="7"/>
  <c r="I229" i="7"/>
  <c r="I33" i="7"/>
  <c r="I60" i="7"/>
  <c r="I58" i="7"/>
  <c r="L132" i="7"/>
  <c r="L77" i="7"/>
  <c r="L175" i="7"/>
  <c r="L156" i="7"/>
  <c r="L125" i="7"/>
  <c r="L50" i="7"/>
  <c r="L147" i="7"/>
  <c r="L198" i="7"/>
  <c r="L135" i="7"/>
  <c r="L208" i="7"/>
  <c r="L183" i="7"/>
  <c r="L51" i="7"/>
  <c r="L57" i="7"/>
  <c r="L191" i="7"/>
  <c r="L131" i="7"/>
  <c r="L189" i="7"/>
  <c r="L95" i="7"/>
  <c r="L84" i="7"/>
  <c r="L216" i="7"/>
  <c r="L44" i="7"/>
  <c r="L74" i="7"/>
  <c r="L43" i="7"/>
  <c r="L180" i="7"/>
  <c r="L56" i="7"/>
  <c r="L229" i="7"/>
  <c r="L230" i="7"/>
  <c r="L178" i="7"/>
  <c r="L45" i="7"/>
  <c r="L205" i="7"/>
  <c r="L76" i="7"/>
  <c r="L138" i="7"/>
  <c r="L114" i="7"/>
  <c r="L60" i="7"/>
  <c r="L87" i="7"/>
  <c r="L124" i="7"/>
  <c r="L18" i="7"/>
  <c r="L94" i="7"/>
  <c r="L58" i="7"/>
  <c r="L33" i="7"/>
  <c r="L157" i="7"/>
  <c r="L47" i="7"/>
  <c r="AX35" i="31"/>
  <c r="AX41" i="31"/>
  <c r="Q152" i="7"/>
  <c r="AX42" i="31"/>
  <c r="AX43" i="31"/>
  <c r="Q173" i="7"/>
  <c r="Q160" i="7"/>
  <c r="Q200" i="7"/>
  <c r="AX27" i="31"/>
  <c r="AX45" i="31"/>
  <c r="Q106" i="7"/>
  <c r="Q65" i="7"/>
  <c r="Q89" i="7"/>
  <c r="Q192" i="7"/>
  <c r="Q80" i="7"/>
  <c r="AX25" i="31"/>
  <c r="AX36" i="31"/>
  <c r="Q66" i="7"/>
  <c r="AX37" i="31"/>
  <c r="Q24" i="7"/>
  <c r="Q170" i="7"/>
  <c r="Q186" i="7"/>
  <c r="Q190" i="7"/>
  <c r="Q169" i="7"/>
  <c r="AX39" i="31"/>
  <c r="P14" i="31"/>
  <c r="Q71" i="7"/>
  <c r="Q108" i="7"/>
  <c r="Q128" i="7"/>
  <c r="Q187" i="7"/>
  <c r="AX32" i="31"/>
  <c r="AX33" i="31"/>
  <c r="AX40" i="31"/>
  <c r="Q122" i="7"/>
  <c r="Q100" i="7"/>
  <c r="Q81" i="7"/>
  <c r="Q219" i="7"/>
  <c r="AX34" i="31"/>
  <c r="AX44" i="31"/>
  <c r="Q86" i="7"/>
  <c r="Q31" i="7"/>
  <c r="AT27" i="31"/>
  <c r="AT25" i="31"/>
  <c r="AT35" i="31"/>
  <c r="AT36" i="31"/>
  <c r="AT45" i="31"/>
  <c r="AT34" i="31"/>
  <c r="AT39" i="31"/>
  <c r="AT43" i="31"/>
  <c r="AT33" i="31"/>
  <c r="AT44" i="31"/>
  <c r="AT42" i="31"/>
  <c r="AT37" i="31"/>
  <c r="AT32" i="31"/>
  <c r="AT40" i="31"/>
  <c r="AT41" i="31"/>
  <c r="L14" i="31"/>
  <c r="M34" i="7" l="1"/>
  <c r="Q215" i="7"/>
  <c r="M174" i="7"/>
  <c r="Q34" i="7"/>
  <c r="Q177" i="7"/>
  <c r="M200" i="7"/>
  <c r="Q136" i="7"/>
  <c r="M217" i="7"/>
  <c r="Q204" i="7"/>
  <c r="Q155" i="7"/>
  <c r="M36" i="7"/>
  <c r="M108" i="7"/>
  <c r="M28" i="7"/>
  <c r="M103" i="7"/>
  <c r="Q83" i="7"/>
  <c r="Q104" i="7"/>
  <c r="Q194" i="7"/>
  <c r="Q181" i="7"/>
  <c r="M71" i="7"/>
  <c r="M53" i="7"/>
  <c r="M168" i="7"/>
  <c r="Q162" i="7"/>
  <c r="Q159" i="7"/>
  <c r="M154" i="7"/>
  <c r="M139" i="7"/>
  <c r="Q148" i="7"/>
  <c r="Q48" i="7"/>
  <c r="M190" i="7"/>
  <c r="Q221" i="7"/>
  <c r="M42" i="7"/>
  <c r="M23" i="7"/>
  <c r="M111" i="7"/>
  <c r="Q42" i="7"/>
  <c r="M225" i="7"/>
  <c r="Q174" i="7"/>
  <c r="M117" i="7"/>
  <c r="Q225" i="7"/>
  <c r="Q102" i="7"/>
  <c r="Q117" i="7"/>
  <c r="M112" i="7"/>
  <c r="Q109" i="7"/>
  <c r="M221" i="7"/>
  <c r="M54" i="7"/>
  <c r="Q28" i="7"/>
  <c r="Q220" i="7"/>
  <c r="M192" i="7"/>
  <c r="M219" i="7"/>
  <c r="M65" i="7"/>
  <c r="M206" i="7"/>
  <c r="M164" i="7"/>
  <c r="Q53" i="7"/>
  <c r="Q164" i="7"/>
  <c r="M173" i="7"/>
  <c r="M193" i="7"/>
  <c r="M128" i="7"/>
  <c r="M186" i="7"/>
  <c r="M31" i="7"/>
  <c r="M102" i="7"/>
  <c r="M133" i="7"/>
  <c r="M160" i="7"/>
  <c r="M106" i="7"/>
  <c r="M89" i="7"/>
  <c r="Q111" i="7"/>
  <c r="Q206" i="7"/>
  <c r="Q23" i="7"/>
  <c r="Q154" i="7"/>
  <c r="M122" i="7"/>
  <c r="M187" i="7"/>
  <c r="M109" i="7"/>
  <c r="M100" i="7"/>
  <c r="M75" i="7"/>
  <c r="M170" i="7"/>
  <c r="Q193" i="7"/>
  <c r="Q168" i="7"/>
  <c r="Q36" i="7"/>
  <c r="Q112" i="7"/>
  <c r="Q139" i="7"/>
  <c r="Q103" i="7"/>
  <c r="M169" i="7"/>
  <c r="M152" i="7"/>
  <c r="M24" i="7"/>
  <c r="M81" i="7"/>
  <c r="M86" i="7"/>
  <c r="M220" i="7"/>
  <c r="M80" i="7"/>
  <c r="M66" i="7"/>
  <c r="M48" i="7"/>
  <c r="Q133" i="7"/>
  <c r="Q54" i="7"/>
  <c r="Q75" i="7"/>
  <c r="Q217" i="7"/>
  <c r="Q90" i="7"/>
  <c r="Q78" i="7"/>
  <c r="Q120" i="7"/>
  <c r="Q123" i="7"/>
  <c r="Q46" i="7"/>
  <c r="Q165" i="7"/>
  <c r="Q223" i="7"/>
  <c r="Q26" i="7"/>
  <c r="Q163" i="7"/>
  <c r="Q184" i="7"/>
  <c r="AX26" i="31"/>
  <c r="Q161" i="7"/>
  <c r="Q153" i="7"/>
  <c r="Q119" i="7"/>
  <c r="Q150" i="7"/>
  <c r="AX14" i="31"/>
  <c r="Q179" i="7"/>
  <c r="Q41" i="7"/>
  <c r="AX38" i="31"/>
  <c r="Q27" i="7"/>
  <c r="Q203" i="7"/>
  <c r="Q218" i="7"/>
  <c r="Q82" i="7"/>
  <c r="Q172" i="7"/>
  <c r="Q16" i="7"/>
  <c r="Q92" i="7"/>
  <c r="Q185" i="7"/>
  <c r="Q49" i="7"/>
  <c r="Q63" i="7"/>
  <c r="Q171" i="7"/>
  <c r="Q22" i="7"/>
  <c r="Q15" i="7"/>
  <c r="Q67" i="7"/>
  <c r="Q211" i="7"/>
  <c r="Q146" i="7"/>
  <c r="Q97" i="7"/>
  <c r="Q21" i="7"/>
  <c r="Q142" i="7"/>
  <c r="Q213" i="7"/>
  <c r="Q118" i="7"/>
  <c r="Q113" i="7"/>
  <c r="Q37" i="7"/>
  <c r="Q30" i="7"/>
  <c r="Q25" i="7"/>
  <c r="Q158" i="7"/>
  <c r="Q212" i="7"/>
  <c r="Q145" i="7"/>
  <c r="Q85" i="7"/>
  <c r="Q14" i="7"/>
  <c r="Q98" i="7"/>
  <c r="Q209" i="7"/>
  <c r="Q107" i="7"/>
  <c r="Q101" i="7"/>
  <c r="Q52" i="7"/>
  <c r="Q143" i="7"/>
  <c r="Q127" i="7"/>
  <c r="Q201" i="7"/>
  <c r="Q129" i="7"/>
  <c r="Q88" i="7"/>
  <c r="Q222" i="7"/>
  <c r="Q61" i="7"/>
  <c r="Q64" i="7"/>
  <c r="Q137" i="7"/>
  <c r="Q17" i="7"/>
  <c r="Q176" i="7"/>
  <c r="Q188" i="7"/>
  <c r="Q19" i="7"/>
  <c r="Q130" i="7"/>
  <c r="Q99" i="7"/>
  <c r="Q79" i="7"/>
  <c r="Q121" i="7"/>
  <c r="Q207" i="7"/>
  <c r="Q29" i="7"/>
  <c r="Q40" i="7"/>
  <c r="Q73" i="7"/>
  <c r="Q141" i="7"/>
  <c r="Q144" i="7"/>
  <c r="Q151" i="7"/>
  <c r="Q214" i="7"/>
  <c r="Q196" i="7"/>
  <c r="Q38" i="7"/>
  <c r="Q149" i="7"/>
  <c r="Q115" i="7"/>
  <c r="Q226" i="7"/>
  <c r="Q210" i="7"/>
  <c r="Q96" i="7"/>
  <c r="Q35" i="7"/>
  <c r="AX17" i="31"/>
  <c r="AX19" i="31"/>
  <c r="AX16" i="31"/>
  <c r="AX18" i="31"/>
  <c r="AX20" i="31"/>
  <c r="AX15" i="31"/>
  <c r="M209" i="7"/>
  <c r="M163" i="7"/>
  <c r="M215" i="7"/>
  <c r="M79" i="7"/>
  <c r="M137" i="7"/>
  <c r="M15" i="7"/>
  <c r="M104" i="7"/>
  <c r="M146" i="7"/>
  <c r="M67" i="7"/>
  <c r="M123" i="7"/>
  <c r="M211" i="7"/>
  <c r="M97" i="7"/>
  <c r="M155" i="7"/>
  <c r="M98" i="7"/>
  <c r="M194" i="7"/>
  <c r="M171" i="7"/>
  <c r="M185" i="7"/>
  <c r="M210" i="7"/>
  <c r="M196" i="7"/>
  <c r="M40" i="7"/>
  <c r="M226" i="7"/>
  <c r="M22" i="7"/>
  <c r="M19" i="7"/>
  <c r="M214" i="7"/>
  <c r="M49" i="7"/>
  <c r="M29" i="7"/>
  <c r="M96" i="7"/>
  <c r="M63" i="7"/>
  <c r="M26" i="7"/>
  <c r="M121" i="7"/>
  <c r="M148" i="7"/>
  <c r="M141" i="7"/>
  <c r="M115" i="7"/>
  <c r="M176" i="7"/>
  <c r="M223" i="7"/>
  <c r="M165" i="7"/>
  <c r="M144" i="7"/>
  <c r="M188" i="7"/>
  <c r="M46" i="7"/>
  <c r="M207" i="7"/>
  <c r="AT26" i="31"/>
  <c r="M153" i="7"/>
  <c r="M184" i="7"/>
  <c r="M82" i="7"/>
  <c r="M159" i="7"/>
  <c r="M92" i="7"/>
  <c r="M99" i="7"/>
  <c r="M203" i="7"/>
  <c r="M150" i="7"/>
  <c r="M16" i="7"/>
  <c r="M41" i="7"/>
  <c r="M130" i="7"/>
  <c r="M73" i="7"/>
  <c r="M38" i="7"/>
  <c r="M149" i="7"/>
  <c r="M83" i="7"/>
  <c r="M222" i="7"/>
  <c r="M120" i="7"/>
  <c r="M204" i="7"/>
  <c r="M212" i="7"/>
  <c r="M118" i="7"/>
  <c r="M181" i="7"/>
  <c r="M25" i="7"/>
  <c r="M37" i="7"/>
  <c r="M213" i="7"/>
  <c r="M30" i="7"/>
  <c r="M113" i="7"/>
  <c r="M142" i="7"/>
  <c r="M21" i="7"/>
  <c r="M145" i="7"/>
  <c r="M85" i="7"/>
  <c r="M14" i="7"/>
  <c r="M158" i="7"/>
  <c r="M218" i="7"/>
  <c r="M161" i="7"/>
  <c r="M172" i="7"/>
  <c r="M179" i="7"/>
  <c r="M136" i="7"/>
  <c r="M27" i="7"/>
  <c r="M119" i="7"/>
  <c r="M177" i="7"/>
  <c r="M88" i="7"/>
  <c r="M52" i="7"/>
  <c r="M201" i="7"/>
  <c r="M107" i="7"/>
  <c r="M127" i="7"/>
  <c r="M64" i="7"/>
  <c r="M129" i="7"/>
  <c r="M78" i="7"/>
  <c r="M90" i="7"/>
  <c r="M61" i="7"/>
  <c r="M17" i="7"/>
  <c r="M143" i="7"/>
  <c r="M101" i="7"/>
  <c r="M162" i="7"/>
  <c r="M151" i="7"/>
  <c r="M35" i="7"/>
  <c r="AT38" i="31"/>
  <c r="AT14" i="31"/>
  <c r="AT16" i="31"/>
  <c r="AT18" i="31"/>
  <c r="AT20" i="31"/>
  <c r="AT15" i="31"/>
  <c r="AT17" i="31"/>
  <c r="AT19" i="31"/>
  <c r="J4" i="17"/>
  <c r="J3" i="17"/>
  <c r="G7" i="17"/>
  <c r="G6" i="17"/>
  <c r="G5" i="17"/>
  <c r="G4" i="17"/>
  <c r="AT54" i="31" l="1"/>
  <c r="M116" i="7" s="1"/>
  <c r="AX54" i="31"/>
  <c r="Q116" i="7" s="1"/>
  <c r="Q197" i="7"/>
  <c r="Q39" i="7"/>
  <c r="Q140" i="7"/>
  <c r="Q69" i="7"/>
  <c r="Q110" i="7"/>
  <c r="Q93" i="7"/>
  <c r="Q55" i="7"/>
  <c r="Q224" i="7"/>
  <c r="Q59" i="7"/>
  <c r="Q70" i="7"/>
  <c r="Q167" i="7"/>
  <c r="M167" i="7"/>
  <c r="M59" i="7"/>
  <c r="M69" i="7"/>
  <c r="M55" i="7"/>
  <c r="M110" i="7"/>
  <c r="M70" i="7"/>
  <c r="M93" i="7"/>
  <c r="M140" i="7"/>
  <c r="M39" i="7"/>
  <c r="M224" i="7"/>
  <c r="M20" i="7"/>
  <c r="Q20" i="7"/>
  <c r="M19" i="17"/>
  <c r="M27" i="17"/>
  <c r="M35" i="17"/>
  <c r="M43" i="17"/>
  <c r="M51" i="17"/>
  <c r="M59" i="17"/>
  <c r="M67" i="17"/>
  <c r="M75" i="17"/>
  <c r="M29" i="17"/>
  <c r="M45" i="17"/>
  <c r="M61" i="17"/>
  <c r="M20" i="17"/>
  <c r="M28" i="17"/>
  <c r="M36" i="17"/>
  <c r="M44" i="17"/>
  <c r="M52" i="17"/>
  <c r="M60" i="17"/>
  <c r="M68" i="17"/>
  <c r="M14" i="17"/>
  <c r="M21" i="17"/>
  <c r="M37" i="17"/>
  <c r="M53" i="17"/>
  <c r="M69" i="17"/>
  <c r="M22" i="17"/>
  <c r="M30" i="17"/>
  <c r="M38" i="17"/>
  <c r="M46" i="17"/>
  <c r="M54" i="17"/>
  <c r="M62" i="17"/>
  <c r="M70" i="17"/>
  <c r="M57" i="17"/>
  <c r="M18" i="17"/>
  <c r="M34" i="17"/>
  <c r="M58" i="17"/>
  <c r="M74" i="17"/>
  <c r="M15" i="17"/>
  <c r="M23" i="17"/>
  <c r="M31" i="17"/>
  <c r="M39" i="17"/>
  <c r="M47" i="17"/>
  <c r="M55" i="17"/>
  <c r="M63" i="17"/>
  <c r="M71" i="17"/>
  <c r="M16" i="17"/>
  <c r="M24" i="17"/>
  <c r="M32" i="17"/>
  <c r="M40" i="17"/>
  <c r="M48" i="17"/>
  <c r="M56" i="17"/>
  <c r="M64" i="17"/>
  <c r="M72" i="17"/>
  <c r="M17" i="17"/>
  <c r="M25" i="17"/>
  <c r="M33" i="17"/>
  <c r="M41" i="17"/>
  <c r="M49" i="17"/>
  <c r="M65" i="17"/>
  <c r="M73" i="17"/>
  <c r="M26" i="17"/>
  <c r="M42" i="17"/>
  <c r="M50" i="17"/>
  <c r="M66" i="17"/>
  <c r="AT55" i="31"/>
  <c r="AT50" i="31"/>
  <c r="AX57" i="31"/>
  <c r="AX53" i="31"/>
  <c r="AT51" i="31"/>
  <c r="AT56" i="31"/>
  <c r="AT52" i="31"/>
  <c r="AX50" i="31"/>
  <c r="AX55" i="31"/>
  <c r="AT53" i="31"/>
  <c r="AT57" i="31"/>
  <c r="AX52" i="31"/>
  <c r="AX56" i="31"/>
  <c r="AX51" i="31"/>
  <c r="Q195" i="7"/>
  <c r="Q166" i="7"/>
  <c r="Q62" i="7"/>
  <c r="Q72" i="7"/>
  <c r="Q91" i="7"/>
  <c r="Q199" i="7"/>
  <c r="Q32" i="7"/>
  <c r="Q68" i="7"/>
  <c r="M199" i="7"/>
  <c r="M68" i="7"/>
  <c r="M91" i="7"/>
  <c r="M62" i="7"/>
  <c r="M166" i="7"/>
  <c r="M197" i="7"/>
  <c r="M72" i="7"/>
  <c r="M195" i="7"/>
  <c r="M32" i="7"/>
  <c r="R12" i="14"/>
  <c r="R10" i="14"/>
  <c r="M13" i="7" l="1"/>
  <c r="Q134" i="7"/>
  <c r="M134" i="7"/>
  <c r="Q13" i="7"/>
  <c r="M182" i="7"/>
  <c r="Q182" i="7"/>
  <c r="Q189" i="7"/>
  <c r="Q74" i="7"/>
  <c r="Q156" i="7"/>
  <c r="Q43" i="7"/>
  <c r="Q57" i="7"/>
  <c r="Q135" i="7"/>
  <c r="Q132" i="7"/>
  <c r="Q198" i="7"/>
  <c r="Q183" i="7"/>
  <c r="Q216" i="7"/>
  <c r="Q175" i="7"/>
  <c r="Q125" i="7"/>
  <c r="Q84" i="7"/>
  <c r="Q44" i="7"/>
  <c r="Q147" i="7"/>
  <c r="Q191" i="7"/>
  <c r="Q95" i="7"/>
  <c r="Q208" i="7"/>
  <c r="Q77" i="7"/>
  <c r="Q50" i="7"/>
  <c r="Q51" i="7"/>
  <c r="Q131" i="7"/>
  <c r="Q126" i="7"/>
  <c r="Q227" i="7"/>
  <c r="Q105" i="7"/>
  <c r="Q58" i="7"/>
  <c r="Q138" i="7"/>
  <c r="Q230" i="7"/>
  <c r="Q76" i="7"/>
  <c r="Q205" i="7"/>
  <c r="Q45" i="7"/>
  <c r="Q157" i="7"/>
  <c r="Q56" i="7"/>
  <c r="Q180" i="7"/>
  <c r="Q114" i="7"/>
  <c r="Q124" i="7"/>
  <c r="Q94" i="7"/>
  <c r="Q229" i="7"/>
  <c r="Q87" i="7"/>
  <c r="Q178" i="7"/>
  <c r="Q47" i="7"/>
  <c r="Q60" i="7"/>
  <c r="Q33" i="7"/>
  <c r="Q18" i="7"/>
  <c r="Q228" i="7"/>
  <c r="Q202" i="7"/>
  <c r="M228" i="7"/>
  <c r="M202" i="7"/>
  <c r="M227" i="7"/>
  <c r="M105" i="7"/>
  <c r="M126" i="7"/>
  <c r="M229" i="7"/>
  <c r="M58" i="7"/>
  <c r="M18" i="7"/>
  <c r="M138" i="7"/>
  <c r="M87" i="7"/>
  <c r="M157" i="7"/>
  <c r="M178" i="7"/>
  <c r="M47" i="7"/>
  <c r="M45" i="7"/>
  <c r="M180" i="7"/>
  <c r="M114" i="7"/>
  <c r="M33" i="7"/>
  <c r="M56" i="7"/>
  <c r="M230" i="7"/>
  <c r="M60" i="7"/>
  <c r="M94" i="7"/>
  <c r="M124" i="7"/>
  <c r="M76" i="7"/>
  <c r="M205" i="7"/>
  <c r="M125" i="7"/>
  <c r="M183" i="7"/>
  <c r="M51" i="7"/>
  <c r="M77" i="7"/>
  <c r="M131" i="7"/>
  <c r="M44" i="7"/>
  <c r="M156" i="7"/>
  <c r="M95" i="7"/>
  <c r="M132" i="7"/>
  <c r="M147" i="7"/>
  <c r="M216" i="7"/>
  <c r="M135" i="7"/>
  <c r="M50" i="7"/>
  <c r="M191" i="7"/>
  <c r="M198" i="7"/>
  <c r="M74" i="7"/>
  <c r="M43" i="7"/>
  <c r="M84" i="7"/>
  <c r="M189" i="7"/>
  <c r="M175" i="7"/>
  <c r="M208" i="7"/>
  <c r="M57" i="7"/>
  <c r="R11" i="14"/>
  <c r="R7" i="14" l="1"/>
  <c r="J13" i="14" s="1"/>
  <c r="J14" i="14" s="1"/>
  <c r="J17" i="14" l="1"/>
  <c r="J15" i="14"/>
  <c r="D24" i="14"/>
  <c r="H90" i="14" l="1"/>
  <c r="H74" i="14"/>
  <c r="G27" i="14"/>
  <c r="H106" i="14"/>
  <c r="G51" i="14"/>
  <c r="H82" i="14"/>
  <c r="G35" i="14"/>
  <c r="H98" i="14"/>
  <c r="G59" i="14"/>
  <c r="G43" i="14"/>
  <c r="H53" i="14"/>
  <c r="H93" i="14"/>
  <c r="H59" i="14"/>
  <c r="G106" i="14"/>
  <c r="H48" i="14"/>
  <c r="H44" i="14"/>
  <c r="H30" i="14"/>
  <c r="H110" i="14"/>
  <c r="G41" i="14"/>
  <c r="G47" i="14"/>
  <c r="G49" i="14"/>
  <c r="H83" i="14"/>
  <c r="H68" i="14"/>
  <c r="H94" i="14"/>
  <c r="G79" i="14"/>
  <c r="H112" i="14"/>
  <c r="G63" i="14"/>
  <c r="H86" i="14"/>
  <c r="H107" i="14"/>
  <c r="G61" i="14"/>
  <c r="G50" i="14"/>
  <c r="G80" i="14"/>
  <c r="H115" i="14"/>
  <c r="G82" i="14"/>
  <c r="G54" i="14"/>
  <c r="H39" i="14"/>
  <c r="G105" i="14"/>
  <c r="H33" i="14"/>
  <c r="G115" i="14"/>
  <c r="G104" i="14"/>
  <c r="H40" i="14"/>
  <c r="H85" i="14"/>
  <c r="H65" i="14"/>
  <c r="G31" i="14"/>
  <c r="H36" i="14"/>
  <c r="H97" i="14"/>
  <c r="G101" i="14"/>
  <c r="H50" i="14"/>
  <c r="G108" i="14"/>
  <c r="G89" i="14"/>
  <c r="H87" i="14"/>
  <c r="G75" i="14"/>
  <c r="G48" i="14"/>
  <c r="H77" i="14"/>
  <c r="H25" i="14"/>
  <c r="J25" i="14" s="1"/>
  <c r="K25" i="14" s="1"/>
  <c r="H60" i="14"/>
  <c r="H102" i="14"/>
  <c r="H43" i="14"/>
  <c r="H103" i="14"/>
  <c r="G60" i="14"/>
  <c r="G100" i="14"/>
  <c r="G53" i="14"/>
  <c r="G98" i="14"/>
  <c r="H26" i="14"/>
  <c r="H35" i="14"/>
  <c r="H64" i="14"/>
  <c r="H58" i="14"/>
  <c r="G44" i="14"/>
  <c r="G30" i="14"/>
  <c r="G110" i="14"/>
  <c r="H41" i="14"/>
  <c r="H47" i="14"/>
  <c r="H49" i="14"/>
  <c r="G83" i="14"/>
  <c r="G68" i="14"/>
  <c r="G94" i="14"/>
  <c r="H79" i="14"/>
  <c r="G112" i="14"/>
  <c r="H63" i="14"/>
  <c r="G86" i="14"/>
  <c r="G107" i="14"/>
  <c r="G77" i="14"/>
  <c r="G58" i="14"/>
  <c r="G88" i="14"/>
  <c r="H80" i="14"/>
  <c r="G57" i="14"/>
  <c r="G114" i="14"/>
  <c r="G69" i="14"/>
  <c r="G93" i="14"/>
  <c r="H42" i="14"/>
  <c r="G71" i="14"/>
  <c r="H67" i="14"/>
  <c r="G87" i="14"/>
  <c r="H75" i="14"/>
  <c r="G40" i="14"/>
  <c r="H61" i="14"/>
  <c r="G70" i="14"/>
  <c r="H31" i="14"/>
  <c r="H95" i="14"/>
  <c r="G37" i="14"/>
  <c r="G74" i="14"/>
  <c r="H109" i="14"/>
  <c r="H113" i="14"/>
  <c r="H46" i="14"/>
  <c r="G45" i="14"/>
  <c r="G90" i="14"/>
  <c r="G72" i="14"/>
  <c r="G113" i="14"/>
  <c r="G46" i="14"/>
  <c r="G81" i="14"/>
  <c r="G64" i="14"/>
  <c r="H104" i="14"/>
  <c r="H45" i="14"/>
  <c r="H27" i="14"/>
  <c r="H37" i="14"/>
  <c r="H76" i="14"/>
  <c r="H54" i="14"/>
  <c r="G55" i="14"/>
  <c r="G39" i="14"/>
  <c r="H73" i="14"/>
  <c r="H57" i="14"/>
  <c r="H92" i="14"/>
  <c r="H105" i="14"/>
  <c r="H114" i="14"/>
  <c r="H99" i="14"/>
  <c r="H84" i="14"/>
  <c r="G33" i="14"/>
  <c r="H69" i="14"/>
  <c r="H91" i="14"/>
  <c r="G85" i="14"/>
  <c r="G66" i="14"/>
  <c r="G96" i="14"/>
  <c r="H32" i="14"/>
  <c r="H55" i="14"/>
  <c r="G92" i="14"/>
  <c r="G99" i="14"/>
  <c r="G91" i="14"/>
  <c r="G32" i="14"/>
  <c r="H29" i="14"/>
  <c r="H108" i="14"/>
  <c r="H89" i="14"/>
  <c r="H52" i="14"/>
  <c r="G95" i="14"/>
  <c r="G29" i="14"/>
  <c r="H51" i="14"/>
  <c r="H71" i="14"/>
  <c r="G67" i="14"/>
  <c r="G36" i="14"/>
  <c r="G97" i="14"/>
  <c r="H101" i="14"/>
  <c r="H72" i="14"/>
  <c r="G111" i="14"/>
  <c r="H62" i="14"/>
  <c r="H100" i="14"/>
  <c r="H81" i="14"/>
  <c r="G56" i="14"/>
  <c r="H88" i="14"/>
  <c r="G109" i="14"/>
  <c r="H111" i="14"/>
  <c r="G78" i="14"/>
  <c r="G38" i="14"/>
  <c r="G42" i="14"/>
  <c r="H34" i="14"/>
  <c r="G76" i="14"/>
  <c r="G73" i="14"/>
  <c r="G84" i="14"/>
  <c r="H70" i="14"/>
  <c r="H28" i="14"/>
  <c r="H96" i="14"/>
  <c r="G65" i="14"/>
  <c r="G52" i="14"/>
  <c r="G28" i="14"/>
  <c r="G26" i="14"/>
  <c r="H56" i="14"/>
  <c r="G103" i="14"/>
  <c r="H78" i="14"/>
  <c r="H38" i="14"/>
  <c r="G34" i="14"/>
  <c r="H66" i="14"/>
  <c r="G25" i="14"/>
  <c r="I25" i="14" s="1"/>
  <c r="G62" i="14"/>
  <c r="G102" i="14"/>
  <c r="G116" i="14"/>
  <c r="U12" i="14"/>
  <c r="U11" i="14"/>
  <c r="U10" i="14"/>
  <c r="U9" i="14"/>
  <c r="T25" i="14"/>
  <c r="U7" i="14"/>
  <c r="U6" i="14"/>
  <c r="D14" i="17" a="1"/>
  <c r="D14" i="17" s="1"/>
  <c r="C14" i="17" a="1"/>
  <c r="E15" i="12" a="1"/>
  <c r="E15" i="12" s="1"/>
  <c r="D15" i="12" a="1"/>
  <c r="D15" i="12" s="1"/>
  <c r="I26" i="14" l="1"/>
  <c r="I27" i="14" s="1"/>
  <c r="J28" i="14" s="1"/>
  <c r="K28" i="14" s="1"/>
  <c r="J26" i="14"/>
  <c r="K26" i="14" s="1"/>
  <c r="O24" i="14"/>
  <c r="P24" i="14" s="1"/>
  <c r="S34" i="17"/>
  <c r="T34" i="17" s="1"/>
  <c r="S42" i="17"/>
  <c r="T42" i="17" s="1"/>
  <c r="S50" i="17"/>
  <c r="T50" i="17" s="1"/>
  <c r="S58" i="17"/>
  <c r="T58" i="17" s="1"/>
  <c r="S66" i="17"/>
  <c r="T66" i="17" s="1"/>
  <c r="S74" i="17"/>
  <c r="T74" i="17" s="1"/>
  <c r="S21" i="17"/>
  <c r="T21" i="17" s="1"/>
  <c r="S29" i="17"/>
  <c r="T29" i="17" s="1"/>
  <c r="S41" i="17"/>
  <c r="T41" i="17" s="1"/>
  <c r="S65" i="17"/>
  <c r="T65" i="17" s="1"/>
  <c r="S35" i="17"/>
  <c r="T35" i="17" s="1"/>
  <c r="S43" i="17"/>
  <c r="T43" i="17" s="1"/>
  <c r="S51" i="17"/>
  <c r="T51" i="17" s="1"/>
  <c r="S59" i="17"/>
  <c r="T59" i="17" s="1"/>
  <c r="S67" i="17"/>
  <c r="T67" i="17" s="1"/>
  <c r="S75" i="17"/>
  <c r="T75" i="17" s="1"/>
  <c r="S22" i="17"/>
  <c r="T22" i="17" s="1"/>
  <c r="S30" i="17"/>
  <c r="T30" i="17" s="1"/>
  <c r="S16" i="17"/>
  <c r="T16" i="17" s="1"/>
  <c r="S54" i="17"/>
  <c r="T54" i="17" s="1"/>
  <c r="S25" i="17"/>
  <c r="T25" i="17" s="1"/>
  <c r="S56" i="17"/>
  <c r="T56" i="17" s="1"/>
  <c r="S19" i="17"/>
  <c r="T19" i="17" s="1"/>
  <c r="S20" i="17"/>
  <c r="T20" i="17" s="1"/>
  <c r="S36" i="17"/>
  <c r="T36" i="17" s="1"/>
  <c r="S44" i="17"/>
  <c r="T44" i="17" s="1"/>
  <c r="S52" i="17"/>
  <c r="T52" i="17" s="1"/>
  <c r="S60" i="17"/>
  <c r="T60" i="17" s="1"/>
  <c r="S68" i="17"/>
  <c r="T68" i="17" s="1"/>
  <c r="S15" i="17"/>
  <c r="T15" i="17" s="1"/>
  <c r="S23" i="17"/>
  <c r="T23" i="17" s="1"/>
  <c r="S31" i="17"/>
  <c r="T31" i="17" s="1"/>
  <c r="S69" i="17"/>
  <c r="T69" i="17" s="1"/>
  <c r="S32" i="17"/>
  <c r="T32" i="17" s="1"/>
  <c r="S38" i="17"/>
  <c r="T38" i="17" s="1"/>
  <c r="S17" i="17"/>
  <c r="T17" i="17" s="1"/>
  <c r="S48" i="17"/>
  <c r="T48" i="17" s="1"/>
  <c r="S27" i="17"/>
  <c r="T27" i="17" s="1"/>
  <c r="S49" i="17"/>
  <c r="T49" i="17" s="1"/>
  <c r="S28" i="17"/>
  <c r="T28" i="17" s="1"/>
  <c r="S37" i="17"/>
  <c r="T37" i="17" s="1"/>
  <c r="S45" i="17"/>
  <c r="T45" i="17" s="1"/>
  <c r="S53" i="17"/>
  <c r="T53" i="17" s="1"/>
  <c r="S61" i="17"/>
  <c r="T61" i="17" s="1"/>
  <c r="S24" i="17"/>
  <c r="T24" i="17" s="1"/>
  <c r="S46" i="17"/>
  <c r="T46" i="17" s="1"/>
  <c r="S70" i="17"/>
  <c r="T70" i="17" s="1"/>
  <c r="S33" i="17"/>
  <c r="T33" i="17" s="1"/>
  <c r="S64" i="17"/>
  <c r="T64" i="17" s="1"/>
  <c r="S57" i="17"/>
  <c r="T57" i="17" s="1"/>
  <c r="S73" i="17"/>
  <c r="T73" i="17" s="1"/>
  <c r="S62" i="17"/>
  <c r="T62" i="17" s="1"/>
  <c r="S39" i="17"/>
  <c r="T39" i="17" s="1"/>
  <c r="S47" i="17"/>
  <c r="T47" i="17" s="1"/>
  <c r="S55" i="17"/>
  <c r="T55" i="17" s="1"/>
  <c r="S63" i="17"/>
  <c r="T63" i="17" s="1"/>
  <c r="S71" i="17"/>
  <c r="T71" i="17" s="1"/>
  <c r="S18" i="17"/>
  <c r="T18" i="17" s="1"/>
  <c r="S26" i="17"/>
  <c r="T26" i="17" s="1"/>
  <c r="S40" i="17"/>
  <c r="T40" i="17" s="1"/>
  <c r="S72" i="17"/>
  <c r="T72" i="17" s="1"/>
  <c r="O34" i="17"/>
  <c r="P34" i="17" s="1"/>
  <c r="O42" i="17"/>
  <c r="P42" i="17" s="1"/>
  <c r="O50" i="17"/>
  <c r="P50" i="17" s="1"/>
  <c r="O58" i="17"/>
  <c r="P58" i="17" s="1"/>
  <c r="O66" i="17"/>
  <c r="P66" i="17" s="1"/>
  <c r="O74" i="17"/>
  <c r="P74" i="17" s="1"/>
  <c r="O21" i="17"/>
  <c r="P21" i="17" s="1"/>
  <c r="O29" i="17"/>
  <c r="P29" i="17" s="1"/>
  <c r="I39" i="17"/>
  <c r="J39" i="17" s="1"/>
  <c r="I47" i="17"/>
  <c r="J47" i="17" s="1"/>
  <c r="I55" i="17"/>
  <c r="J55" i="17" s="1"/>
  <c r="I63" i="17"/>
  <c r="J63" i="17" s="1"/>
  <c r="I71" i="17"/>
  <c r="J71" i="17" s="1"/>
  <c r="I18" i="17"/>
  <c r="J18" i="17" s="1"/>
  <c r="I26" i="17"/>
  <c r="J26" i="17" s="1"/>
  <c r="O40" i="17"/>
  <c r="P40" i="17" s="1"/>
  <c r="O27" i="17"/>
  <c r="P27" i="17" s="1"/>
  <c r="I69" i="17"/>
  <c r="J69" i="17" s="1"/>
  <c r="O35" i="17"/>
  <c r="P35" i="17" s="1"/>
  <c r="O43" i="17"/>
  <c r="P43" i="17" s="1"/>
  <c r="O51" i="17"/>
  <c r="P51" i="17" s="1"/>
  <c r="O59" i="17"/>
  <c r="P59" i="17" s="1"/>
  <c r="O67" i="17"/>
  <c r="P67" i="17" s="1"/>
  <c r="O75" i="17"/>
  <c r="P75" i="17" s="1"/>
  <c r="O22" i="17"/>
  <c r="P22" i="17" s="1"/>
  <c r="O30" i="17"/>
  <c r="P30" i="17" s="1"/>
  <c r="I40" i="17"/>
  <c r="J40" i="17" s="1"/>
  <c r="I48" i="17"/>
  <c r="J48" i="17" s="1"/>
  <c r="I56" i="17"/>
  <c r="J56" i="17" s="1"/>
  <c r="I64" i="17"/>
  <c r="J64" i="17" s="1"/>
  <c r="I72" i="17"/>
  <c r="J72" i="17" s="1"/>
  <c r="I19" i="17"/>
  <c r="J19" i="17" s="1"/>
  <c r="I27" i="17"/>
  <c r="J27" i="17" s="1"/>
  <c r="O48" i="17"/>
  <c r="P48" i="17" s="1"/>
  <c r="I61" i="17"/>
  <c r="J61" i="17" s="1"/>
  <c r="I32" i="17"/>
  <c r="J32" i="17" s="1"/>
  <c r="O49" i="17"/>
  <c r="P49" i="17" s="1"/>
  <c r="O36" i="17"/>
  <c r="P36" i="17" s="1"/>
  <c r="O44" i="17"/>
  <c r="P44" i="17" s="1"/>
  <c r="O52" i="17"/>
  <c r="P52" i="17" s="1"/>
  <c r="O60" i="17"/>
  <c r="P60" i="17" s="1"/>
  <c r="O68" i="17"/>
  <c r="P68" i="17" s="1"/>
  <c r="O15" i="17"/>
  <c r="P15" i="17" s="1"/>
  <c r="O23" i="17"/>
  <c r="P23" i="17" s="1"/>
  <c r="O31" i="17"/>
  <c r="P31" i="17" s="1"/>
  <c r="I33" i="17"/>
  <c r="J33" i="17" s="1"/>
  <c r="I41" i="17"/>
  <c r="J41" i="17" s="1"/>
  <c r="I49" i="17"/>
  <c r="J49" i="17" s="1"/>
  <c r="I57" i="17"/>
  <c r="J57" i="17" s="1"/>
  <c r="I65" i="17"/>
  <c r="J65" i="17" s="1"/>
  <c r="I73" i="17"/>
  <c r="J73" i="17" s="1"/>
  <c r="I20" i="17"/>
  <c r="J20" i="17" s="1"/>
  <c r="I28" i="17"/>
  <c r="J28" i="17" s="1"/>
  <c r="O56" i="17"/>
  <c r="P56" i="17" s="1"/>
  <c r="I37" i="17"/>
  <c r="J37" i="17" s="1"/>
  <c r="I16" i="17"/>
  <c r="J16" i="17" s="1"/>
  <c r="O37" i="17"/>
  <c r="P37" i="17" s="1"/>
  <c r="O45" i="17"/>
  <c r="P45" i="17" s="1"/>
  <c r="O53" i="17"/>
  <c r="P53" i="17" s="1"/>
  <c r="O61" i="17"/>
  <c r="P61" i="17" s="1"/>
  <c r="O69" i="17"/>
  <c r="P69" i="17" s="1"/>
  <c r="O16" i="17"/>
  <c r="P16" i="17" s="1"/>
  <c r="O24" i="17"/>
  <c r="P24" i="17" s="1"/>
  <c r="O32" i="17"/>
  <c r="P32" i="17" s="1"/>
  <c r="I34" i="17"/>
  <c r="J34" i="17" s="1"/>
  <c r="I42" i="17"/>
  <c r="J42" i="17" s="1"/>
  <c r="I50" i="17"/>
  <c r="J50" i="17" s="1"/>
  <c r="I58" i="17"/>
  <c r="J58" i="17" s="1"/>
  <c r="I66" i="17"/>
  <c r="J66" i="17" s="1"/>
  <c r="I74" i="17"/>
  <c r="J74" i="17" s="1"/>
  <c r="I21" i="17"/>
  <c r="J21" i="17" s="1"/>
  <c r="I29" i="17"/>
  <c r="J29" i="17" s="1"/>
  <c r="O64" i="17"/>
  <c r="P64" i="17" s="1"/>
  <c r="I53" i="17"/>
  <c r="J53" i="17" s="1"/>
  <c r="I24" i="17"/>
  <c r="J24" i="17" s="1"/>
  <c r="O57" i="17"/>
  <c r="P57" i="17" s="1"/>
  <c r="O38" i="17"/>
  <c r="P38" i="17" s="1"/>
  <c r="O46" i="17"/>
  <c r="P46" i="17" s="1"/>
  <c r="O54" i="17"/>
  <c r="P54" i="17" s="1"/>
  <c r="O62" i="17"/>
  <c r="P62" i="17" s="1"/>
  <c r="O70" i="17"/>
  <c r="P70" i="17" s="1"/>
  <c r="O17" i="17"/>
  <c r="P17" i="17" s="1"/>
  <c r="O25" i="17"/>
  <c r="P25" i="17" s="1"/>
  <c r="I35" i="17"/>
  <c r="J35" i="17" s="1"/>
  <c r="I43" i="17"/>
  <c r="J43" i="17" s="1"/>
  <c r="I51" i="17"/>
  <c r="J51" i="17" s="1"/>
  <c r="I59" i="17"/>
  <c r="J59" i="17" s="1"/>
  <c r="I67" i="17"/>
  <c r="J67" i="17" s="1"/>
  <c r="I75" i="17"/>
  <c r="J75" i="17" s="1"/>
  <c r="I22" i="17"/>
  <c r="J22" i="17" s="1"/>
  <c r="I30" i="17"/>
  <c r="J30" i="17" s="1"/>
  <c r="O19" i="17"/>
  <c r="P19" i="17" s="1"/>
  <c r="I45" i="17"/>
  <c r="J45" i="17" s="1"/>
  <c r="O41" i="17"/>
  <c r="P41" i="17" s="1"/>
  <c r="O39" i="17"/>
  <c r="P39" i="17" s="1"/>
  <c r="O47" i="17"/>
  <c r="P47" i="17" s="1"/>
  <c r="O55" i="17"/>
  <c r="P55" i="17" s="1"/>
  <c r="O63" i="17"/>
  <c r="P63" i="17" s="1"/>
  <c r="O71" i="17"/>
  <c r="P71" i="17" s="1"/>
  <c r="O18" i="17"/>
  <c r="P18" i="17" s="1"/>
  <c r="O26" i="17"/>
  <c r="P26" i="17" s="1"/>
  <c r="I36" i="17"/>
  <c r="J36" i="17" s="1"/>
  <c r="I44" i="17"/>
  <c r="J44" i="17" s="1"/>
  <c r="I52" i="17"/>
  <c r="J52" i="17" s="1"/>
  <c r="I60" i="17"/>
  <c r="J60" i="17" s="1"/>
  <c r="I68" i="17"/>
  <c r="J68" i="17" s="1"/>
  <c r="I15" i="17"/>
  <c r="J15" i="17" s="1"/>
  <c r="I23" i="17"/>
  <c r="J23" i="17" s="1"/>
  <c r="I31" i="17"/>
  <c r="J31" i="17" s="1"/>
  <c r="O72" i="17"/>
  <c r="P72" i="17" s="1"/>
  <c r="O33" i="17"/>
  <c r="P33" i="17" s="1"/>
  <c r="I70" i="17"/>
  <c r="J70" i="17" s="1"/>
  <c r="I25" i="17"/>
  <c r="J25" i="17" s="1"/>
  <c r="I38" i="17"/>
  <c r="J38" i="17" s="1"/>
  <c r="I46" i="17"/>
  <c r="J46" i="17" s="1"/>
  <c r="O65" i="17"/>
  <c r="P65" i="17" s="1"/>
  <c r="I17" i="17"/>
  <c r="J17" i="17" s="1"/>
  <c r="O73" i="17"/>
  <c r="P73" i="17" s="1"/>
  <c r="I62" i="17"/>
  <c r="J62" i="17" s="1"/>
  <c r="O20" i="17"/>
  <c r="P20" i="17" s="1"/>
  <c r="O28" i="17"/>
  <c r="P28" i="17" s="1"/>
  <c r="I54" i="17"/>
  <c r="J54" i="17" s="1"/>
  <c r="C14" i="17"/>
  <c r="S14" i="17" s="1"/>
  <c r="T14" i="17" s="1"/>
  <c r="E53" i="17"/>
  <c r="F53" i="17" s="1"/>
  <c r="E54" i="17"/>
  <c r="F54" i="17" s="1"/>
  <c r="E62" i="17"/>
  <c r="F62" i="17" s="1"/>
  <c r="E70" i="17"/>
  <c r="F70" i="17" s="1"/>
  <c r="E37" i="17"/>
  <c r="F37" i="17" s="1"/>
  <c r="E45" i="17"/>
  <c r="F45" i="17" s="1"/>
  <c r="E15" i="17"/>
  <c r="F15" i="17" s="1"/>
  <c r="E23" i="17"/>
  <c r="F23" i="17" s="1"/>
  <c r="E31" i="17"/>
  <c r="F31" i="17" s="1"/>
  <c r="E50" i="17"/>
  <c r="F50" i="17" s="1"/>
  <c r="E28" i="17"/>
  <c r="F28" i="17" s="1"/>
  <c r="E51" i="17"/>
  <c r="F51" i="17" s="1"/>
  <c r="E29" i="17"/>
  <c r="F29" i="17" s="1"/>
  <c r="E36" i="17"/>
  <c r="F36" i="17" s="1"/>
  <c r="E30" i="17"/>
  <c r="F30" i="17" s="1"/>
  <c r="E55" i="17"/>
  <c r="F55" i="17" s="1"/>
  <c r="E63" i="17"/>
  <c r="F63" i="17" s="1"/>
  <c r="E71" i="17"/>
  <c r="F71" i="17" s="1"/>
  <c r="E38" i="17"/>
  <c r="F38" i="17" s="1"/>
  <c r="E46" i="17"/>
  <c r="F46" i="17" s="1"/>
  <c r="E16" i="17"/>
  <c r="F16" i="17" s="1"/>
  <c r="E24" i="17"/>
  <c r="F24" i="17" s="1"/>
  <c r="E32" i="17"/>
  <c r="F32" i="17" s="1"/>
  <c r="E40" i="17"/>
  <c r="F40" i="17" s="1"/>
  <c r="E26" i="17"/>
  <c r="F26" i="17" s="1"/>
  <c r="E58" i="17"/>
  <c r="F58" i="17" s="1"/>
  <c r="E41" i="17"/>
  <c r="F41" i="17" s="1"/>
  <c r="E68" i="17"/>
  <c r="F68" i="17" s="1"/>
  <c r="E69" i="17"/>
  <c r="F69" i="17" s="1"/>
  <c r="E22" i="17"/>
  <c r="F22" i="17" s="1"/>
  <c r="E56" i="17"/>
  <c r="F56" i="17" s="1"/>
  <c r="E64" i="17"/>
  <c r="F64" i="17" s="1"/>
  <c r="E72" i="17"/>
  <c r="F72" i="17" s="1"/>
  <c r="E39" i="17"/>
  <c r="F39" i="17" s="1"/>
  <c r="E47" i="17"/>
  <c r="F47" i="17" s="1"/>
  <c r="E17" i="17"/>
  <c r="F17" i="17" s="1"/>
  <c r="E25" i="17"/>
  <c r="F25" i="17" s="1"/>
  <c r="E33" i="17"/>
  <c r="F33" i="17" s="1"/>
  <c r="E73" i="17"/>
  <c r="F73" i="17" s="1"/>
  <c r="E18" i="17"/>
  <c r="F18" i="17" s="1"/>
  <c r="E34" i="17"/>
  <c r="F34" i="17" s="1"/>
  <c r="E74" i="17"/>
  <c r="F74" i="17" s="1"/>
  <c r="E49" i="17"/>
  <c r="F49" i="17" s="1"/>
  <c r="E27" i="17"/>
  <c r="F27" i="17" s="1"/>
  <c r="E59" i="17"/>
  <c r="F59" i="17" s="1"/>
  <c r="E42" i="17"/>
  <c r="F42" i="17" s="1"/>
  <c r="E60" i="17"/>
  <c r="F60" i="17" s="1"/>
  <c r="E35" i="17"/>
  <c r="F35" i="17" s="1"/>
  <c r="E21" i="17"/>
  <c r="F21" i="17" s="1"/>
  <c r="E52" i="17"/>
  <c r="F52" i="17" s="1"/>
  <c r="E57" i="17"/>
  <c r="F57" i="17" s="1"/>
  <c r="E65" i="17"/>
  <c r="F65" i="17" s="1"/>
  <c r="E48" i="17"/>
  <c r="F48" i="17" s="1"/>
  <c r="E66" i="17"/>
  <c r="F66" i="17" s="1"/>
  <c r="E19" i="17"/>
  <c r="F19" i="17" s="1"/>
  <c r="E67" i="17"/>
  <c r="F67" i="17" s="1"/>
  <c r="E75" i="17"/>
  <c r="F75" i="17" s="1"/>
  <c r="E20" i="17"/>
  <c r="F20" i="17" s="1"/>
  <c r="E43" i="17"/>
  <c r="F43" i="17" s="1"/>
  <c r="E61" i="17"/>
  <c r="F61" i="17" s="1"/>
  <c r="E44" i="17"/>
  <c r="F44" i="17" s="1"/>
  <c r="T26" i="14"/>
  <c r="U25" i="14"/>
  <c r="I28" i="14" l="1"/>
  <c r="J29" i="14" s="1"/>
  <c r="K29" i="14" s="1"/>
  <c r="J27" i="14"/>
  <c r="K27" i="14" s="1"/>
  <c r="G61" i="17"/>
  <c r="H61" i="17"/>
  <c r="Q61" i="17" s="1"/>
  <c r="U61" i="17" s="1"/>
  <c r="H65" i="17"/>
  <c r="Q65" i="17" s="1"/>
  <c r="R65" i="17" s="1"/>
  <c r="G65" i="17"/>
  <c r="G27" i="17"/>
  <c r="H27" i="17"/>
  <c r="Q27" i="17" s="1"/>
  <c r="U27" i="17" s="1"/>
  <c r="H17" i="17"/>
  <c r="Q17" i="17" s="1"/>
  <c r="R17" i="17" s="1"/>
  <c r="G17" i="17"/>
  <c r="G68" i="17"/>
  <c r="H68" i="17"/>
  <c r="Q68" i="17" s="1"/>
  <c r="U68" i="17" s="1"/>
  <c r="G46" i="17"/>
  <c r="H46" i="17"/>
  <c r="Q46" i="17" s="1"/>
  <c r="R46" i="17" s="1"/>
  <c r="G51" i="17"/>
  <c r="H51" i="17"/>
  <c r="Q51" i="17" s="1"/>
  <c r="U51" i="17" s="1"/>
  <c r="H70" i="17"/>
  <c r="Q70" i="17" s="1"/>
  <c r="R70" i="17" s="1"/>
  <c r="G70" i="17"/>
  <c r="H59" i="17"/>
  <c r="Q59" i="17" s="1"/>
  <c r="R59" i="17" s="1"/>
  <c r="G59" i="17"/>
  <c r="H16" i="17"/>
  <c r="Q16" i="17" s="1"/>
  <c r="U16" i="17" s="1"/>
  <c r="G16" i="17"/>
  <c r="H43" i="17"/>
  <c r="Q43" i="17" s="1"/>
  <c r="R43" i="17" s="1"/>
  <c r="G43" i="17"/>
  <c r="H57" i="17"/>
  <c r="Q57" i="17" s="1"/>
  <c r="R57" i="17" s="1"/>
  <c r="G57" i="17"/>
  <c r="H49" i="17"/>
  <c r="Q49" i="17" s="1"/>
  <c r="R49" i="17" s="1"/>
  <c r="G49" i="17"/>
  <c r="G47" i="17"/>
  <c r="H47" i="17"/>
  <c r="Q47" i="17" s="1"/>
  <c r="U47" i="17" s="1"/>
  <c r="H41" i="17"/>
  <c r="Q41" i="17" s="1"/>
  <c r="U41" i="17" s="1"/>
  <c r="G41" i="17"/>
  <c r="G38" i="17"/>
  <c r="H38" i="17"/>
  <c r="Q38" i="17" s="1"/>
  <c r="R38" i="17" s="1"/>
  <c r="G28" i="17"/>
  <c r="H28" i="17"/>
  <c r="Q28" i="17" s="1"/>
  <c r="U28" i="17" s="1"/>
  <c r="G62" i="17"/>
  <c r="H62" i="17"/>
  <c r="Q62" i="17" s="1"/>
  <c r="R62" i="17" s="1"/>
  <c r="H69" i="17"/>
  <c r="Q69" i="17" s="1"/>
  <c r="U69" i="17" s="1"/>
  <c r="G69" i="17"/>
  <c r="G20" i="17"/>
  <c r="H20" i="17"/>
  <c r="Q20" i="17" s="1"/>
  <c r="R20" i="17" s="1"/>
  <c r="G71" i="17"/>
  <c r="H71" i="17"/>
  <c r="Q71" i="17" s="1"/>
  <c r="R71" i="17" s="1"/>
  <c r="G75" i="17"/>
  <c r="H75" i="17"/>
  <c r="Q75" i="17" s="1"/>
  <c r="R75" i="17" s="1"/>
  <c r="G21" i="17"/>
  <c r="H21" i="17"/>
  <c r="Q21" i="17" s="1"/>
  <c r="R21" i="17" s="1"/>
  <c r="H34" i="17"/>
  <c r="Q34" i="17" s="1"/>
  <c r="R34" i="17" s="1"/>
  <c r="G34" i="17"/>
  <c r="H72" i="17"/>
  <c r="Q72" i="17" s="1"/>
  <c r="U72" i="17" s="1"/>
  <c r="G72" i="17"/>
  <c r="H26" i="17"/>
  <c r="Q26" i="17" s="1"/>
  <c r="U26" i="17" s="1"/>
  <c r="G26" i="17"/>
  <c r="G63" i="17"/>
  <c r="H63" i="17"/>
  <c r="Q63" i="17" s="1"/>
  <c r="R63" i="17" s="1"/>
  <c r="G31" i="17"/>
  <c r="H31" i="17"/>
  <c r="Q31" i="17" s="1"/>
  <c r="R31" i="17" s="1"/>
  <c r="G53" i="17"/>
  <c r="H53" i="17"/>
  <c r="Q53" i="17" s="1"/>
  <c r="U53" i="17" s="1"/>
  <c r="H25" i="17"/>
  <c r="Q25" i="17" s="1"/>
  <c r="U25" i="17" s="1"/>
  <c r="G25" i="17"/>
  <c r="H74" i="17"/>
  <c r="Q74" i="17" s="1"/>
  <c r="U74" i="17" s="1"/>
  <c r="G74" i="17"/>
  <c r="G50" i="17"/>
  <c r="H50" i="17"/>
  <c r="Q50" i="17" s="1"/>
  <c r="R50" i="17" s="1"/>
  <c r="G18" i="17"/>
  <c r="H18" i="17"/>
  <c r="Q18" i="17" s="1"/>
  <c r="U18" i="17" s="1"/>
  <c r="G64" i="17"/>
  <c r="H64" i="17"/>
  <c r="Q64" i="17" s="1"/>
  <c r="R64" i="17" s="1"/>
  <c r="G40" i="17"/>
  <c r="H40" i="17"/>
  <c r="Q40" i="17" s="1"/>
  <c r="U40" i="17" s="1"/>
  <c r="G55" i="17"/>
  <c r="H55" i="17"/>
  <c r="Q55" i="17" s="1"/>
  <c r="R55" i="17" s="1"/>
  <c r="G23" i="17"/>
  <c r="H23" i="17"/>
  <c r="Q23" i="17" s="1"/>
  <c r="U23" i="17" s="1"/>
  <c r="G48" i="17"/>
  <c r="H48" i="17"/>
  <c r="Q48" i="17" s="1"/>
  <c r="R48" i="17" s="1"/>
  <c r="H37" i="17"/>
  <c r="Q37" i="17" s="1"/>
  <c r="U37" i="17" s="1"/>
  <c r="G37" i="17"/>
  <c r="G52" i="17"/>
  <c r="H52" i="17"/>
  <c r="Q52" i="17" s="1"/>
  <c r="U52" i="17" s="1"/>
  <c r="H58" i="17"/>
  <c r="Q58" i="17" s="1"/>
  <c r="U58" i="17" s="1"/>
  <c r="G58" i="17"/>
  <c r="H67" i="17"/>
  <c r="Q67" i="17" s="1"/>
  <c r="R67" i="17" s="1"/>
  <c r="G67" i="17"/>
  <c r="G35" i="17"/>
  <c r="H35" i="17"/>
  <c r="Q35" i="17" s="1"/>
  <c r="U35" i="17" s="1"/>
  <c r="H19" i="17"/>
  <c r="Q19" i="17" s="1"/>
  <c r="U19" i="17" s="1"/>
  <c r="G19" i="17"/>
  <c r="H73" i="17"/>
  <c r="Q73" i="17" s="1"/>
  <c r="R73" i="17" s="1"/>
  <c r="G73" i="17"/>
  <c r="H56" i="17"/>
  <c r="Q56" i="17" s="1"/>
  <c r="U56" i="17" s="1"/>
  <c r="G56" i="17"/>
  <c r="H32" i="17"/>
  <c r="Q32" i="17" s="1"/>
  <c r="U32" i="17" s="1"/>
  <c r="G32" i="17"/>
  <c r="G30" i="17"/>
  <c r="H30" i="17"/>
  <c r="Q30" i="17" s="1"/>
  <c r="R30" i="17" s="1"/>
  <c r="G15" i="17"/>
  <c r="H15" i="17"/>
  <c r="Q15" i="17" s="1"/>
  <c r="U15" i="17" s="1"/>
  <c r="G44" i="17"/>
  <c r="H44" i="17"/>
  <c r="Q44" i="17" s="1"/>
  <c r="U44" i="17" s="1"/>
  <c r="G29" i="17"/>
  <c r="H29" i="17"/>
  <c r="Q29" i="17" s="1"/>
  <c r="R29" i="17" s="1"/>
  <c r="G39" i="17"/>
  <c r="H39" i="17"/>
  <c r="Q39" i="17" s="1"/>
  <c r="R39" i="17" s="1"/>
  <c r="G54" i="17"/>
  <c r="H54" i="17"/>
  <c r="Q54" i="17" s="1"/>
  <c r="U54" i="17" s="1"/>
  <c r="H60" i="17"/>
  <c r="Q60" i="17" s="1"/>
  <c r="U60" i="17" s="1"/>
  <c r="G60" i="17"/>
  <c r="H66" i="17"/>
  <c r="Q66" i="17" s="1"/>
  <c r="R66" i="17" s="1"/>
  <c r="G66" i="17"/>
  <c r="H42" i="17"/>
  <c r="Q42" i="17" s="1"/>
  <c r="U42" i="17" s="1"/>
  <c r="G42" i="17"/>
  <c r="H33" i="17"/>
  <c r="Q33" i="17" s="1"/>
  <c r="U33" i="17" s="1"/>
  <c r="G33" i="17"/>
  <c r="G22" i="17"/>
  <c r="H22" i="17"/>
  <c r="Q22" i="17" s="1"/>
  <c r="U22" i="17" s="1"/>
  <c r="H24" i="17"/>
  <c r="Q24" i="17" s="1"/>
  <c r="U24" i="17" s="1"/>
  <c r="G24" i="17"/>
  <c r="G36" i="17"/>
  <c r="H36" i="17"/>
  <c r="Q36" i="17" s="1"/>
  <c r="R36" i="17" s="1"/>
  <c r="G45" i="17"/>
  <c r="H45" i="17"/>
  <c r="Q45" i="17" s="1"/>
  <c r="R45" i="17" s="1"/>
  <c r="E14" i="17"/>
  <c r="F14" i="17" s="1"/>
  <c r="H14" i="17" s="1"/>
  <c r="Q14" i="17" s="1"/>
  <c r="U14" i="17" s="1"/>
  <c r="O14" i="17"/>
  <c r="P14" i="17" s="1"/>
  <c r="I14" i="17"/>
  <c r="J14" i="17" s="1"/>
  <c r="U26" i="14"/>
  <c r="T27" i="14"/>
  <c r="I29" i="14" l="1"/>
  <c r="I30" i="14" s="1"/>
  <c r="R42" i="17"/>
  <c r="R68" i="17"/>
  <c r="R58" i="17"/>
  <c r="U46" i="17"/>
  <c r="R22" i="17"/>
  <c r="U43" i="17"/>
  <c r="U17" i="17"/>
  <c r="R35" i="17"/>
  <c r="R27" i="17"/>
  <c r="R74" i="17"/>
  <c r="U34" i="17"/>
  <c r="U57" i="17"/>
  <c r="U49" i="17"/>
  <c r="R41" i="17"/>
  <c r="R14" i="17"/>
  <c r="U70" i="17"/>
  <c r="U71" i="17"/>
  <c r="R47" i="17"/>
  <c r="R40" i="17"/>
  <c r="U29" i="17"/>
  <c r="R61" i="17"/>
  <c r="U50" i="17"/>
  <c r="R44" i="17"/>
  <c r="U63" i="17"/>
  <c r="R69" i="17"/>
  <c r="U48" i="17"/>
  <c r="R25" i="17"/>
  <c r="R26" i="17"/>
  <c r="U65" i="17"/>
  <c r="U21" i="17"/>
  <c r="U75" i="17"/>
  <c r="U36" i="17"/>
  <c r="R19" i="17"/>
  <c r="R37" i="17"/>
  <c r="U30" i="17"/>
  <c r="R51" i="17"/>
  <c r="R28" i="17"/>
  <c r="U38" i="17"/>
  <c r="R52" i="17"/>
  <c r="R33" i="17"/>
  <c r="U67" i="17"/>
  <c r="U20" i="17"/>
  <c r="R53" i="17"/>
  <c r="R18" i="17"/>
  <c r="R32" i="17"/>
  <c r="R72" i="17"/>
  <c r="U62" i="17"/>
  <c r="U31" i="17"/>
  <c r="R23" i="17"/>
  <c r="U73" i="17"/>
  <c r="R56" i="17"/>
  <c r="R24" i="17"/>
  <c r="U66" i="17"/>
  <c r="U64" i="17"/>
  <c r="R15" i="17"/>
  <c r="U45" i="17"/>
  <c r="U59" i="17"/>
  <c r="R16" i="17"/>
  <c r="R54" i="17"/>
  <c r="R60" i="17"/>
  <c r="U39" i="17"/>
  <c r="U55" i="17"/>
  <c r="G14" i="17"/>
  <c r="L25" i="14"/>
  <c r="M25" i="14" s="1"/>
  <c r="K74" i="17"/>
  <c r="L74" i="17" s="1"/>
  <c r="N74" i="17" s="1"/>
  <c r="K21" i="17"/>
  <c r="L21" i="17" s="1"/>
  <c r="N21" i="17" s="1"/>
  <c r="K41" i="17"/>
  <c r="L41" i="17" s="1"/>
  <c r="N41" i="17" s="1"/>
  <c r="K22" i="17"/>
  <c r="L22" i="17" s="1"/>
  <c r="N22" i="17" s="1"/>
  <c r="K39" i="17"/>
  <c r="L39" i="17" s="1"/>
  <c r="N39" i="17" s="1"/>
  <c r="K19" i="17"/>
  <c r="L19" i="17" s="1"/>
  <c r="N19" i="17" s="1"/>
  <c r="K58" i="17"/>
  <c r="L58" i="17" s="1"/>
  <c r="N58" i="17" s="1"/>
  <c r="K55" i="17"/>
  <c r="L55" i="17" s="1"/>
  <c r="N55" i="17" s="1"/>
  <c r="K71" i="17"/>
  <c r="L71" i="17" s="1"/>
  <c r="N71" i="17" s="1"/>
  <c r="K62" i="17"/>
  <c r="L62" i="17" s="1"/>
  <c r="N62" i="17" s="1"/>
  <c r="K47" i="17"/>
  <c r="L47" i="17" s="1"/>
  <c r="N47" i="17" s="1"/>
  <c r="K63" i="17"/>
  <c r="L63" i="17" s="1"/>
  <c r="N63" i="17" s="1"/>
  <c r="K16" i="17"/>
  <c r="L16" i="17" s="1"/>
  <c r="N16" i="17" s="1"/>
  <c r="K60" i="17"/>
  <c r="L60" i="17" s="1"/>
  <c r="N60" i="17" s="1"/>
  <c r="K35" i="17"/>
  <c r="L35" i="17" s="1"/>
  <c r="N35" i="17" s="1"/>
  <c r="K52" i="17"/>
  <c r="L52" i="17" s="1"/>
  <c r="N52" i="17" s="1"/>
  <c r="K75" i="17"/>
  <c r="L75" i="17" s="1"/>
  <c r="N75" i="17" s="1"/>
  <c r="K59" i="17"/>
  <c r="L59" i="17" s="1"/>
  <c r="N59" i="17" s="1"/>
  <c r="K66" i="17"/>
  <c r="L66" i="17" s="1"/>
  <c r="N66" i="17" s="1"/>
  <c r="K45" i="17"/>
  <c r="L45" i="17" s="1"/>
  <c r="N45" i="17" s="1"/>
  <c r="K32" i="17"/>
  <c r="L32" i="17" s="1"/>
  <c r="N32" i="17" s="1"/>
  <c r="K40" i="17"/>
  <c r="L40" i="17" s="1"/>
  <c r="N40" i="17" s="1"/>
  <c r="K25" i="17"/>
  <c r="L25" i="17" s="1"/>
  <c r="N25" i="17" s="1"/>
  <c r="K26" i="17"/>
  <c r="L26" i="17" s="1"/>
  <c r="N26" i="17" s="1"/>
  <c r="K20" i="17"/>
  <c r="L20" i="17" s="1"/>
  <c r="N20" i="17" s="1"/>
  <c r="K28" i="17"/>
  <c r="L28" i="17" s="1"/>
  <c r="N28" i="17" s="1"/>
  <c r="K70" i="17"/>
  <c r="L70" i="17" s="1"/>
  <c r="N70" i="17" s="1"/>
  <c r="K17" i="17"/>
  <c r="L17" i="17" s="1"/>
  <c r="N17" i="17" s="1"/>
  <c r="K43" i="17"/>
  <c r="L43" i="17" s="1"/>
  <c r="N43" i="17" s="1"/>
  <c r="K33" i="17"/>
  <c r="L33" i="17" s="1"/>
  <c r="N33" i="17" s="1"/>
  <c r="K29" i="17"/>
  <c r="L29" i="17" s="1"/>
  <c r="N29" i="17" s="1"/>
  <c r="K53" i="17"/>
  <c r="L53" i="17" s="1"/>
  <c r="N53" i="17" s="1"/>
  <c r="K49" i="17"/>
  <c r="L49" i="17" s="1"/>
  <c r="N49" i="17" s="1"/>
  <c r="K51" i="17"/>
  <c r="L51" i="17" s="1"/>
  <c r="N51" i="17" s="1"/>
  <c r="K27" i="17"/>
  <c r="L27" i="17" s="1"/>
  <c r="N27" i="17" s="1"/>
  <c r="K61" i="17"/>
  <c r="L61" i="17" s="1"/>
  <c r="N61" i="17" s="1"/>
  <c r="K36" i="17"/>
  <c r="L36" i="17" s="1"/>
  <c r="N36" i="17" s="1"/>
  <c r="K56" i="17"/>
  <c r="L56" i="17" s="1"/>
  <c r="N56" i="17" s="1"/>
  <c r="K67" i="17"/>
  <c r="L67" i="17" s="1"/>
  <c r="N67" i="17" s="1"/>
  <c r="K64" i="17"/>
  <c r="L64" i="17" s="1"/>
  <c r="N64" i="17" s="1"/>
  <c r="K50" i="17"/>
  <c r="L50" i="17" s="1"/>
  <c r="N50" i="17" s="1"/>
  <c r="K72" i="17"/>
  <c r="L72" i="17" s="1"/>
  <c r="N72" i="17" s="1"/>
  <c r="K38" i="17"/>
  <c r="L38" i="17" s="1"/>
  <c r="N38" i="17" s="1"/>
  <c r="K24" i="17"/>
  <c r="L24" i="17" s="1"/>
  <c r="N24" i="17" s="1"/>
  <c r="K68" i="17"/>
  <c r="L68" i="17" s="1"/>
  <c r="N68" i="17" s="1"/>
  <c r="K42" i="17"/>
  <c r="L42" i="17" s="1"/>
  <c r="N42" i="17" s="1"/>
  <c r="K44" i="17"/>
  <c r="L44" i="17" s="1"/>
  <c r="N44" i="17" s="1"/>
  <c r="K15" i="17"/>
  <c r="L15" i="17" s="1"/>
  <c r="N15" i="17" s="1"/>
  <c r="K37" i="17"/>
  <c r="L37" i="17" s="1"/>
  <c r="N37" i="17" s="1"/>
  <c r="K31" i="17"/>
  <c r="L31" i="17" s="1"/>
  <c r="N31" i="17" s="1"/>
  <c r="K57" i="17"/>
  <c r="L57" i="17" s="1"/>
  <c r="N57" i="17" s="1"/>
  <c r="K46" i="17"/>
  <c r="L46" i="17" s="1"/>
  <c r="N46" i="17" s="1"/>
  <c r="K30" i="17"/>
  <c r="L30" i="17" s="1"/>
  <c r="N30" i="17" s="1"/>
  <c r="K54" i="17"/>
  <c r="L54" i="17" s="1"/>
  <c r="N54" i="17" s="1"/>
  <c r="K73" i="17"/>
  <c r="L73" i="17" s="1"/>
  <c r="N73" i="17" s="1"/>
  <c r="K48" i="17"/>
  <c r="L48" i="17" s="1"/>
  <c r="N48" i="17" s="1"/>
  <c r="K23" i="17"/>
  <c r="L23" i="17" s="1"/>
  <c r="N23" i="17" s="1"/>
  <c r="K18" i="17"/>
  <c r="L18" i="17" s="1"/>
  <c r="N18" i="17" s="1"/>
  <c r="K34" i="17"/>
  <c r="L34" i="17" s="1"/>
  <c r="N34" i="17" s="1"/>
  <c r="K69" i="17"/>
  <c r="L69" i="17" s="1"/>
  <c r="N69" i="17" s="1"/>
  <c r="K65" i="17"/>
  <c r="L65" i="17" s="1"/>
  <c r="N65" i="17" s="1"/>
  <c r="T28" i="14"/>
  <c r="U27" i="14"/>
  <c r="J30" i="14" l="1"/>
  <c r="K30" i="14" s="1"/>
  <c r="J31" i="14"/>
  <c r="K31" i="14" s="1"/>
  <c r="I31" i="14"/>
  <c r="K14" i="17"/>
  <c r="L14" i="17" s="1"/>
  <c r="N14" i="17" s="1"/>
  <c r="N25" i="14"/>
  <c r="L26" i="14"/>
  <c r="T29" i="14"/>
  <c r="U28" i="14"/>
  <c r="J32" i="14" l="1"/>
  <c r="K32" i="14" s="1"/>
  <c r="L32" i="14" s="1"/>
  <c r="I32" i="14"/>
  <c r="W74" i="17"/>
  <c r="W53" i="17"/>
  <c r="W60" i="17"/>
  <c r="W57" i="17"/>
  <c r="W21" i="17"/>
  <c r="W33" i="17"/>
  <c r="W68" i="17"/>
  <c r="W73" i="17"/>
  <c r="V48" i="17"/>
  <c r="W56" i="17"/>
  <c r="W17" i="17"/>
  <c r="W34" i="17"/>
  <c r="W69" i="17"/>
  <c r="W27" i="17"/>
  <c r="W43" i="17"/>
  <c r="W37" i="17"/>
  <c r="W30" i="17"/>
  <c r="W66" i="17"/>
  <c r="W42" i="17"/>
  <c r="W58" i="17"/>
  <c r="W70" i="17"/>
  <c r="W45" i="17"/>
  <c r="W46" i="17"/>
  <c r="W28" i="17"/>
  <c r="W49" i="17"/>
  <c r="W18" i="17"/>
  <c r="W19" i="17"/>
  <c r="W41" i="17"/>
  <c r="W22" i="17"/>
  <c r="W75" i="17"/>
  <c r="W65" i="17"/>
  <c r="W62" i="17"/>
  <c r="W35" i="17"/>
  <c r="W72" i="17"/>
  <c r="W61" i="17"/>
  <c r="W59" i="17"/>
  <c r="W54" i="17"/>
  <c r="W50" i="17"/>
  <c r="W15" i="17"/>
  <c r="W36" i="17"/>
  <c r="W29" i="17"/>
  <c r="W67" i="17"/>
  <c r="W31" i="17"/>
  <c r="W47" i="17"/>
  <c r="W23" i="17"/>
  <c r="W71" i="17"/>
  <c r="W24" i="17"/>
  <c r="W51" i="17"/>
  <c r="W52" i="17"/>
  <c r="W32" i="17"/>
  <c r="W40" i="17"/>
  <c r="W16" i="17"/>
  <c r="W20" i="17"/>
  <c r="W38" i="17"/>
  <c r="W64" i="17"/>
  <c r="W25" i="17"/>
  <c r="W44" i="17"/>
  <c r="W55" i="17"/>
  <c r="W63" i="17"/>
  <c r="W39" i="17"/>
  <c r="W26" i="17"/>
  <c r="W48" i="17"/>
  <c r="V39" i="17"/>
  <c r="V66" i="17"/>
  <c r="V45" i="17"/>
  <c r="V21" i="17"/>
  <c r="V68" i="17"/>
  <c r="V36" i="17"/>
  <c r="V47" i="17"/>
  <c r="V56" i="17"/>
  <c r="V53" i="17"/>
  <c r="V19" i="17"/>
  <c r="V62" i="17"/>
  <c r="V59" i="17"/>
  <c r="V63" i="17"/>
  <c r="V38" i="17"/>
  <c r="V22" i="17"/>
  <c r="V40" i="17"/>
  <c r="V64" i="17"/>
  <c r="V20" i="17"/>
  <c r="V44" i="17"/>
  <c r="V52" i="17"/>
  <c r="V37" i="17"/>
  <c r="V30" i="17"/>
  <c r="V42" i="17"/>
  <c r="V58" i="17"/>
  <c r="V43" i="17"/>
  <c r="V70" i="17"/>
  <c r="V74" i="17"/>
  <c r="V54" i="17"/>
  <c r="V61" i="17"/>
  <c r="V31" i="17"/>
  <c r="V17" i="17"/>
  <c r="V34" i="17"/>
  <c r="V28" i="17"/>
  <c r="V49" i="17"/>
  <c r="V18" i="17"/>
  <c r="V50" i="17"/>
  <c r="V15" i="17"/>
  <c r="V57" i="17"/>
  <c r="V33" i="17"/>
  <c r="V69" i="17"/>
  <c r="V29" i="17"/>
  <c r="V46" i="17"/>
  <c r="V23" i="17"/>
  <c r="V71" i="17"/>
  <c r="V32" i="17"/>
  <c r="V24" i="17"/>
  <c r="V41" i="17"/>
  <c r="V51" i="17"/>
  <c r="V73" i="17"/>
  <c r="V16" i="17"/>
  <c r="V75" i="17"/>
  <c r="V65" i="17"/>
  <c r="V67" i="17"/>
  <c r="V55" i="17"/>
  <c r="V27" i="17"/>
  <c r="V72" i="17"/>
  <c r="V60" i="17"/>
  <c r="V25" i="17"/>
  <c r="V35" i="17"/>
  <c r="V26" i="17"/>
  <c r="L27" i="14"/>
  <c r="M27" i="14" s="1"/>
  <c r="N27" i="14" s="1"/>
  <c r="L30" i="14"/>
  <c r="L31" i="14"/>
  <c r="L29" i="14"/>
  <c r="L28" i="14"/>
  <c r="M26" i="14"/>
  <c r="N26" i="14" s="1"/>
  <c r="T30" i="14"/>
  <c r="U29" i="14"/>
  <c r="I33" i="14" l="1"/>
  <c r="J33" i="14"/>
  <c r="K33" i="14" s="1"/>
  <c r="L33" i="14" s="1"/>
  <c r="M33" i="14" s="1"/>
  <c r="N33" i="14" s="1"/>
  <c r="V14" i="17"/>
  <c r="O14" i="31" s="1" a="1"/>
  <c r="W14" i="17"/>
  <c r="S14" i="31" s="1" a="1"/>
  <c r="M28" i="14"/>
  <c r="N28" i="14" s="1"/>
  <c r="M32" i="14"/>
  <c r="N32" i="14" s="1"/>
  <c r="M29" i="14"/>
  <c r="N29" i="14" s="1"/>
  <c r="M30" i="14"/>
  <c r="N30" i="14" s="1"/>
  <c r="M31" i="14"/>
  <c r="N31" i="14" s="1"/>
  <c r="T31" i="14"/>
  <c r="U30" i="14"/>
  <c r="J34" i="14" l="1"/>
  <c r="K34" i="14" s="1"/>
  <c r="L34" i="14" s="1"/>
  <c r="M34" i="14" s="1"/>
  <c r="N34" i="14" s="1"/>
  <c r="I34" i="14"/>
  <c r="W18" i="31"/>
  <c r="Y18" i="31" s="1"/>
  <c r="W50" i="31"/>
  <c r="Y50" i="31" s="1"/>
  <c r="W19" i="31"/>
  <c r="Y19" i="31" s="1"/>
  <c r="W51" i="31"/>
  <c r="Y51" i="31" s="1"/>
  <c r="W20" i="31"/>
  <c r="Y20" i="31" s="1"/>
  <c r="W52" i="31"/>
  <c r="Y52" i="31" s="1"/>
  <c r="W25" i="31"/>
  <c r="Y25" i="31" s="1"/>
  <c r="W57" i="31"/>
  <c r="Y57" i="31" s="1"/>
  <c r="W22" i="31"/>
  <c r="Y22" i="31" s="1"/>
  <c r="W54" i="31"/>
  <c r="Y54" i="31" s="1"/>
  <c r="W23" i="31"/>
  <c r="Y23" i="31" s="1"/>
  <c r="W55" i="31"/>
  <c r="Y55" i="31" s="1"/>
  <c r="W24" i="31"/>
  <c r="Y24" i="31" s="1"/>
  <c r="W56" i="31"/>
  <c r="Y56" i="31" s="1"/>
  <c r="W29" i="31"/>
  <c r="Y29" i="31" s="1"/>
  <c r="W61" i="31"/>
  <c r="Y61" i="31" s="1"/>
  <c r="W26" i="31"/>
  <c r="Y26" i="31" s="1"/>
  <c r="W58" i="31"/>
  <c r="Y58" i="31" s="1"/>
  <c r="W27" i="31"/>
  <c r="Y27" i="31" s="1"/>
  <c r="W59" i="31"/>
  <c r="Y59" i="31" s="1"/>
  <c r="W28" i="31"/>
  <c r="Y28" i="31" s="1"/>
  <c r="W60" i="31"/>
  <c r="Y60" i="31" s="1"/>
  <c r="W33" i="31"/>
  <c r="Y33" i="31" s="1"/>
  <c r="W65" i="31"/>
  <c r="Y65" i="31" s="1"/>
  <c r="W30" i="31"/>
  <c r="Y30" i="31" s="1"/>
  <c r="W62" i="31"/>
  <c r="Y62" i="31" s="1"/>
  <c r="W31" i="31"/>
  <c r="Y31" i="31" s="1"/>
  <c r="W63" i="31"/>
  <c r="Y63" i="31" s="1"/>
  <c r="W32" i="31"/>
  <c r="Y32" i="31" s="1"/>
  <c r="W64" i="31"/>
  <c r="Y64" i="31" s="1"/>
  <c r="W37" i="31"/>
  <c r="Y37" i="31" s="1"/>
  <c r="W69" i="31"/>
  <c r="Y69" i="31" s="1"/>
  <c r="W34" i="31"/>
  <c r="Y34" i="31" s="1"/>
  <c r="W66" i="31"/>
  <c r="Y66" i="31" s="1"/>
  <c r="W35" i="31"/>
  <c r="Y35" i="31" s="1"/>
  <c r="W67" i="31"/>
  <c r="Y67" i="31" s="1"/>
  <c r="W36" i="31"/>
  <c r="Y36" i="31" s="1"/>
  <c r="W68" i="31"/>
  <c r="Y68" i="31" s="1"/>
  <c r="W41" i="31"/>
  <c r="Y41" i="31" s="1"/>
  <c r="W73" i="31"/>
  <c r="Y73" i="31" s="1"/>
  <c r="W38" i="31"/>
  <c r="Y38" i="31" s="1"/>
  <c r="W70" i="31"/>
  <c r="Y70" i="31" s="1"/>
  <c r="W39" i="31"/>
  <c r="Y39" i="31" s="1"/>
  <c r="W71" i="31"/>
  <c r="Y71" i="31" s="1"/>
  <c r="W40" i="31"/>
  <c r="Y40" i="31" s="1"/>
  <c r="W72" i="31"/>
  <c r="Y72" i="31" s="1"/>
  <c r="W45" i="31"/>
  <c r="Y45" i="31" s="1"/>
  <c r="W42" i="31"/>
  <c r="Y42" i="31" s="1"/>
  <c r="W74" i="31"/>
  <c r="Y74" i="31" s="1"/>
  <c r="W43" i="31"/>
  <c r="Y43" i="31" s="1"/>
  <c r="W75" i="31"/>
  <c r="Y75" i="31" s="1"/>
  <c r="W44" i="31"/>
  <c r="Y44" i="31" s="1"/>
  <c r="W17" i="31"/>
  <c r="Y17" i="31" s="1"/>
  <c r="W49" i="31"/>
  <c r="Y49" i="31" s="1"/>
  <c r="W46" i="31"/>
  <c r="Y46" i="31" s="1"/>
  <c r="W15" i="31"/>
  <c r="Y15" i="31" s="1"/>
  <c r="W47" i="31"/>
  <c r="Y47" i="31" s="1"/>
  <c r="W16" i="31"/>
  <c r="Y16" i="31" s="1"/>
  <c r="W48" i="31"/>
  <c r="Y48" i="31" s="1"/>
  <c r="W21" i="31"/>
  <c r="Y21" i="31" s="1"/>
  <c r="W53" i="31"/>
  <c r="Y53" i="31" s="1"/>
  <c r="V15" i="31"/>
  <c r="X15" i="31" s="1"/>
  <c r="V47" i="31"/>
  <c r="X47" i="31" s="1"/>
  <c r="V22" i="31"/>
  <c r="X22" i="31" s="1"/>
  <c r="V28" i="31"/>
  <c r="X28" i="31" s="1"/>
  <c r="V60" i="31"/>
  <c r="X60" i="31" s="1"/>
  <c r="V54" i="31"/>
  <c r="X54" i="31" s="1"/>
  <c r="V45" i="31"/>
  <c r="X45" i="31" s="1"/>
  <c r="V30" i="31"/>
  <c r="X30" i="31" s="1"/>
  <c r="V19" i="31"/>
  <c r="X19" i="31" s="1"/>
  <c r="V51" i="31"/>
  <c r="X51" i="31" s="1"/>
  <c r="V42" i="31"/>
  <c r="X42" i="31" s="1"/>
  <c r="V32" i="31"/>
  <c r="X32" i="31" s="1"/>
  <c r="V64" i="31"/>
  <c r="X64" i="31" s="1"/>
  <c r="V17" i="31"/>
  <c r="X17" i="31" s="1"/>
  <c r="V49" i="31"/>
  <c r="X49" i="31" s="1"/>
  <c r="V58" i="31"/>
  <c r="X58" i="31" s="1"/>
  <c r="V23" i="31"/>
  <c r="X23" i="31" s="1"/>
  <c r="V55" i="31"/>
  <c r="X55" i="31" s="1"/>
  <c r="V62" i="31"/>
  <c r="X62" i="31" s="1"/>
  <c r="V36" i="31"/>
  <c r="X36" i="31" s="1"/>
  <c r="V68" i="31"/>
  <c r="X68" i="31" s="1"/>
  <c r="V21" i="31"/>
  <c r="X21" i="31" s="1"/>
  <c r="V53" i="31"/>
  <c r="X53" i="31" s="1"/>
  <c r="V27" i="31"/>
  <c r="X27" i="31" s="1"/>
  <c r="V59" i="31"/>
  <c r="X59" i="31" s="1"/>
  <c r="V38" i="31"/>
  <c r="X38" i="31" s="1"/>
  <c r="V40" i="31"/>
  <c r="X40" i="31" s="1"/>
  <c r="V72" i="31"/>
  <c r="X72" i="31" s="1"/>
  <c r="V25" i="31"/>
  <c r="X25" i="31" s="1"/>
  <c r="V57" i="31"/>
  <c r="X57" i="31" s="1"/>
  <c r="V31" i="31"/>
  <c r="X31" i="31" s="1"/>
  <c r="V63" i="31"/>
  <c r="X63" i="31" s="1"/>
  <c r="V66" i="31"/>
  <c r="X66" i="31" s="1"/>
  <c r="V44" i="31"/>
  <c r="X44" i="31" s="1"/>
  <c r="V18" i="31"/>
  <c r="X18" i="31" s="1"/>
  <c r="V29" i="31"/>
  <c r="X29" i="31" s="1"/>
  <c r="V61" i="31"/>
  <c r="X61" i="31" s="1"/>
  <c r="V34" i="31"/>
  <c r="X34" i="31" s="1"/>
  <c r="V35" i="31"/>
  <c r="X35" i="31" s="1"/>
  <c r="V67" i="31"/>
  <c r="X67" i="31" s="1"/>
  <c r="V16" i="31"/>
  <c r="X16" i="31" s="1"/>
  <c r="V48" i="31"/>
  <c r="X48" i="31" s="1"/>
  <c r="V46" i="31"/>
  <c r="X46" i="31" s="1"/>
  <c r="V33" i="31"/>
  <c r="X33" i="31" s="1"/>
  <c r="V65" i="31"/>
  <c r="X65" i="31" s="1"/>
  <c r="V50" i="31"/>
  <c r="X50" i="31" s="1"/>
  <c r="V39" i="31"/>
  <c r="X39" i="31" s="1"/>
  <c r="V71" i="31"/>
  <c r="X71" i="31" s="1"/>
  <c r="V20" i="31"/>
  <c r="X20" i="31" s="1"/>
  <c r="V52" i="31"/>
  <c r="X52" i="31" s="1"/>
  <c r="V74" i="31"/>
  <c r="X74" i="31" s="1"/>
  <c r="V37" i="31"/>
  <c r="X37" i="31" s="1"/>
  <c r="V69" i="31"/>
  <c r="X69" i="31" s="1"/>
  <c r="V70" i="31"/>
  <c r="X70" i="31" s="1"/>
  <c r="V43" i="31"/>
  <c r="X43" i="31" s="1"/>
  <c r="V75" i="31"/>
  <c r="X75" i="31" s="1"/>
  <c r="V24" i="31"/>
  <c r="X24" i="31" s="1"/>
  <c r="V56" i="31"/>
  <c r="X56" i="31" s="1"/>
  <c r="V26" i="31"/>
  <c r="X26" i="31" s="1"/>
  <c r="V41" i="31"/>
  <c r="X41" i="31" s="1"/>
  <c r="V73" i="31"/>
  <c r="X73" i="31" s="1"/>
  <c r="BA27" i="31"/>
  <c r="BP27" i="31" s="1"/>
  <c r="BR27" i="31" s="1"/>
  <c r="BA25" i="31"/>
  <c r="BP25" i="31" s="1"/>
  <c r="BR25" i="31" s="1"/>
  <c r="AW25" i="31"/>
  <c r="BO25" i="31" s="1"/>
  <c r="BQ25" i="31" s="1"/>
  <c r="AW27" i="31"/>
  <c r="BO27" i="31" s="1"/>
  <c r="BQ27" i="31" s="1"/>
  <c r="BA39" i="31"/>
  <c r="BA32" i="31"/>
  <c r="BA35" i="31"/>
  <c r="BA42" i="31"/>
  <c r="BA41" i="31"/>
  <c r="BA43" i="31"/>
  <c r="BA36" i="31"/>
  <c r="BA37" i="31"/>
  <c r="BA44" i="31"/>
  <c r="BA34" i="31"/>
  <c r="BA33" i="31"/>
  <c r="BA45" i="31"/>
  <c r="BA40" i="31"/>
  <c r="AW36" i="31"/>
  <c r="AW45" i="31"/>
  <c r="AW32" i="31"/>
  <c r="AW42" i="31"/>
  <c r="AW43" i="31"/>
  <c r="AW41" i="31"/>
  <c r="AW37" i="31"/>
  <c r="AW40" i="31"/>
  <c r="AW39" i="31"/>
  <c r="AW34" i="31"/>
  <c r="AW35" i="31"/>
  <c r="AW33" i="31"/>
  <c r="AW44" i="31"/>
  <c r="S14" i="31"/>
  <c r="W14" i="31" s="1"/>
  <c r="Y14" i="31" s="1"/>
  <c r="O14" i="31"/>
  <c r="V14" i="31" s="1"/>
  <c r="X14" i="31" s="1"/>
  <c r="BA20" i="31"/>
  <c r="BP20" i="31" s="1"/>
  <c r="BR20" i="31" s="1"/>
  <c r="BA16" i="31"/>
  <c r="BP16" i="31" s="1"/>
  <c r="BA18" i="31"/>
  <c r="BP18" i="31" s="1"/>
  <c r="BR18" i="31" s="1"/>
  <c r="BA15" i="31"/>
  <c r="BP15" i="31" s="1"/>
  <c r="BR15" i="31" s="1"/>
  <c r="BA17" i="31"/>
  <c r="BP17" i="31" s="1"/>
  <c r="BA19" i="31"/>
  <c r="BP19" i="31" s="1"/>
  <c r="BR19" i="31" s="1"/>
  <c r="T32" i="14"/>
  <c r="U31" i="14"/>
  <c r="J35" i="14" l="1"/>
  <c r="K35" i="14" s="1"/>
  <c r="L35" i="14" s="1"/>
  <c r="M35" i="14" s="1"/>
  <c r="N35" i="14" s="1"/>
  <c r="I35" i="14"/>
  <c r="BG15" i="31"/>
  <c r="BJ15" i="31"/>
  <c r="BH15" i="31"/>
  <c r="BI15" i="31"/>
  <c r="BK15" i="31"/>
  <c r="BB27" i="31"/>
  <c r="BC27" i="31"/>
  <c r="BD27" i="31"/>
  <c r="BE27" i="31"/>
  <c r="BF27" i="31"/>
  <c r="BK19" i="31"/>
  <c r="BG19" i="31"/>
  <c r="BJ19" i="31"/>
  <c r="BH19" i="31"/>
  <c r="BI19" i="31"/>
  <c r="BE25" i="31"/>
  <c r="BD25" i="31"/>
  <c r="BC25" i="31"/>
  <c r="BB25" i="31"/>
  <c r="BF25" i="31"/>
  <c r="BG27" i="31"/>
  <c r="BH27" i="31"/>
  <c r="BI27" i="31"/>
  <c r="BJ27" i="31"/>
  <c r="BK27" i="31"/>
  <c r="BJ18" i="31"/>
  <c r="BH18" i="31"/>
  <c r="BI18" i="31"/>
  <c r="BK18" i="31"/>
  <c r="BG18" i="31"/>
  <c r="BK25" i="31"/>
  <c r="BJ25" i="31"/>
  <c r="BI25" i="31"/>
  <c r="BH25" i="31"/>
  <c r="BG25" i="31"/>
  <c r="BK20" i="31"/>
  <c r="BG20" i="31"/>
  <c r="BJ20" i="31"/>
  <c r="BH20" i="31"/>
  <c r="BI20" i="31"/>
  <c r="BR17" i="31"/>
  <c r="BR16" i="31"/>
  <c r="T168" i="7"/>
  <c r="BP34" i="31"/>
  <c r="T36" i="7"/>
  <c r="BP39" i="31"/>
  <c r="P111" i="7"/>
  <c r="BO32" i="31"/>
  <c r="P34" i="7"/>
  <c r="BO43" i="31"/>
  <c r="BQ43" i="31" s="1"/>
  <c r="P108" i="7"/>
  <c r="BO42" i="31"/>
  <c r="BQ42" i="31" s="1"/>
  <c r="P139" i="7"/>
  <c r="BO45" i="31"/>
  <c r="BQ45" i="31" s="1"/>
  <c r="P36" i="7"/>
  <c r="BO39" i="31"/>
  <c r="BQ39" i="31" s="1"/>
  <c r="T34" i="7"/>
  <c r="BP43" i="31"/>
  <c r="P221" i="7"/>
  <c r="BO40" i="31"/>
  <c r="BQ40" i="31" s="1"/>
  <c r="T112" i="7"/>
  <c r="BP41" i="31"/>
  <c r="P217" i="7"/>
  <c r="BO37" i="31"/>
  <c r="BQ37" i="31" s="1"/>
  <c r="T108" i="7"/>
  <c r="BP42" i="31"/>
  <c r="P28" i="7"/>
  <c r="BO44" i="31"/>
  <c r="BQ44" i="31" s="1"/>
  <c r="T111" i="7"/>
  <c r="BP32" i="31"/>
  <c r="P103" i="7"/>
  <c r="BO33" i="31"/>
  <c r="BQ33" i="31" s="1"/>
  <c r="T102" i="7"/>
  <c r="BP44" i="31"/>
  <c r="P80" i="7"/>
  <c r="BO35" i="31"/>
  <c r="T217" i="7"/>
  <c r="BP37" i="31"/>
  <c r="P168" i="7"/>
  <c r="BO34" i="31"/>
  <c r="T174" i="7"/>
  <c r="BP36" i="31"/>
  <c r="P42" i="7"/>
  <c r="BO36" i="31"/>
  <c r="BQ36" i="31" s="1"/>
  <c r="T221" i="7"/>
  <c r="BP40" i="31"/>
  <c r="T139" i="7"/>
  <c r="BP45" i="31"/>
  <c r="P71" i="7"/>
  <c r="BO41" i="31"/>
  <c r="BQ41" i="31" s="1"/>
  <c r="T133" i="7"/>
  <c r="BP33" i="31"/>
  <c r="T109" i="7"/>
  <c r="BP35" i="31"/>
  <c r="AD42" i="31"/>
  <c r="Y108" i="7" s="1"/>
  <c r="AB42" i="31"/>
  <c r="AC42" i="31"/>
  <c r="X108" i="7" s="1"/>
  <c r="Z42" i="31"/>
  <c r="U108" i="7" s="1"/>
  <c r="AA42" i="31"/>
  <c r="V108" i="7" s="1"/>
  <c r="AH65" i="31"/>
  <c r="AC190" i="7" s="1"/>
  <c r="AI65" i="31"/>
  <c r="AD190" i="7" s="1"/>
  <c r="AE65" i="31"/>
  <c r="Z190" i="7" s="1"/>
  <c r="AF65" i="31"/>
  <c r="AA190" i="7" s="1"/>
  <c r="AG65" i="31"/>
  <c r="AB56" i="31"/>
  <c r="AC56" i="31"/>
  <c r="X164" i="7" s="1"/>
  <c r="AD56" i="31"/>
  <c r="Y164" i="7" s="1"/>
  <c r="Z56" i="31"/>
  <c r="U164" i="7" s="1"/>
  <c r="AA56" i="31"/>
  <c r="V164" i="7" s="1"/>
  <c r="AB52" i="31"/>
  <c r="AA52" i="31"/>
  <c r="V140" i="7" s="1"/>
  <c r="AC52" i="31"/>
  <c r="X140" i="7" s="1"/>
  <c r="AD52" i="31"/>
  <c r="Y140" i="7" s="1"/>
  <c r="Z52" i="31"/>
  <c r="U140" i="7" s="1"/>
  <c r="AA48" i="31"/>
  <c r="V122" i="7" s="1"/>
  <c r="AD48" i="31"/>
  <c r="Y122" i="7" s="1"/>
  <c r="Z48" i="31"/>
  <c r="U122" i="7" s="1"/>
  <c r="AC48" i="31"/>
  <c r="X122" i="7" s="1"/>
  <c r="AB48" i="31"/>
  <c r="AB44" i="31"/>
  <c r="AC44" i="31"/>
  <c r="X110" i="7" s="1"/>
  <c r="AD44" i="31"/>
  <c r="Y110" i="7" s="1"/>
  <c r="AA44" i="31"/>
  <c r="V110" i="7" s="1"/>
  <c r="Z44" i="31"/>
  <c r="U110" i="7" s="1"/>
  <c r="AA38" i="31"/>
  <c r="V100" i="7" s="1"/>
  <c r="Z38" i="31"/>
  <c r="U100" i="7" s="1"/>
  <c r="AB38" i="31"/>
  <c r="AC38" i="31"/>
  <c r="X100" i="7" s="1"/>
  <c r="AD38" i="31"/>
  <c r="Y100" i="7" s="1"/>
  <c r="AA55" i="31"/>
  <c r="V160" i="7" s="1"/>
  <c r="AD55" i="31"/>
  <c r="Y160" i="7" s="1"/>
  <c r="Z55" i="31"/>
  <c r="U160" i="7" s="1"/>
  <c r="AB55" i="31"/>
  <c r="AC55" i="31"/>
  <c r="X160" i="7" s="1"/>
  <c r="AC51" i="31"/>
  <c r="X139" i="7" s="1"/>
  <c r="AB51" i="31"/>
  <c r="AD51" i="31"/>
  <c r="Y139" i="7" s="1"/>
  <c r="Z51" i="31"/>
  <c r="U139" i="7" s="1"/>
  <c r="AA51" i="31"/>
  <c r="V139" i="7" s="1"/>
  <c r="AB47" i="31"/>
  <c r="AC47" i="31"/>
  <c r="X117" i="7" s="1"/>
  <c r="AA47" i="31"/>
  <c r="V117" i="7" s="1"/>
  <c r="AD47" i="31"/>
  <c r="Z47" i="31"/>
  <c r="U117" i="7" s="1"/>
  <c r="AF46" i="31"/>
  <c r="AA112" i="7" s="1"/>
  <c r="AH46" i="31"/>
  <c r="AC112" i="7" s="1"/>
  <c r="AI46" i="31"/>
  <c r="AD112" i="7" s="1"/>
  <c r="AG46" i="31"/>
  <c r="AE46" i="31"/>
  <c r="Z112" i="7" s="1"/>
  <c r="AH45" i="31"/>
  <c r="AC111" i="7" s="1"/>
  <c r="AI45" i="31"/>
  <c r="AD111" i="7" s="1"/>
  <c r="AG45" i="31"/>
  <c r="AF45" i="31"/>
  <c r="AA111" i="7" s="1"/>
  <c r="AE45" i="31"/>
  <c r="Z111" i="7" s="1"/>
  <c r="AG41" i="31"/>
  <c r="AH41" i="31"/>
  <c r="AC106" i="7" s="1"/>
  <c r="AI41" i="31"/>
  <c r="AD106" i="7" s="1"/>
  <c r="AE41" i="31"/>
  <c r="Z106" i="7" s="1"/>
  <c r="AF41" i="31"/>
  <c r="AA106" i="7" s="1"/>
  <c r="AH37" i="31"/>
  <c r="AC93" i="7" s="1"/>
  <c r="AI37" i="31"/>
  <c r="AD93" i="7" s="1"/>
  <c r="AG37" i="31"/>
  <c r="AF37" i="31"/>
  <c r="AA93" i="7" s="1"/>
  <c r="AE37" i="31"/>
  <c r="Z93" i="7" s="1"/>
  <c r="AG33" i="31"/>
  <c r="AH33" i="31"/>
  <c r="AC80" i="7" s="1"/>
  <c r="AI33" i="31"/>
  <c r="AE33" i="31"/>
  <c r="Z80" i="7" s="1"/>
  <c r="AF33" i="31"/>
  <c r="AA80" i="7" s="1"/>
  <c r="AH29" i="31"/>
  <c r="AC69" i="7" s="1"/>
  <c r="AI29" i="31"/>
  <c r="AD69" i="7" s="1"/>
  <c r="AG29" i="31"/>
  <c r="AF29" i="31"/>
  <c r="AA69" i="7" s="1"/>
  <c r="AE29" i="31"/>
  <c r="Z69" i="7" s="1"/>
  <c r="AE25" i="31"/>
  <c r="Z55" i="7" s="1"/>
  <c r="AF25" i="31"/>
  <c r="AA55" i="7" s="1"/>
  <c r="AG25" i="31"/>
  <c r="AH25" i="31"/>
  <c r="AC55" i="7" s="1"/>
  <c r="AI25" i="31"/>
  <c r="AD55" i="7" s="1"/>
  <c r="Z74" i="31"/>
  <c r="AD74" i="31"/>
  <c r="Y224" i="7" s="1"/>
  <c r="AB74" i="31"/>
  <c r="AA74" i="31"/>
  <c r="V224" i="7" s="1"/>
  <c r="AC74" i="31"/>
  <c r="X224" i="7" s="1"/>
  <c r="AF15" i="31"/>
  <c r="AA23" i="7" s="1"/>
  <c r="AE15" i="31"/>
  <c r="Z23" i="7" s="1"/>
  <c r="AG15" i="31"/>
  <c r="AH15" i="31"/>
  <c r="AC23" i="7" s="1"/>
  <c r="AI15" i="31"/>
  <c r="AD23" i="7" s="1"/>
  <c r="AD24" i="31"/>
  <c r="Y54" i="7" s="1"/>
  <c r="Z24" i="31"/>
  <c r="U54" i="7" s="1"/>
  <c r="AA24" i="31"/>
  <c r="V54" i="7" s="1"/>
  <c r="AB24" i="31"/>
  <c r="AC24" i="31"/>
  <c r="X54" i="7" s="1"/>
  <c r="AB20" i="31"/>
  <c r="AA20" i="31"/>
  <c r="V39" i="7" s="1"/>
  <c r="AC20" i="31"/>
  <c r="X39" i="7" s="1"/>
  <c r="AD20" i="31"/>
  <c r="Y39" i="7" s="1"/>
  <c r="Z20" i="31"/>
  <c r="U39" i="7" s="1"/>
  <c r="AD16" i="31"/>
  <c r="Y24" i="7" s="1"/>
  <c r="Z16" i="31"/>
  <c r="U24" i="7" s="1"/>
  <c r="AC16" i="31"/>
  <c r="X24" i="7" s="1"/>
  <c r="AB16" i="31"/>
  <c r="AA16" i="31"/>
  <c r="V24" i="7" s="1"/>
  <c r="AC66" i="31"/>
  <c r="X192" i="7" s="1"/>
  <c r="AB66" i="31"/>
  <c r="AD66" i="31"/>
  <c r="Y192" i="7" s="1"/>
  <c r="Z66" i="31"/>
  <c r="U192" i="7" s="1"/>
  <c r="AA66" i="31"/>
  <c r="V192" i="7" s="1"/>
  <c r="AC59" i="31"/>
  <c r="X169" i="7" s="1"/>
  <c r="AB59" i="31"/>
  <c r="AD59" i="31"/>
  <c r="Y169" i="7" s="1"/>
  <c r="Z59" i="31"/>
  <c r="U169" i="7" s="1"/>
  <c r="AA59" i="31"/>
  <c r="V169" i="7" s="1"/>
  <c r="AB23" i="31"/>
  <c r="AC23" i="31"/>
  <c r="X53" i="7" s="1"/>
  <c r="AA23" i="31"/>
  <c r="V53" i="7" s="1"/>
  <c r="AD23" i="31"/>
  <c r="Y53" i="7" s="1"/>
  <c r="Z23" i="31"/>
  <c r="U53" i="7" s="1"/>
  <c r="AA19" i="31"/>
  <c r="V36" i="7" s="1"/>
  <c r="AC19" i="31"/>
  <c r="X36" i="7" s="1"/>
  <c r="AB19" i="31"/>
  <c r="AD19" i="31"/>
  <c r="Y36" i="7" s="1"/>
  <c r="Z19" i="31"/>
  <c r="U36" i="7" s="1"/>
  <c r="AD15" i="31"/>
  <c r="Y23" i="7" s="1"/>
  <c r="Z15" i="31"/>
  <c r="U23" i="7" s="1"/>
  <c r="AB15" i="31"/>
  <c r="AC15" i="31"/>
  <c r="X23" i="7" s="1"/>
  <c r="AA15" i="31"/>
  <c r="V23" i="7" s="1"/>
  <c r="AI49" i="31"/>
  <c r="AD128" i="7" s="1"/>
  <c r="AE49" i="31"/>
  <c r="Z128" i="7" s="1"/>
  <c r="AF49" i="31"/>
  <c r="AA128" i="7" s="1"/>
  <c r="AG49" i="31"/>
  <c r="AH49" i="31"/>
  <c r="AC128" i="7" s="1"/>
  <c r="AE72" i="31"/>
  <c r="Z220" i="7" s="1"/>
  <c r="AF72" i="31"/>
  <c r="AA220" i="7" s="1"/>
  <c r="AG72" i="31"/>
  <c r="AH72" i="31"/>
  <c r="AC220" i="7" s="1"/>
  <c r="AI72" i="31"/>
  <c r="AD220" i="7" s="1"/>
  <c r="AG68" i="31"/>
  <c r="AF68" i="31"/>
  <c r="AA200" i="7" s="1"/>
  <c r="AH68" i="31"/>
  <c r="AC200" i="7" s="1"/>
  <c r="AE68" i="31"/>
  <c r="Z200" i="7" s="1"/>
  <c r="AI68" i="31"/>
  <c r="AD200" i="7" s="1"/>
  <c r="AG64" i="31"/>
  <c r="AH64" i="31"/>
  <c r="AC187" i="7" s="1"/>
  <c r="AI64" i="31"/>
  <c r="AD187" i="7" s="1"/>
  <c r="AE64" i="31"/>
  <c r="Z187" i="7" s="1"/>
  <c r="AF64" i="31"/>
  <c r="AA187" i="7" s="1"/>
  <c r="AI60" i="31"/>
  <c r="AD170" i="7" s="1"/>
  <c r="AG60" i="31"/>
  <c r="AH60" i="31"/>
  <c r="AC170" i="7" s="1"/>
  <c r="AF60" i="31"/>
  <c r="AA170" i="7" s="1"/>
  <c r="AE60" i="31"/>
  <c r="Z170" i="7" s="1"/>
  <c r="AG56" i="31"/>
  <c r="AH56" i="31"/>
  <c r="AC164" i="7" s="1"/>
  <c r="AI56" i="31"/>
  <c r="AD164" i="7" s="1"/>
  <c r="AF56" i="31"/>
  <c r="AA164" i="7" s="1"/>
  <c r="AE56" i="31"/>
  <c r="Z164" i="7" s="1"/>
  <c r="AH52" i="31"/>
  <c r="AC140" i="7" s="1"/>
  <c r="AI52" i="31"/>
  <c r="AD140" i="7" s="1"/>
  <c r="AG52" i="31"/>
  <c r="AF52" i="31"/>
  <c r="AA140" i="7" s="1"/>
  <c r="AE52" i="31"/>
  <c r="Z140" i="7" s="1"/>
  <c r="AA46" i="31"/>
  <c r="V112" i="7" s="1"/>
  <c r="AD46" i="31"/>
  <c r="Y112" i="7" s="1"/>
  <c r="AC46" i="31"/>
  <c r="X112" i="7" s="1"/>
  <c r="AB46" i="31"/>
  <c r="Z46" i="31"/>
  <c r="U112" i="7" s="1"/>
  <c r="AA22" i="31"/>
  <c r="V48" i="7" s="1"/>
  <c r="Z22" i="31"/>
  <c r="U48" i="7" s="1"/>
  <c r="AB22" i="31"/>
  <c r="AC22" i="31"/>
  <c r="X48" i="7" s="1"/>
  <c r="AD22" i="31"/>
  <c r="Y48" i="7" s="1"/>
  <c r="AH69" i="31"/>
  <c r="AC206" i="7" s="1"/>
  <c r="AI69" i="31"/>
  <c r="AD206" i="7" s="1"/>
  <c r="AG69" i="31"/>
  <c r="AF69" i="31"/>
  <c r="AA206" i="7" s="1"/>
  <c r="AE69" i="31"/>
  <c r="Z206" i="7" s="1"/>
  <c r="AG61" i="31"/>
  <c r="AF61" i="31"/>
  <c r="AA173" i="7" s="1"/>
  <c r="AE61" i="31"/>
  <c r="Z173" i="7" s="1"/>
  <c r="AH61" i="31"/>
  <c r="AC173" i="7" s="1"/>
  <c r="AI61" i="31"/>
  <c r="AD173" i="7" s="1"/>
  <c r="AD75" i="31"/>
  <c r="Z75" i="31"/>
  <c r="U225" i="7" s="1"/>
  <c r="AA75" i="31"/>
  <c r="V225" i="7" s="1"/>
  <c r="AC75" i="31"/>
  <c r="X225" i="7" s="1"/>
  <c r="AB75" i="31"/>
  <c r="AC71" i="31"/>
  <c r="X219" i="7" s="1"/>
  <c r="AA71" i="31"/>
  <c r="V219" i="7" s="1"/>
  <c r="AD71" i="31"/>
  <c r="Z71" i="31"/>
  <c r="U219" i="7" s="1"/>
  <c r="AB71" i="31"/>
  <c r="Z67" i="31"/>
  <c r="U193" i="7" s="1"/>
  <c r="AA67" i="31"/>
  <c r="V193" i="7" s="1"/>
  <c r="AC67" i="31"/>
  <c r="X193" i="7" s="1"/>
  <c r="AB67" i="31"/>
  <c r="AD67" i="31"/>
  <c r="Y193" i="7" s="1"/>
  <c r="AB63" i="31"/>
  <c r="AC63" i="31"/>
  <c r="X186" i="7" s="1"/>
  <c r="AA63" i="31"/>
  <c r="V186" i="7" s="1"/>
  <c r="AD63" i="31"/>
  <c r="Y186" i="7" s="1"/>
  <c r="Z63" i="31"/>
  <c r="U186" i="7" s="1"/>
  <c r="AD27" i="31"/>
  <c r="Y65" i="7" s="1"/>
  <c r="Z27" i="31"/>
  <c r="U65" i="7" s="1"/>
  <c r="AA27" i="31"/>
  <c r="V65" i="7" s="1"/>
  <c r="AC27" i="31"/>
  <c r="X65" i="7" s="1"/>
  <c r="AB27" i="31"/>
  <c r="AB58" i="31"/>
  <c r="AC58" i="31"/>
  <c r="X168" i="7" s="1"/>
  <c r="Z58" i="31"/>
  <c r="U168" i="7" s="1"/>
  <c r="AA58" i="31"/>
  <c r="V168" i="7" s="1"/>
  <c r="AD58" i="31"/>
  <c r="Y168" i="7" s="1"/>
  <c r="AA30" i="31"/>
  <c r="V70" i="7" s="1"/>
  <c r="AD30" i="31"/>
  <c r="Y70" i="7" s="1"/>
  <c r="AC30" i="31"/>
  <c r="X70" i="7" s="1"/>
  <c r="AB30" i="31"/>
  <c r="Z30" i="31"/>
  <c r="U70" i="7" s="1"/>
  <c r="AE53" i="31"/>
  <c r="Z152" i="7" s="1"/>
  <c r="AH53" i="31"/>
  <c r="AC152" i="7" s="1"/>
  <c r="AI53" i="31"/>
  <c r="AG53" i="31"/>
  <c r="AF53" i="31"/>
  <c r="AA152" i="7" s="1"/>
  <c r="AI17" i="31"/>
  <c r="AD28" i="7" s="1"/>
  <c r="AE17" i="31"/>
  <c r="Z28" i="7" s="1"/>
  <c r="AF17" i="31"/>
  <c r="AA28" i="7" s="1"/>
  <c r="AG17" i="31"/>
  <c r="AH17" i="31"/>
  <c r="AC28" i="7" s="1"/>
  <c r="AH40" i="31"/>
  <c r="AC103" i="7" s="1"/>
  <c r="AI40" i="31"/>
  <c r="AD103" i="7" s="1"/>
  <c r="AE40" i="31"/>
  <c r="Z103" i="7" s="1"/>
  <c r="AF40" i="31"/>
  <c r="AA103" i="7" s="1"/>
  <c r="AG40" i="31"/>
  <c r="AI36" i="31"/>
  <c r="AD89" i="7" s="1"/>
  <c r="AG36" i="31"/>
  <c r="AF36" i="31"/>
  <c r="AA89" i="7" s="1"/>
  <c r="AE36" i="31"/>
  <c r="Z89" i="7" s="1"/>
  <c r="AH36" i="31"/>
  <c r="AC89" i="7" s="1"/>
  <c r="AF32" i="31"/>
  <c r="AA75" i="7" s="1"/>
  <c r="AG32" i="31"/>
  <c r="AH32" i="31"/>
  <c r="AC75" i="7" s="1"/>
  <c r="AI32" i="31"/>
  <c r="AD75" i="7" s="1"/>
  <c r="AE32" i="31"/>
  <c r="Z75" i="7" s="1"/>
  <c r="AE28" i="31"/>
  <c r="Z66" i="7" s="1"/>
  <c r="AI28" i="31"/>
  <c r="AG28" i="31"/>
  <c r="AF28" i="31"/>
  <c r="AA66" i="7" s="1"/>
  <c r="AH28" i="31"/>
  <c r="AC66" i="7" s="1"/>
  <c r="AE24" i="31"/>
  <c r="Z54" i="7" s="1"/>
  <c r="AG24" i="31"/>
  <c r="AH24" i="31"/>
  <c r="AC54" i="7" s="1"/>
  <c r="AI24" i="31"/>
  <c r="AD54" i="7" s="1"/>
  <c r="AF24" i="31"/>
  <c r="AA54" i="7" s="1"/>
  <c r="AI20" i="31"/>
  <c r="AD39" i="7" s="1"/>
  <c r="AG20" i="31"/>
  <c r="AH20" i="31"/>
  <c r="AC39" i="7" s="1"/>
  <c r="AF20" i="31"/>
  <c r="AA39" i="7" s="1"/>
  <c r="AE20" i="31"/>
  <c r="Z39" i="7" s="1"/>
  <c r="AA62" i="31"/>
  <c r="V174" i="7" s="1"/>
  <c r="AD62" i="31"/>
  <c r="AB62" i="31"/>
  <c r="AC62" i="31"/>
  <c r="X174" i="7" s="1"/>
  <c r="Z62" i="31"/>
  <c r="U174" i="7" s="1"/>
  <c r="AB43" i="31"/>
  <c r="AD43" i="31"/>
  <c r="Y109" i="7" s="1"/>
  <c r="Z43" i="31"/>
  <c r="U109" i="7" s="1"/>
  <c r="AA43" i="31"/>
  <c r="V109" i="7" s="1"/>
  <c r="AC43" i="31"/>
  <c r="X109" i="7" s="1"/>
  <c r="AD39" i="31"/>
  <c r="Y102" i="7" s="1"/>
  <c r="Z39" i="31"/>
  <c r="U102" i="7" s="1"/>
  <c r="AB39" i="31"/>
  <c r="AC39" i="31"/>
  <c r="X102" i="7" s="1"/>
  <c r="AA39" i="31"/>
  <c r="V102" i="7" s="1"/>
  <c r="AD35" i="31"/>
  <c r="Y86" i="7" s="1"/>
  <c r="Z35" i="31"/>
  <c r="U86" i="7" s="1"/>
  <c r="AA35" i="31"/>
  <c r="V86" i="7" s="1"/>
  <c r="AC35" i="31"/>
  <c r="X86" i="7" s="1"/>
  <c r="AB35" i="31"/>
  <c r="AB31" i="31"/>
  <c r="AC31" i="31"/>
  <c r="X71" i="7" s="1"/>
  <c r="AA31" i="31"/>
  <c r="V71" i="7" s="1"/>
  <c r="AD31" i="31"/>
  <c r="Y71" i="7" s="1"/>
  <c r="Z31" i="31"/>
  <c r="U71" i="7" s="1"/>
  <c r="Z53" i="31"/>
  <c r="U152" i="7" s="1"/>
  <c r="AB53" i="31"/>
  <c r="AA53" i="31"/>
  <c r="V152" i="7" s="1"/>
  <c r="AC53" i="31"/>
  <c r="X152" i="7" s="1"/>
  <c r="AD53" i="31"/>
  <c r="AA49" i="31"/>
  <c r="V128" i="7" s="1"/>
  <c r="AB49" i="31"/>
  <c r="AD49" i="31"/>
  <c r="Y128" i="7" s="1"/>
  <c r="Z49" i="31"/>
  <c r="U128" i="7" s="1"/>
  <c r="AC49" i="31"/>
  <c r="X128" i="7" s="1"/>
  <c r="AC45" i="31"/>
  <c r="X111" i="7" s="1"/>
  <c r="AD45" i="31"/>
  <c r="Y111" i="7" s="1"/>
  <c r="Z45" i="31"/>
  <c r="U111" i="7" s="1"/>
  <c r="AB45" i="31"/>
  <c r="AA45" i="31"/>
  <c r="V111" i="7" s="1"/>
  <c r="AG21" i="31"/>
  <c r="AF21" i="31"/>
  <c r="AA42" i="7" s="1"/>
  <c r="AE21" i="31"/>
  <c r="Z42" i="7" s="1"/>
  <c r="AH21" i="31"/>
  <c r="AC42" i="7" s="1"/>
  <c r="AI21" i="31"/>
  <c r="AD42" i="7" s="1"/>
  <c r="AG44" i="31"/>
  <c r="AH44" i="31"/>
  <c r="AC110" i="7" s="1"/>
  <c r="AF44" i="31"/>
  <c r="AA110" i="7" s="1"/>
  <c r="AE44" i="31"/>
  <c r="Z110" i="7" s="1"/>
  <c r="AI44" i="31"/>
  <c r="AD110" i="7" s="1"/>
  <c r="AH71" i="31"/>
  <c r="AC219" i="7" s="1"/>
  <c r="AI71" i="31"/>
  <c r="AF71" i="31"/>
  <c r="AA219" i="7" s="1"/>
  <c r="AE71" i="31"/>
  <c r="Z219" i="7" s="1"/>
  <c r="AG71" i="31"/>
  <c r="AE67" i="31"/>
  <c r="Z193" i="7" s="1"/>
  <c r="AF67" i="31"/>
  <c r="AA193" i="7" s="1"/>
  <c r="AI67" i="31"/>
  <c r="AD193" i="7" s="1"/>
  <c r="AH67" i="31"/>
  <c r="AC193" i="7" s="1"/>
  <c r="AG67" i="31"/>
  <c r="AH63" i="31"/>
  <c r="AC186" i="7" s="1"/>
  <c r="AI63" i="31"/>
  <c r="AD186" i="7" s="1"/>
  <c r="AF63" i="31"/>
  <c r="AA186" i="7" s="1"/>
  <c r="AE63" i="31"/>
  <c r="Z186" i="7" s="1"/>
  <c r="AG63" i="31"/>
  <c r="AF59" i="31"/>
  <c r="AA169" i="7" s="1"/>
  <c r="AI59" i="31"/>
  <c r="AD169" i="7" s="1"/>
  <c r="AH59" i="31"/>
  <c r="AC169" i="7" s="1"/>
  <c r="AG59" i="31"/>
  <c r="AE59" i="31"/>
  <c r="Z169" i="7" s="1"/>
  <c r="AG55" i="31"/>
  <c r="AH55" i="31"/>
  <c r="AC160" i="7" s="1"/>
  <c r="AI55" i="31"/>
  <c r="AD160" i="7" s="1"/>
  <c r="AF55" i="31"/>
  <c r="AA160" i="7" s="1"/>
  <c r="AE55" i="31"/>
  <c r="Z160" i="7" s="1"/>
  <c r="AI51" i="31"/>
  <c r="AD139" i="7" s="1"/>
  <c r="AH51" i="31"/>
  <c r="AC139" i="7" s="1"/>
  <c r="AE51" i="31"/>
  <c r="Z139" i="7" s="1"/>
  <c r="AG51" i="31"/>
  <c r="AF51" i="31"/>
  <c r="AA139" i="7" s="1"/>
  <c r="AC26" i="31"/>
  <c r="X59" i="7" s="1"/>
  <c r="Z26" i="31"/>
  <c r="U59" i="7" s="1"/>
  <c r="AA26" i="31"/>
  <c r="V59" i="7" s="1"/>
  <c r="AD26" i="31"/>
  <c r="Y59" i="7" s="1"/>
  <c r="AB26" i="31"/>
  <c r="AG42" i="31"/>
  <c r="AH42" i="31"/>
  <c r="AC108" i="7" s="1"/>
  <c r="AI42" i="31"/>
  <c r="AD108" i="7" s="1"/>
  <c r="AF42" i="31"/>
  <c r="AA108" i="7" s="1"/>
  <c r="AE42" i="31"/>
  <c r="Z108" i="7" s="1"/>
  <c r="AC70" i="31"/>
  <c r="X217" i="7" s="1"/>
  <c r="AD70" i="31"/>
  <c r="Y217" i="7" s="1"/>
  <c r="AA70" i="31"/>
  <c r="V217" i="7" s="1"/>
  <c r="Z70" i="31"/>
  <c r="U217" i="7" s="1"/>
  <c r="AB70" i="31"/>
  <c r="AB50" i="31"/>
  <c r="AD50" i="31"/>
  <c r="Y133" i="7" s="1"/>
  <c r="AA50" i="31"/>
  <c r="V133" i="7" s="1"/>
  <c r="Z50" i="31"/>
  <c r="U133" i="7" s="1"/>
  <c r="AC50" i="31"/>
  <c r="X133" i="7" s="1"/>
  <c r="AD34" i="31"/>
  <c r="Y81" i="7" s="1"/>
  <c r="Z34" i="31"/>
  <c r="U81" i="7" s="1"/>
  <c r="AA34" i="31"/>
  <c r="V81" i="7" s="1"/>
  <c r="AC34" i="31"/>
  <c r="X81" i="7" s="1"/>
  <c r="AB34" i="31"/>
  <c r="AA57" i="31"/>
  <c r="V167" i="7" s="1"/>
  <c r="AB57" i="31"/>
  <c r="AD57" i="31"/>
  <c r="Y167" i="7" s="1"/>
  <c r="Z57" i="31"/>
  <c r="U167" i="7" s="1"/>
  <c r="AC57" i="31"/>
  <c r="X167" i="7" s="1"/>
  <c r="AC21" i="31"/>
  <c r="X42" i="7" s="1"/>
  <c r="AD21" i="31"/>
  <c r="Y42" i="7" s="1"/>
  <c r="Z21" i="31"/>
  <c r="U42" i="7" s="1"/>
  <c r="AB21" i="31"/>
  <c r="AA21" i="31"/>
  <c r="V42" i="7" s="1"/>
  <c r="AA17" i="31"/>
  <c r="V28" i="7" s="1"/>
  <c r="AB17" i="31"/>
  <c r="AD17" i="31"/>
  <c r="Y28" i="7" s="1"/>
  <c r="Z17" i="31"/>
  <c r="U28" i="7" s="1"/>
  <c r="AC17" i="31"/>
  <c r="X28" i="7" s="1"/>
  <c r="AA54" i="31"/>
  <c r="V154" i="7" s="1"/>
  <c r="Z54" i="31"/>
  <c r="U154" i="7" s="1"/>
  <c r="AB54" i="31"/>
  <c r="AC54" i="31"/>
  <c r="X154" i="7" s="1"/>
  <c r="AD54" i="31"/>
  <c r="Y154" i="7" s="1"/>
  <c r="AH48" i="31"/>
  <c r="AC122" i="7" s="1"/>
  <c r="AI48" i="31"/>
  <c r="AD122" i="7" s="1"/>
  <c r="AE48" i="31"/>
  <c r="Z122" i="7" s="1"/>
  <c r="AF48" i="31"/>
  <c r="AA122" i="7" s="1"/>
  <c r="AG48" i="31"/>
  <c r="AI75" i="31"/>
  <c r="AH75" i="31"/>
  <c r="AC225" i="7" s="1"/>
  <c r="AE75" i="31"/>
  <c r="Z225" i="7" s="1"/>
  <c r="AG75" i="31"/>
  <c r="AF75" i="31"/>
  <c r="AA225" i="7" s="1"/>
  <c r="AE39" i="31"/>
  <c r="Z102" i="7" s="1"/>
  <c r="AG39" i="31"/>
  <c r="AH39" i="31"/>
  <c r="AC102" i="7" s="1"/>
  <c r="AI39" i="31"/>
  <c r="AD102" i="7" s="1"/>
  <c r="AF39" i="31"/>
  <c r="AA102" i="7" s="1"/>
  <c r="AI35" i="31"/>
  <c r="AD86" i="7" s="1"/>
  <c r="AH35" i="31"/>
  <c r="AC86" i="7" s="1"/>
  <c r="AG35" i="31"/>
  <c r="AE35" i="31"/>
  <c r="Z86" i="7" s="1"/>
  <c r="AF35" i="31"/>
  <c r="AA86" i="7" s="1"/>
  <c r="AG31" i="31"/>
  <c r="AH31" i="31"/>
  <c r="AC71" i="7" s="1"/>
  <c r="AI31" i="31"/>
  <c r="AD71" i="7" s="1"/>
  <c r="AF31" i="31"/>
  <c r="AA71" i="7" s="1"/>
  <c r="AE31" i="31"/>
  <c r="Z71" i="7" s="1"/>
  <c r="AG27" i="31"/>
  <c r="AE27" i="31"/>
  <c r="Z65" i="7" s="1"/>
  <c r="AF27" i="31"/>
  <c r="AA65" i="7" s="1"/>
  <c r="AI27" i="31"/>
  <c r="AD65" i="7" s="1"/>
  <c r="AH27" i="31"/>
  <c r="AC65" i="7" s="1"/>
  <c r="AG23" i="31"/>
  <c r="AH23" i="31"/>
  <c r="AC53" i="7" s="1"/>
  <c r="AI23" i="31"/>
  <c r="AD53" i="7" s="1"/>
  <c r="AF23" i="31"/>
  <c r="AA53" i="7" s="1"/>
  <c r="AE23" i="31"/>
  <c r="Z53" i="7" s="1"/>
  <c r="AG19" i="31"/>
  <c r="AF19" i="31"/>
  <c r="AA36" i="7" s="1"/>
  <c r="AI19" i="31"/>
  <c r="AD36" i="7" s="1"/>
  <c r="AH19" i="31"/>
  <c r="AC36" i="7" s="1"/>
  <c r="AE19" i="31"/>
  <c r="Z36" i="7" s="1"/>
  <c r="AA40" i="31"/>
  <c r="V103" i="7" s="1"/>
  <c r="AB40" i="31"/>
  <c r="AC40" i="31"/>
  <c r="X103" i="7" s="1"/>
  <c r="AD40" i="31"/>
  <c r="Y103" i="7" s="1"/>
  <c r="Z40" i="31"/>
  <c r="U103" i="7" s="1"/>
  <c r="AH73" i="31"/>
  <c r="AC221" i="7" s="1"/>
  <c r="AG73" i="31"/>
  <c r="AI73" i="31"/>
  <c r="AD221" i="7" s="1"/>
  <c r="AE73" i="31"/>
  <c r="Z221" i="7" s="1"/>
  <c r="AF73" i="31"/>
  <c r="AA221" i="7" s="1"/>
  <c r="AG57" i="31"/>
  <c r="AH57" i="31"/>
  <c r="AC167" i="7" s="1"/>
  <c r="AI57" i="31"/>
  <c r="AD167" i="7" s="1"/>
  <c r="AE57" i="31"/>
  <c r="Z167" i="7" s="1"/>
  <c r="AF57" i="31"/>
  <c r="AA167" i="7" s="1"/>
  <c r="Z14" i="31"/>
  <c r="U20" i="7" s="1"/>
  <c r="AA14" i="31"/>
  <c r="V20" i="7" s="1"/>
  <c r="AB14" i="31"/>
  <c r="AC14" i="31"/>
  <c r="X20" i="7" s="1"/>
  <c r="AD14" i="31"/>
  <c r="Y20" i="7" s="1"/>
  <c r="AA73" i="31"/>
  <c r="V221" i="7" s="1"/>
  <c r="AB73" i="31"/>
  <c r="AD73" i="31"/>
  <c r="Y221" i="7" s="1"/>
  <c r="Z73" i="31"/>
  <c r="U221" i="7" s="1"/>
  <c r="AC73" i="31"/>
  <c r="X221" i="7" s="1"/>
  <c r="AB69" i="31"/>
  <c r="AA69" i="31"/>
  <c r="V206" i="7" s="1"/>
  <c r="AC69" i="31"/>
  <c r="X206" i="7" s="1"/>
  <c r="AD69" i="31"/>
  <c r="Y206" i="7" s="1"/>
  <c r="Z69" i="31"/>
  <c r="U206" i="7" s="1"/>
  <c r="Z65" i="31"/>
  <c r="U190" i="7" s="1"/>
  <c r="AC65" i="31"/>
  <c r="X190" i="7" s="1"/>
  <c r="AA65" i="31"/>
  <c r="V190" i="7" s="1"/>
  <c r="AB65" i="31"/>
  <c r="AD65" i="31"/>
  <c r="Y190" i="7" s="1"/>
  <c r="AC61" i="31"/>
  <c r="X173" i="7" s="1"/>
  <c r="AD61" i="31"/>
  <c r="Y173" i="7" s="1"/>
  <c r="Z61" i="31"/>
  <c r="U173" i="7" s="1"/>
  <c r="AB61" i="31"/>
  <c r="AA61" i="31"/>
  <c r="V173" i="7" s="1"/>
  <c r="AC25" i="31"/>
  <c r="X55" i="7" s="1"/>
  <c r="AA25" i="31"/>
  <c r="V55" i="7" s="1"/>
  <c r="AB25" i="31"/>
  <c r="AD25" i="31"/>
  <c r="Y55" i="7" s="1"/>
  <c r="Z25" i="31"/>
  <c r="U55" i="7" s="1"/>
  <c r="AB68" i="31"/>
  <c r="AA68" i="31"/>
  <c r="V200" i="7" s="1"/>
  <c r="AC68" i="31"/>
  <c r="X200" i="7" s="1"/>
  <c r="AD68" i="31"/>
  <c r="Y200" i="7" s="1"/>
  <c r="Z68" i="31"/>
  <c r="U200" i="7" s="1"/>
  <c r="AD64" i="31"/>
  <c r="Y187" i="7" s="1"/>
  <c r="Z64" i="31"/>
  <c r="U187" i="7" s="1"/>
  <c r="AC64" i="31"/>
  <c r="X187" i="7" s="1"/>
  <c r="AA64" i="31"/>
  <c r="V187" i="7" s="1"/>
  <c r="AB64" i="31"/>
  <c r="AD60" i="31"/>
  <c r="Y170" i="7" s="1"/>
  <c r="AC60" i="31"/>
  <c r="X170" i="7" s="1"/>
  <c r="AA60" i="31"/>
  <c r="V170" i="7" s="1"/>
  <c r="Z60" i="31"/>
  <c r="U170" i="7" s="1"/>
  <c r="AB60" i="31"/>
  <c r="AG16" i="31"/>
  <c r="AH16" i="31"/>
  <c r="AC24" i="7" s="1"/>
  <c r="AI16" i="31"/>
  <c r="AD24" i="7" s="1"/>
  <c r="AE16" i="31"/>
  <c r="Z24" i="7" s="1"/>
  <c r="AF16" i="31"/>
  <c r="AA24" i="7" s="1"/>
  <c r="AI43" i="31"/>
  <c r="AD109" i="7" s="1"/>
  <c r="AH43" i="31"/>
  <c r="AC109" i="7" s="1"/>
  <c r="AE43" i="31"/>
  <c r="Z109" i="7" s="1"/>
  <c r="AF43" i="31"/>
  <c r="AA109" i="7" s="1"/>
  <c r="AG43" i="31"/>
  <c r="AH70" i="31"/>
  <c r="AC217" i="7" s="1"/>
  <c r="AI70" i="31"/>
  <c r="AD217" i="7" s="1"/>
  <c r="AE70" i="31"/>
  <c r="Z217" i="7" s="1"/>
  <c r="AG70" i="31"/>
  <c r="AF70" i="31"/>
  <c r="AA217" i="7" s="1"/>
  <c r="AG66" i="31"/>
  <c r="AH66" i="31"/>
  <c r="AC192" i="7" s="1"/>
  <c r="AE66" i="31"/>
  <c r="Z192" i="7" s="1"/>
  <c r="AI66" i="31"/>
  <c r="AD192" i="7" s="1"/>
  <c r="AF66" i="31"/>
  <c r="AA192" i="7" s="1"/>
  <c r="AI62" i="31"/>
  <c r="AE62" i="31"/>
  <c r="Z174" i="7" s="1"/>
  <c r="AF62" i="31"/>
  <c r="AA174" i="7" s="1"/>
  <c r="AG62" i="31"/>
  <c r="AH62" i="31"/>
  <c r="AC174" i="7" s="1"/>
  <c r="AG58" i="31"/>
  <c r="AH58" i="31"/>
  <c r="AC168" i="7" s="1"/>
  <c r="AI58" i="31"/>
  <c r="AD168" i="7" s="1"/>
  <c r="AF58" i="31"/>
  <c r="AA168" i="7" s="1"/>
  <c r="AE58" i="31"/>
  <c r="Z168" i="7" s="1"/>
  <c r="AH54" i="31"/>
  <c r="AC154" i="7" s="1"/>
  <c r="AI54" i="31"/>
  <c r="AD154" i="7" s="1"/>
  <c r="AE54" i="31"/>
  <c r="Z154" i="7" s="1"/>
  <c r="AG54" i="31"/>
  <c r="AF54" i="31"/>
  <c r="AA154" i="7" s="1"/>
  <c r="AI50" i="31"/>
  <c r="AD133" i="7" s="1"/>
  <c r="AE50" i="31"/>
  <c r="Z133" i="7" s="1"/>
  <c r="AF50" i="31"/>
  <c r="AA133" i="7" s="1"/>
  <c r="AG50" i="31"/>
  <c r="AH50" i="31"/>
  <c r="AC133" i="7" s="1"/>
  <c r="AC18" i="31"/>
  <c r="X31" i="7" s="1"/>
  <c r="AB18" i="31"/>
  <c r="AD18" i="31"/>
  <c r="Y31" i="7" s="1"/>
  <c r="AA18" i="31"/>
  <c r="V31" i="7" s="1"/>
  <c r="Z18" i="31"/>
  <c r="U31" i="7" s="1"/>
  <c r="AF14" i="31"/>
  <c r="AA20" i="7" s="1"/>
  <c r="AE14" i="31"/>
  <c r="Z20" i="7" s="1"/>
  <c r="AG14" i="31"/>
  <c r="AI14" i="31"/>
  <c r="AD20" i="7" s="1"/>
  <c r="AH14" i="31"/>
  <c r="AC20" i="7" s="1"/>
  <c r="AB41" i="31"/>
  <c r="AD41" i="31"/>
  <c r="Y106" i="7" s="1"/>
  <c r="Z41" i="31"/>
  <c r="U106" i="7" s="1"/>
  <c r="AC41" i="31"/>
  <c r="X106" i="7" s="1"/>
  <c r="AA41" i="31"/>
  <c r="V106" i="7" s="1"/>
  <c r="AA37" i="31"/>
  <c r="V93" i="7" s="1"/>
  <c r="AC37" i="31"/>
  <c r="X93" i="7" s="1"/>
  <c r="AD37" i="31"/>
  <c r="Y93" i="7" s="1"/>
  <c r="Z37" i="31"/>
  <c r="U93" i="7" s="1"/>
  <c r="AB37" i="31"/>
  <c r="AC33" i="31"/>
  <c r="X80" i="7" s="1"/>
  <c r="AA33" i="31"/>
  <c r="V80" i="7" s="1"/>
  <c r="AB33" i="31"/>
  <c r="AD33" i="31"/>
  <c r="Z33" i="31"/>
  <c r="U80" i="7" s="1"/>
  <c r="AD29" i="31"/>
  <c r="Y69" i="7" s="1"/>
  <c r="Z29" i="31"/>
  <c r="U69" i="7" s="1"/>
  <c r="AB29" i="31"/>
  <c r="AA29" i="31"/>
  <c r="V69" i="7" s="1"/>
  <c r="AC29" i="31"/>
  <c r="X69" i="7" s="1"/>
  <c r="AD72" i="31"/>
  <c r="Y220" i="7" s="1"/>
  <c r="Z72" i="31"/>
  <c r="U220" i="7" s="1"/>
  <c r="AA72" i="31"/>
  <c r="V220" i="7" s="1"/>
  <c r="AB72" i="31"/>
  <c r="AC72" i="31"/>
  <c r="X220" i="7" s="1"/>
  <c r="AC36" i="31"/>
  <c r="X89" i="7" s="1"/>
  <c r="AD36" i="31"/>
  <c r="Y89" i="7" s="1"/>
  <c r="Z36" i="31"/>
  <c r="U89" i="7" s="1"/>
  <c r="AB36" i="31"/>
  <c r="AA36" i="31"/>
  <c r="V89" i="7" s="1"/>
  <c r="Z32" i="31"/>
  <c r="U75" i="7" s="1"/>
  <c r="AC32" i="31"/>
  <c r="X75" i="7" s="1"/>
  <c r="AA32" i="31"/>
  <c r="V75" i="7" s="1"/>
  <c r="AB32" i="31"/>
  <c r="AD32" i="31"/>
  <c r="Y75" i="7" s="1"/>
  <c r="AA28" i="31"/>
  <c r="V66" i="7" s="1"/>
  <c r="AB28" i="31"/>
  <c r="AD28" i="31"/>
  <c r="AC28" i="31"/>
  <c r="X66" i="7" s="1"/>
  <c r="Z28" i="31"/>
  <c r="U66" i="7" s="1"/>
  <c r="AG47" i="31"/>
  <c r="AH47" i="31"/>
  <c r="AC117" i="7" s="1"/>
  <c r="AI47" i="31"/>
  <c r="AF47" i="31"/>
  <c r="AA117" i="7" s="1"/>
  <c r="AE47" i="31"/>
  <c r="Z117" i="7" s="1"/>
  <c r="AF74" i="31"/>
  <c r="AA224" i="7" s="1"/>
  <c r="AI74" i="31"/>
  <c r="AD224" i="7" s="1"/>
  <c r="AE74" i="31"/>
  <c r="AH74" i="31"/>
  <c r="AC224" i="7" s="1"/>
  <c r="AG74" i="31"/>
  <c r="AG38" i="31"/>
  <c r="AF38" i="31"/>
  <c r="AA100" i="7" s="1"/>
  <c r="AH38" i="31"/>
  <c r="AC100" i="7" s="1"/>
  <c r="AI38" i="31"/>
  <c r="AD100" i="7" s="1"/>
  <c r="AE38" i="31"/>
  <c r="Z100" i="7" s="1"/>
  <c r="AG34" i="31"/>
  <c r="AH34" i="31"/>
  <c r="AC81" i="7" s="1"/>
  <c r="AI34" i="31"/>
  <c r="AD81" i="7" s="1"/>
  <c r="AE34" i="31"/>
  <c r="Z81" i="7" s="1"/>
  <c r="AF34" i="31"/>
  <c r="AA81" i="7" s="1"/>
  <c r="AH30" i="31"/>
  <c r="AC70" i="7" s="1"/>
  <c r="AI30" i="31"/>
  <c r="AD70" i="7" s="1"/>
  <c r="AE30" i="31"/>
  <c r="Z70" i="7" s="1"/>
  <c r="AF30" i="31"/>
  <c r="AA70" i="7" s="1"/>
  <c r="AG30" i="31"/>
  <c r="AF26" i="31"/>
  <c r="AA59" i="7" s="1"/>
  <c r="AE26" i="31"/>
  <c r="Z59" i="7" s="1"/>
  <c r="AG26" i="31"/>
  <c r="AH26" i="31"/>
  <c r="AC59" i="7" s="1"/>
  <c r="AI26" i="31"/>
  <c r="AD59" i="7" s="1"/>
  <c r="AH22" i="31"/>
  <c r="AC48" i="7" s="1"/>
  <c r="AI22" i="31"/>
  <c r="AD48" i="7" s="1"/>
  <c r="AE22" i="31"/>
  <c r="Z48" i="7" s="1"/>
  <c r="AG22" i="31"/>
  <c r="AF22" i="31"/>
  <c r="AA48" i="7" s="1"/>
  <c r="AG18" i="31"/>
  <c r="AH18" i="31"/>
  <c r="AC31" i="7" s="1"/>
  <c r="AI18" i="31"/>
  <c r="AD31" i="7" s="1"/>
  <c r="AE18" i="31"/>
  <c r="Z31" i="7" s="1"/>
  <c r="AF18" i="31"/>
  <c r="AA31" i="7" s="1"/>
  <c r="P86" i="7"/>
  <c r="T225" i="7"/>
  <c r="P220" i="7"/>
  <c r="P48" i="7"/>
  <c r="P164" i="7"/>
  <c r="P54" i="7"/>
  <c r="T164" i="7"/>
  <c r="P169" i="7"/>
  <c r="T71" i="7"/>
  <c r="P112" i="7"/>
  <c r="T75" i="7"/>
  <c r="T106" i="7"/>
  <c r="T192" i="7"/>
  <c r="P174" i="7"/>
  <c r="P219" i="7"/>
  <c r="P200" i="7"/>
  <c r="P154" i="7"/>
  <c r="P122" i="7"/>
  <c r="T206" i="7"/>
  <c r="T28" i="7"/>
  <c r="T86" i="7"/>
  <c r="T42" i="7"/>
  <c r="T53" i="7"/>
  <c r="P190" i="7"/>
  <c r="P187" i="7"/>
  <c r="P75" i="7"/>
  <c r="P65" i="7"/>
  <c r="P133" i="7"/>
  <c r="P89" i="7"/>
  <c r="T220" i="7"/>
  <c r="T190" i="7"/>
  <c r="T24" i="7"/>
  <c r="T117" i="7"/>
  <c r="T23" i="7"/>
  <c r="T103" i="7"/>
  <c r="P152" i="7"/>
  <c r="P160" i="7"/>
  <c r="P186" i="7"/>
  <c r="P100" i="7"/>
  <c r="P31" i="7"/>
  <c r="P53" i="7"/>
  <c r="T31" i="7"/>
  <c r="T81" i="7"/>
  <c r="T100" i="7"/>
  <c r="T89" i="7"/>
  <c r="P128" i="7"/>
  <c r="P225" i="7"/>
  <c r="P24" i="7"/>
  <c r="P117" i="7"/>
  <c r="T193" i="7"/>
  <c r="T187" i="7"/>
  <c r="T160" i="7"/>
  <c r="T65" i="7"/>
  <c r="T66" i="7"/>
  <c r="P173" i="7"/>
  <c r="P170" i="7"/>
  <c r="P106" i="7"/>
  <c r="P23" i="7"/>
  <c r="P81" i="7"/>
  <c r="T219" i="7"/>
  <c r="T186" i="7"/>
  <c r="T122" i="7"/>
  <c r="T54" i="7"/>
  <c r="P192" i="7"/>
  <c r="P66" i="7"/>
  <c r="P109" i="7"/>
  <c r="P193" i="7"/>
  <c r="P102" i="7"/>
  <c r="T169" i="7"/>
  <c r="T173" i="7"/>
  <c r="T170" i="7"/>
  <c r="T154" i="7"/>
  <c r="P206" i="7"/>
  <c r="T80" i="7"/>
  <c r="T200" i="7"/>
  <c r="T152" i="7"/>
  <c r="T128" i="7"/>
  <c r="T48" i="7"/>
  <c r="BA54" i="31"/>
  <c r="BA50" i="31"/>
  <c r="BA51" i="31"/>
  <c r="BP51" i="31" s="1"/>
  <c r="BR51" i="31" s="1"/>
  <c r="BA56" i="31"/>
  <c r="BA52" i="31"/>
  <c r="BP52" i="31" s="1"/>
  <c r="BR52" i="31" s="1"/>
  <c r="BA57" i="31"/>
  <c r="BP57" i="31" s="1"/>
  <c r="BR57" i="31" s="1"/>
  <c r="P215" i="7"/>
  <c r="P137" i="7"/>
  <c r="P209" i="7"/>
  <c r="P163" i="7"/>
  <c r="P79" i="7"/>
  <c r="P179" i="7"/>
  <c r="P161" i="7"/>
  <c r="P119" i="7"/>
  <c r="P218" i="7"/>
  <c r="P27" i="7"/>
  <c r="P136" i="7"/>
  <c r="P172" i="7"/>
  <c r="T162" i="7"/>
  <c r="T151" i="7"/>
  <c r="T35" i="7"/>
  <c r="T155" i="7"/>
  <c r="T97" i="7"/>
  <c r="T98" i="7"/>
  <c r="AW26" i="31"/>
  <c r="BO26" i="31" s="1"/>
  <c r="BQ26" i="31" s="1"/>
  <c r="P127" i="7"/>
  <c r="P143" i="7"/>
  <c r="P101" i="7"/>
  <c r="P52" i="7"/>
  <c r="P17" i="7"/>
  <c r="P201" i="7"/>
  <c r="P177" i="7"/>
  <c r="P129" i="7"/>
  <c r="P107" i="7"/>
  <c r="P88" i="7"/>
  <c r="P90" i="7"/>
  <c r="P64" i="7"/>
  <c r="P61" i="7"/>
  <c r="P78" i="7"/>
  <c r="P150" i="7"/>
  <c r="P41" i="7"/>
  <c r="P99" i="7"/>
  <c r="P92" i="7"/>
  <c r="P203" i="7"/>
  <c r="P153" i="7"/>
  <c r="P16" i="7"/>
  <c r="P184" i="7"/>
  <c r="P159" i="7"/>
  <c r="P82" i="7"/>
  <c r="P130" i="7"/>
  <c r="T120" i="7"/>
  <c r="T204" i="7"/>
  <c r="T222" i="7"/>
  <c r="P121" i="7"/>
  <c r="P144" i="7"/>
  <c r="P188" i="7"/>
  <c r="P148" i="7"/>
  <c r="P223" i="7"/>
  <c r="P141" i="7"/>
  <c r="P115" i="7"/>
  <c r="P46" i="7"/>
  <c r="P176" i="7"/>
  <c r="P207" i="7"/>
  <c r="P165" i="7"/>
  <c r="P73" i="7"/>
  <c r="P38" i="7"/>
  <c r="P83" i="7"/>
  <c r="P149" i="7"/>
  <c r="T30" i="7"/>
  <c r="T37" i="7"/>
  <c r="T113" i="7"/>
  <c r="T118" i="7"/>
  <c r="T212" i="7"/>
  <c r="T145" i="7"/>
  <c r="T21" i="7"/>
  <c r="T25" i="7"/>
  <c r="T142" i="7"/>
  <c r="T85" i="7"/>
  <c r="T158" i="7"/>
  <c r="T213" i="7"/>
  <c r="T14" i="7"/>
  <c r="T181" i="7"/>
  <c r="P97" i="7"/>
  <c r="P155" i="7"/>
  <c r="P98" i="7"/>
  <c r="P158" i="7"/>
  <c r="P30" i="7"/>
  <c r="P14" i="7"/>
  <c r="P181" i="7"/>
  <c r="P37" i="7"/>
  <c r="P212" i="7"/>
  <c r="P21" i="7"/>
  <c r="P118" i="7"/>
  <c r="P25" i="7"/>
  <c r="P213" i="7"/>
  <c r="P85" i="7"/>
  <c r="P142" i="7"/>
  <c r="P145" i="7"/>
  <c r="P113" i="7"/>
  <c r="P29" i="7"/>
  <c r="P63" i="7"/>
  <c r="P194" i="7"/>
  <c r="P210" i="7"/>
  <c r="P19" i="7"/>
  <c r="P49" i="7"/>
  <c r="P171" i="7"/>
  <c r="P196" i="7"/>
  <c r="P226" i="7"/>
  <c r="P26" i="7"/>
  <c r="P185" i="7"/>
  <c r="P22" i="7"/>
  <c r="P96" i="7"/>
  <c r="P214" i="7"/>
  <c r="P40" i="7"/>
  <c r="T63" i="7"/>
  <c r="T194" i="7"/>
  <c r="T171" i="7"/>
  <c r="T22" i="7"/>
  <c r="T196" i="7"/>
  <c r="T185" i="7"/>
  <c r="T49" i="7"/>
  <c r="T29" i="7"/>
  <c r="T214" i="7"/>
  <c r="T19" i="7"/>
  <c r="T26" i="7"/>
  <c r="T40" i="7"/>
  <c r="T210" i="7"/>
  <c r="T96" i="7"/>
  <c r="T226" i="7"/>
  <c r="T104" i="7"/>
  <c r="T211" i="7"/>
  <c r="T123" i="7"/>
  <c r="T146" i="7"/>
  <c r="T67" i="7"/>
  <c r="T15" i="7"/>
  <c r="BA26" i="31"/>
  <c r="P204" i="7"/>
  <c r="P120" i="7"/>
  <c r="P222" i="7"/>
  <c r="T149" i="7"/>
  <c r="T38" i="7"/>
  <c r="T83" i="7"/>
  <c r="T73" i="7"/>
  <c r="T179" i="7"/>
  <c r="T119" i="7"/>
  <c r="T161" i="7"/>
  <c r="T172" i="7"/>
  <c r="T27" i="7"/>
  <c r="T136" i="7"/>
  <c r="T218" i="7"/>
  <c r="P211" i="7"/>
  <c r="P67" i="7"/>
  <c r="P104" i="7"/>
  <c r="P15" i="7"/>
  <c r="P123" i="7"/>
  <c r="P146" i="7"/>
  <c r="T163" i="7"/>
  <c r="T79" i="7"/>
  <c r="T137" i="7"/>
  <c r="T209" i="7"/>
  <c r="T215" i="7"/>
  <c r="T90" i="7"/>
  <c r="T201" i="7"/>
  <c r="T64" i="7"/>
  <c r="T17" i="7"/>
  <c r="T61" i="7"/>
  <c r="T107" i="7"/>
  <c r="T143" i="7"/>
  <c r="T101" i="7"/>
  <c r="T127" i="7"/>
  <c r="T129" i="7"/>
  <c r="T52" i="7"/>
  <c r="T78" i="7"/>
  <c r="T177" i="7"/>
  <c r="T88" i="7"/>
  <c r="P151" i="7"/>
  <c r="P35" i="7"/>
  <c r="P162" i="7"/>
  <c r="T144" i="7"/>
  <c r="T223" i="7"/>
  <c r="T165" i="7"/>
  <c r="T141" i="7"/>
  <c r="T148" i="7"/>
  <c r="T115" i="7"/>
  <c r="T207" i="7"/>
  <c r="T188" i="7"/>
  <c r="T121" i="7"/>
  <c r="T46" i="7"/>
  <c r="T176" i="7"/>
  <c r="T82" i="7"/>
  <c r="T150" i="7"/>
  <c r="T159" i="7"/>
  <c r="T203" i="7"/>
  <c r="T92" i="7"/>
  <c r="T16" i="7"/>
  <c r="T130" i="7"/>
  <c r="T184" i="7"/>
  <c r="T153" i="7"/>
  <c r="T99" i="7"/>
  <c r="T41" i="7"/>
  <c r="AW38" i="31"/>
  <c r="BO38" i="31" s="1"/>
  <c r="BQ38" i="31" s="1"/>
  <c r="BA38" i="31"/>
  <c r="BP38" i="31" s="1"/>
  <c r="BA14" i="31"/>
  <c r="BP14" i="31" s="1"/>
  <c r="BR14" i="31" s="1"/>
  <c r="AW15" i="31"/>
  <c r="AW19" i="31"/>
  <c r="BO19" i="31" s="1"/>
  <c r="BQ19" i="31" s="1"/>
  <c r="AW14" i="31"/>
  <c r="BO14" i="31" s="1"/>
  <c r="BQ14" i="31" s="1"/>
  <c r="AW16" i="31"/>
  <c r="BO16" i="31" s="1"/>
  <c r="BQ16" i="31" s="1"/>
  <c r="AW18" i="31"/>
  <c r="BO18" i="31" s="1"/>
  <c r="BQ18" i="31" s="1"/>
  <c r="AW20" i="31"/>
  <c r="BO20" i="31" s="1"/>
  <c r="BQ20" i="31" s="1"/>
  <c r="AW17" i="31"/>
  <c r="BO17" i="31" s="1"/>
  <c r="BQ17" i="31" s="1"/>
  <c r="T33" i="14"/>
  <c r="U32" i="14"/>
  <c r="I36" i="14" l="1"/>
  <c r="J36" i="14"/>
  <c r="K36" i="14" s="1"/>
  <c r="L36" i="14" s="1"/>
  <c r="M36" i="14" s="1"/>
  <c r="N36" i="14" s="1"/>
  <c r="BD19" i="31"/>
  <c r="BE19" i="31"/>
  <c r="BF19" i="31"/>
  <c r="BB19" i="31"/>
  <c r="BC19" i="31"/>
  <c r="BK57" i="31"/>
  <c r="BJ57" i="31"/>
  <c r="BI57" i="31"/>
  <c r="BH57" i="31"/>
  <c r="BG57" i="31"/>
  <c r="BR35" i="31"/>
  <c r="BR40" i="31"/>
  <c r="BR37" i="31"/>
  <c r="BR32" i="31"/>
  <c r="BR41" i="31"/>
  <c r="BD45" i="31"/>
  <c r="W83" i="7" s="1"/>
  <c r="BE45" i="31"/>
  <c r="X38" i="7" s="1"/>
  <c r="BF45" i="31"/>
  <c r="BB45" i="31"/>
  <c r="U149" i="7" s="1"/>
  <c r="BC45" i="31"/>
  <c r="V38" i="7" s="1"/>
  <c r="BR39" i="31"/>
  <c r="BR33" i="31"/>
  <c r="BB36" i="31"/>
  <c r="U37" i="7" s="1"/>
  <c r="BC36" i="31"/>
  <c r="V181" i="7" s="1"/>
  <c r="BD36" i="31"/>
  <c r="W37" i="7" s="1"/>
  <c r="BE36" i="31"/>
  <c r="X25" i="7" s="1"/>
  <c r="BF36" i="31"/>
  <c r="BQ35" i="31"/>
  <c r="BC44" i="31"/>
  <c r="V162" i="7" s="1"/>
  <c r="BD44" i="31"/>
  <c r="W35" i="7" s="1"/>
  <c r="BE44" i="31"/>
  <c r="X151" i="7" s="1"/>
  <c r="BF44" i="31"/>
  <c r="BB44" i="31"/>
  <c r="U35" i="7" s="1"/>
  <c r="BB40" i="31"/>
  <c r="U226" i="7" s="1"/>
  <c r="BC40" i="31"/>
  <c r="V22" i="7" s="1"/>
  <c r="BD40" i="31"/>
  <c r="W49" i="7" s="1"/>
  <c r="BE40" i="31"/>
  <c r="X63" i="7" s="1"/>
  <c r="BF40" i="31"/>
  <c r="BE42" i="31"/>
  <c r="X119" i="7" s="1"/>
  <c r="BF42" i="31"/>
  <c r="BB42" i="31"/>
  <c r="U179" i="7" s="1"/>
  <c r="BC42" i="31"/>
  <c r="V179" i="7" s="1"/>
  <c r="BD42" i="31"/>
  <c r="W136" i="7" s="1"/>
  <c r="BR34" i="31"/>
  <c r="BF17" i="31"/>
  <c r="BB17" i="31"/>
  <c r="BC17" i="31"/>
  <c r="BD17" i="31"/>
  <c r="BE17" i="31"/>
  <c r="BR38" i="31"/>
  <c r="BF20" i="31"/>
  <c r="BB20" i="31"/>
  <c r="BC20" i="31"/>
  <c r="BD20" i="31"/>
  <c r="BE20" i="31"/>
  <c r="BF41" i="31"/>
  <c r="BB41" i="31"/>
  <c r="U104" i="7" s="1"/>
  <c r="BC41" i="31"/>
  <c r="V104" i="7" s="1"/>
  <c r="BD41" i="31"/>
  <c r="W146" i="7" s="1"/>
  <c r="BE41" i="31"/>
  <c r="X104" i="7" s="1"/>
  <c r="BR36" i="31"/>
  <c r="BR44" i="31"/>
  <c r="BR42" i="31"/>
  <c r="BR43" i="31"/>
  <c r="BB43" i="31"/>
  <c r="BC43" i="31"/>
  <c r="V34" i="7" s="1"/>
  <c r="BD43" i="31"/>
  <c r="W34" i="7" s="1"/>
  <c r="BE43" i="31"/>
  <c r="X34" i="7" s="1"/>
  <c r="BF43" i="31"/>
  <c r="Y34" i="7" s="1"/>
  <c r="BJ16" i="31"/>
  <c r="BH16" i="31"/>
  <c r="BI16" i="31"/>
  <c r="BK16" i="31"/>
  <c r="BG16" i="31"/>
  <c r="BI51" i="31"/>
  <c r="BH51" i="31"/>
  <c r="BG51" i="31"/>
  <c r="BK51" i="31"/>
  <c r="BJ51" i="31"/>
  <c r="BE18" i="31"/>
  <c r="BF18" i="31"/>
  <c r="BB18" i="31"/>
  <c r="BC18" i="31"/>
  <c r="BD18" i="31"/>
  <c r="BE38" i="31"/>
  <c r="BF38" i="31"/>
  <c r="BB38" i="31"/>
  <c r="BC38" i="31"/>
  <c r="BD38" i="31"/>
  <c r="BC26" i="31"/>
  <c r="BD26" i="31"/>
  <c r="BE26" i="31"/>
  <c r="BF26" i="31"/>
  <c r="BB26" i="31"/>
  <c r="Y174" i="7"/>
  <c r="BH52" i="31"/>
  <c r="BG52" i="31"/>
  <c r="BK52" i="31"/>
  <c r="BJ52" i="31"/>
  <c r="BI52" i="31"/>
  <c r="BI14" i="31"/>
  <c r="BK14" i="31"/>
  <c r="BG14" i="31"/>
  <c r="BJ14" i="31"/>
  <c r="BH14" i="31"/>
  <c r="BC16" i="31"/>
  <c r="BD16" i="31"/>
  <c r="BE16" i="31"/>
  <c r="BF16" i="31"/>
  <c r="BB16" i="31"/>
  <c r="BR45" i="31"/>
  <c r="BQ34" i="31"/>
  <c r="BB33" i="31"/>
  <c r="BC33" i="31"/>
  <c r="V137" i="7" s="1"/>
  <c r="BD33" i="31"/>
  <c r="W215" i="7" s="1"/>
  <c r="BE33" i="31"/>
  <c r="X163" i="7" s="1"/>
  <c r="BF33" i="31"/>
  <c r="BB37" i="31"/>
  <c r="U204" i="7" s="1"/>
  <c r="BC37" i="31"/>
  <c r="V204" i="7" s="1"/>
  <c r="BD37" i="31"/>
  <c r="W120" i="7" s="1"/>
  <c r="BE37" i="31"/>
  <c r="X120" i="7" s="1"/>
  <c r="BF37" i="31"/>
  <c r="BF39" i="31"/>
  <c r="BB39" i="31"/>
  <c r="U97" i="7" s="1"/>
  <c r="BC39" i="31"/>
  <c r="V97" i="7" s="1"/>
  <c r="BD39" i="31"/>
  <c r="W98" i="7" s="1"/>
  <c r="BE39" i="31"/>
  <c r="X155" i="7" s="1"/>
  <c r="BQ32" i="31"/>
  <c r="BH17" i="31"/>
  <c r="BI17" i="31"/>
  <c r="BK17" i="31"/>
  <c r="BG17" i="31"/>
  <c r="BJ17" i="31"/>
  <c r="BB14" i="31"/>
  <c r="BC14" i="31"/>
  <c r="BD14" i="31"/>
  <c r="BE14" i="31"/>
  <c r="BF14" i="31"/>
  <c r="T13" i="7"/>
  <c r="BP50" i="31"/>
  <c r="BR50" i="31" s="1"/>
  <c r="AW54" i="31"/>
  <c r="BO54" i="31" s="1"/>
  <c r="BQ54" i="31" s="1"/>
  <c r="BO15" i="31"/>
  <c r="BQ15" i="31" s="1"/>
  <c r="T116" i="7"/>
  <c r="BP54" i="31"/>
  <c r="BR54" i="31" s="1"/>
  <c r="BA55" i="31"/>
  <c r="BP26" i="31"/>
  <c r="BR26" i="31" s="1"/>
  <c r="T182" i="7"/>
  <c r="BP56" i="31"/>
  <c r="BR56" i="31" s="1"/>
  <c r="AB169" i="7"/>
  <c r="AB154" i="7"/>
  <c r="AB102" i="7"/>
  <c r="AB221" i="7"/>
  <c r="W133" i="7"/>
  <c r="AB108" i="7"/>
  <c r="W190" i="7"/>
  <c r="W71" i="7"/>
  <c r="W36" i="7"/>
  <c r="W108" i="7"/>
  <c r="W164" i="7"/>
  <c r="W42" i="7"/>
  <c r="AB36" i="7"/>
  <c r="W168" i="7"/>
  <c r="AB71" i="7"/>
  <c r="AB133" i="7"/>
  <c r="W160" i="7"/>
  <c r="W217" i="7"/>
  <c r="AB217" i="7"/>
  <c r="AB168" i="7"/>
  <c r="AB139" i="7"/>
  <c r="W102" i="7"/>
  <c r="W154" i="7"/>
  <c r="AB174" i="7"/>
  <c r="AB23" i="7"/>
  <c r="W174" i="7"/>
  <c r="W225" i="7"/>
  <c r="AB111" i="7"/>
  <c r="AB75" i="7"/>
  <c r="W111" i="7"/>
  <c r="AB106" i="7"/>
  <c r="AB170" i="7"/>
  <c r="AB53" i="7"/>
  <c r="T70" i="7"/>
  <c r="T55" i="7"/>
  <c r="T59" i="7"/>
  <c r="T93" i="7"/>
  <c r="T140" i="7"/>
  <c r="T39" i="7"/>
  <c r="T167" i="7"/>
  <c r="T110" i="7"/>
  <c r="T69" i="7"/>
  <c r="P110" i="7"/>
  <c r="P167" i="7"/>
  <c r="P69" i="7"/>
  <c r="P39" i="7"/>
  <c r="P55" i="7"/>
  <c r="P70" i="7"/>
  <c r="P93" i="7"/>
  <c r="P59" i="7"/>
  <c r="P140" i="7"/>
  <c r="AB128" i="7"/>
  <c r="W65" i="7"/>
  <c r="W48" i="7"/>
  <c r="AB48" i="7"/>
  <c r="W28" i="7"/>
  <c r="AB42" i="7"/>
  <c r="W31" i="7"/>
  <c r="AB100" i="7"/>
  <c r="W219" i="7"/>
  <c r="W53" i="7"/>
  <c r="AB65" i="7"/>
  <c r="W139" i="7"/>
  <c r="P20" i="7"/>
  <c r="AB220" i="7"/>
  <c r="W112" i="7"/>
  <c r="AB152" i="7"/>
  <c r="W192" i="7"/>
  <c r="AB173" i="7"/>
  <c r="W221" i="7"/>
  <c r="AB66" i="7"/>
  <c r="W220" i="7"/>
  <c r="AB31" i="7"/>
  <c r="W24" i="7"/>
  <c r="AB112" i="7"/>
  <c r="W89" i="7"/>
  <c r="AB219" i="7"/>
  <c r="W66" i="7"/>
  <c r="AB86" i="7"/>
  <c r="W187" i="7"/>
  <c r="AB164" i="7"/>
  <c r="AB54" i="7"/>
  <c r="W23" i="7"/>
  <c r="W109" i="7"/>
  <c r="AB190" i="7"/>
  <c r="W106" i="7"/>
  <c r="AB186" i="7"/>
  <c r="AB187" i="7"/>
  <c r="W100" i="7"/>
  <c r="W75" i="7"/>
  <c r="W117" i="7"/>
  <c r="AB122" i="7"/>
  <c r="AB28" i="7"/>
  <c r="W169" i="7"/>
  <c r="AB80" i="7"/>
  <c r="AB193" i="7"/>
  <c r="AB103" i="7"/>
  <c r="W170" i="7"/>
  <c r="AB81" i="7"/>
  <c r="W54" i="7"/>
  <c r="AB117" i="7"/>
  <c r="W80" i="7"/>
  <c r="AB160" i="7"/>
  <c r="W128" i="7"/>
  <c r="AB225" i="7"/>
  <c r="W103" i="7"/>
  <c r="W86" i="7"/>
  <c r="W200" i="7"/>
  <c r="T20" i="7"/>
  <c r="W206" i="7"/>
  <c r="AB109" i="7"/>
  <c r="W186" i="7"/>
  <c r="W193" i="7"/>
  <c r="AB89" i="7"/>
  <c r="W81" i="7"/>
  <c r="W122" i="7"/>
  <c r="AB206" i="7"/>
  <c r="AB24" i="7"/>
  <c r="W152" i="7"/>
  <c r="AB192" i="7"/>
  <c r="AB200" i="7"/>
  <c r="W173" i="7"/>
  <c r="BA53" i="31"/>
  <c r="AW53" i="31"/>
  <c r="BO53" i="31" s="1"/>
  <c r="BQ53" i="31" s="1"/>
  <c r="AW57" i="31"/>
  <c r="BO57" i="31" s="1"/>
  <c r="BQ57" i="31" s="1"/>
  <c r="AW50" i="31"/>
  <c r="AW55" i="31"/>
  <c r="AW56" i="31"/>
  <c r="AW52" i="31"/>
  <c r="BO52" i="31" s="1"/>
  <c r="BQ52" i="31" s="1"/>
  <c r="AW51" i="31"/>
  <c r="BO51" i="31" s="1"/>
  <c r="BQ51" i="31" s="1"/>
  <c r="T208" i="7"/>
  <c r="T44" i="7"/>
  <c r="T131" i="7"/>
  <c r="T216" i="7"/>
  <c r="T132" i="7"/>
  <c r="T51" i="7"/>
  <c r="T84" i="7"/>
  <c r="T135" i="7"/>
  <c r="T95" i="7"/>
  <c r="T175" i="7"/>
  <c r="T189" i="7"/>
  <c r="T183" i="7"/>
  <c r="T74" i="7"/>
  <c r="T147" i="7"/>
  <c r="T57" i="7"/>
  <c r="T198" i="7"/>
  <c r="T156" i="7"/>
  <c r="T77" i="7"/>
  <c r="T191" i="7"/>
  <c r="T125" i="7"/>
  <c r="T50" i="7"/>
  <c r="T43" i="7"/>
  <c r="T33" i="7"/>
  <c r="T114" i="7"/>
  <c r="T178" i="7"/>
  <c r="T94" i="7"/>
  <c r="T60" i="7"/>
  <c r="T58" i="7"/>
  <c r="T45" i="7"/>
  <c r="T87" i="7"/>
  <c r="T138" i="7"/>
  <c r="T229" i="7"/>
  <c r="T157" i="7"/>
  <c r="T18" i="7"/>
  <c r="T124" i="7"/>
  <c r="T47" i="7"/>
  <c r="T230" i="7"/>
  <c r="T56" i="7"/>
  <c r="T180" i="7"/>
  <c r="T76" i="7"/>
  <c r="T205" i="7"/>
  <c r="T228" i="7"/>
  <c r="T202" i="7"/>
  <c r="T199" i="7"/>
  <c r="T195" i="7"/>
  <c r="T72" i="7"/>
  <c r="T62" i="7"/>
  <c r="T91" i="7"/>
  <c r="T68" i="7"/>
  <c r="T32" i="7"/>
  <c r="T166" i="7"/>
  <c r="T197" i="7"/>
  <c r="T224" i="7"/>
  <c r="P199" i="7"/>
  <c r="P91" i="7"/>
  <c r="P32" i="7"/>
  <c r="P72" i="7"/>
  <c r="P68" i="7"/>
  <c r="P62" i="7"/>
  <c r="P195" i="7"/>
  <c r="P197" i="7"/>
  <c r="P166" i="7"/>
  <c r="P224" i="7"/>
  <c r="T34" i="14"/>
  <c r="U33" i="14"/>
  <c r="W79" i="7" l="1"/>
  <c r="W25" i="7"/>
  <c r="W158" i="7"/>
  <c r="W85" i="7"/>
  <c r="W142" i="7"/>
  <c r="W213" i="7"/>
  <c r="W209" i="7"/>
  <c r="W30" i="7"/>
  <c r="W21" i="7"/>
  <c r="W145" i="7"/>
  <c r="I37" i="14"/>
  <c r="J37" i="14"/>
  <c r="K37" i="14" s="1"/>
  <c r="L37" i="14" s="1"/>
  <c r="M37" i="14" s="1"/>
  <c r="N37" i="14" s="1"/>
  <c r="W137" i="7"/>
  <c r="X37" i="7"/>
  <c r="W27" i="7"/>
  <c r="W14" i="7"/>
  <c r="W113" i="7"/>
  <c r="W212" i="7"/>
  <c r="U27" i="7"/>
  <c r="V29" i="7"/>
  <c r="X73" i="7"/>
  <c r="X30" i="7"/>
  <c r="X14" i="7"/>
  <c r="V119" i="7"/>
  <c r="W163" i="7"/>
  <c r="U26" i="7"/>
  <c r="X181" i="7"/>
  <c r="W118" i="7"/>
  <c r="V210" i="7"/>
  <c r="U172" i="7"/>
  <c r="X149" i="7"/>
  <c r="X145" i="7"/>
  <c r="X83" i="7"/>
  <c r="W181" i="7"/>
  <c r="U162" i="7"/>
  <c r="X85" i="7"/>
  <c r="W171" i="7"/>
  <c r="W185" i="7"/>
  <c r="W155" i="7"/>
  <c r="W40" i="7"/>
  <c r="U83" i="7"/>
  <c r="W218" i="7"/>
  <c r="W194" i="7"/>
  <c r="W172" i="7"/>
  <c r="W196" i="7"/>
  <c r="W26" i="7"/>
  <c r="V26" i="7"/>
  <c r="U29" i="7"/>
  <c r="U19" i="7"/>
  <c r="U194" i="7"/>
  <c r="V161" i="7"/>
  <c r="U196" i="7"/>
  <c r="U40" i="7"/>
  <c r="U210" i="7"/>
  <c r="U214" i="7"/>
  <c r="U49" i="7"/>
  <c r="W211" i="7"/>
  <c r="W97" i="7"/>
  <c r="U119" i="7"/>
  <c r="X79" i="7"/>
  <c r="U22" i="7"/>
  <c r="U161" i="7"/>
  <c r="U136" i="7"/>
  <c r="X158" i="7"/>
  <c r="W19" i="7"/>
  <c r="W22" i="7"/>
  <c r="W161" i="7"/>
  <c r="W96" i="7"/>
  <c r="V96" i="7"/>
  <c r="U151" i="7"/>
  <c r="U218" i="7"/>
  <c r="W210" i="7"/>
  <c r="W214" i="7"/>
  <c r="X213" i="7"/>
  <c r="W63" i="7"/>
  <c r="W29" i="7"/>
  <c r="W226" i="7"/>
  <c r="X137" i="7"/>
  <c r="P116" i="7"/>
  <c r="V214" i="7"/>
  <c r="V218" i="7"/>
  <c r="X26" i="7"/>
  <c r="V49" i="7"/>
  <c r="V27" i="7"/>
  <c r="U98" i="7"/>
  <c r="V171" i="7"/>
  <c r="X209" i="7"/>
  <c r="V83" i="7"/>
  <c r="X215" i="7"/>
  <c r="V226" i="7"/>
  <c r="V136" i="7"/>
  <c r="V15" i="7"/>
  <c r="U96" i="7"/>
  <c r="U185" i="7"/>
  <c r="U123" i="7"/>
  <c r="X21" i="7"/>
  <c r="X142" i="7"/>
  <c r="V185" i="7"/>
  <c r="V172" i="7"/>
  <c r="V155" i="7"/>
  <c r="U222" i="7"/>
  <c r="U63" i="7"/>
  <c r="U171" i="7"/>
  <c r="U155" i="7"/>
  <c r="X212" i="7"/>
  <c r="X118" i="7"/>
  <c r="V196" i="7"/>
  <c r="V98" i="7"/>
  <c r="U120" i="7"/>
  <c r="X113" i="7"/>
  <c r="X19" i="7"/>
  <c r="V123" i="7"/>
  <c r="U181" i="7"/>
  <c r="X22" i="7"/>
  <c r="U85" i="7"/>
  <c r="X49" i="7"/>
  <c r="X171" i="7"/>
  <c r="X226" i="7"/>
  <c r="V120" i="7"/>
  <c r="X98" i="7"/>
  <c r="X27" i="7"/>
  <c r="X214" i="7"/>
  <c r="W104" i="7"/>
  <c r="W15" i="7"/>
  <c r="W222" i="7"/>
  <c r="V151" i="7"/>
  <c r="V222" i="7"/>
  <c r="V211" i="7"/>
  <c r="X97" i="7"/>
  <c r="X210" i="7"/>
  <c r="X185" i="7"/>
  <c r="W204" i="7"/>
  <c r="V35" i="7"/>
  <c r="V67" i="7"/>
  <c r="X96" i="7"/>
  <c r="X194" i="7"/>
  <c r="V146" i="7"/>
  <c r="X196" i="7"/>
  <c r="X29" i="7"/>
  <c r="U14" i="7"/>
  <c r="X15" i="7"/>
  <c r="U118" i="7"/>
  <c r="W123" i="7"/>
  <c r="X211" i="7"/>
  <c r="W149" i="7"/>
  <c r="W151" i="7"/>
  <c r="U21" i="7"/>
  <c r="W67" i="7"/>
  <c r="W162" i="7"/>
  <c r="U25" i="7"/>
  <c r="U213" i="7"/>
  <c r="U146" i="7"/>
  <c r="X40" i="7"/>
  <c r="V113" i="7"/>
  <c r="V149" i="7"/>
  <c r="U212" i="7"/>
  <c r="U211" i="7"/>
  <c r="W38" i="7"/>
  <c r="V145" i="7"/>
  <c r="V158" i="7"/>
  <c r="W119" i="7"/>
  <c r="W73" i="7"/>
  <c r="V21" i="7"/>
  <c r="V142" i="7"/>
  <c r="V63" i="7"/>
  <c r="V40" i="7"/>
  <c r="V163" i="7"/>
  <c r="U145" i="7"/>
  <c r="U158" i="7"/>
  <c r="U15" i="7"/>
  <c r="U79" i="7"/>
  <c r="X123" i="7"/>
  <c r="U67" i="7"/>
  <c r="U209" i="7"/>
  <c r="X222" i="7"/>
  <c r="X146" i="7"/>
  <c r="V37" i="7"/>
  <c r="V209" i="7"/>
  <c r="U215" i="7"/>
  <c r="X67" i="7"/>
  <c r="V118" i="7"/>
  <c r="V79" i="7"/>
  <c r="V25" i="7"/>
  <c r="V215" i="7"/>
  <c r="W179" i="7"/>
  <c r="V212" i="7"/>
  <c r="V14" i="7"/>
  <c r="V19" i="7"/>
  <c r="V194" i="7"/>
  <c r="V73" i="7"/>
  <c r="U142" i="7"/>
  <c r="U30" i="7"/>
  <c r="V213" i="7"/>
  <c r="V85" i="7"/>
  <c r="V30" i="7"/>
  <c r="U113" i="7"/>
  <c r="U73" i="7"/>
  <c r="BE53" i="31"/>
  <c r="BD53" i="31"/>
  <c r="BC53" i="31"/>
  <c r="BB53" i="31"/>
  <c r="BF53" i="31"/>
  <c r="BB51" i="31"/>
  <c r="U178" i="7" s="1"/>
  <c r="BF51" i="31"/>
  <c r="BE51" i="31"/>
  <c r="X229" i="7" s="1"/>
  <c r="BD51" i="31"/>
  <c r="W180" i="7" s="1"/>
  <c r="BC51" i="31"/>
  <c r="V76" i="7" s="1"/>
  <c r="AC132" i="7"/>
  <c r="AC43" i="7"/>
  <c r="AC50" i="7"/>
  <c r="AC147" i="7"/>
  <c r="AC74" i="7"/>
  <c r="AC156" i="7"/>
  <c r="AC175" i="7"/>
  <c r="AC216" i="7"/>
  <c r="AC183" i="7"/>
  <c r="AC57" i="7"/>
  <c r="AC191" i="7"/>
  <c r="AC84" i="7"/>
  <c r="AC95" i="7"/>
  <c r="AC135" i="7"/>
  <c r="AC208" i="7"/>
  <c r="AC77" i="7"/>
  <c r="AC44" i="7"/>
  <c r="AC131" i="7"/>
  <c r="AC198" i="7"/>
  <c r="AC189" i="7"/>
  <c r="AC51" i="7"/>
  <c r="AC125" i="7"/>
  <c r="U38" i="7"/>
  <c r="U137" i="7"/>
  <c r="X204" i="7"/>
  <c r="X136" i="7"/>
  <c r="BE15" i="31"/>
  <c r="BF15" i="31"/>
  <c r="BB15" i="31"/>
  <c r="BC15" i="31"/>
  <c r="BD15" i="31"/>
  <c r="BB32" i="31"/>
  <c r="BF32" i="31"/>
  <c r="Y117" i="7" s="1"/>
  <c r="BE32" i="31"/>
  <c r="BD32" i="31"/>
  <c r="BC32" i="31"/>
  <c r="AD147" i="7"/>
  <c r="AD135" i="7"/>
  <c r="AD44" i="7"/>
  <c r="AD77" i="7"/>
  <c r="AD50" i="7"/>
  <c r="AD183" i="7"/>
  <c r="AD74" i="7"/>
  <c r="AD131" i="7"/>
  <c r="AD216" i="7"/>
  <c r="AD51" i="7"/>
  <c r="AD125" i="7"/>
  <c r="AD175" i="7"/>
  <c r="AD95" i="7"/>
  <c r="AD191" i="7"/>
  <c r="AD57" i="7"/>
  <c r="AD198" i="7"/>
  <c r="AD156" i="7"/>
  <c r="AD189" i="7"/>
  <c r="AD43" i="7"/>
  <c r="AD208" i="7"/>
  <c r="AD84" i="7"/>
  <c r="AD132" i="7"/>
  <c r="BG42" i="31"/>
  <c r="BH42" i="31"/>
  <c r="BI42" i="31"/>
  <c r="BJ42" i="31"/>
  <c r="BK42" i="31"/>
  <c r="BG38" i="31"/>
  <c r="Z199" i="7" s="1"/>
  <c r="BH38" i="31"/>
  <c r="AA72" i="7" s="1"/>
  <c r="BI38" i="31"/>
  <c r="AB166" i="7" s="1"/>
  <c r="BJ38" i="31"/>
  <c r="BK38" i="31"/>
  <c r="Y40" i="7"/>
  <c r="Y29" i="7"/>
  <c r="Y210" i="7"/>
  <c r="Y96" i="7"/>
  <c r="Y196" i="7"/>
  <c r="Y26" i="7"/>
  <c r="Y63" i="7"/>
  <c r="Y49" i="7"/>
  <c r="Y194" i="7"/>
  <c r="Y171" i="7"/>
  <c r="Y19" i="7"/>
  <c r="Y214" i="7"/>
  <c r="Y185" i="7"/>
  <c r="Y226" i="7"/>
  <c r="Y22" i="7"/>
  <c r="Y73" i="7"/>
  <c r="Y38" i="7"/>
  <c r="Y149" i="7"/>
  <c r="Y83" i="7"/>
  <c r="BG37" i="31"/>
  <c r="BH37" i="31"/>
  <c r="BI37" i="31"/>
  <c r="BJ37" i="31"/>
  <c r="BK37" i="31"/>
  <c r="AC202" i="7"/>
  <c r="AC228" i="7"/>
  <c r="X172" i="7"/>
  <c r="BD54" i="31"/>
  <c r="W116" i="7" s="1"/>
  <c r="BC54" i="31"/>
  <c r="V116" i="7" s="1"/>
  <c r="BB54" i="31"/>
  <c r="BF54" i="31"/>
  <c r="Y116" i="7" s="1"/>
  <c r="BE54" i="31"/>
  <c r="X116" i="7" s="1"/>
  <c r="BE34" i="31"/>
  <c r="BF34" i="31"/>
  <c r="Y225" i="7" s="1"/>
  <c r="BB34" i="31"/>
  <c r="BC34" i="31"/>
  <c r="BD34" i="31"/>
  <c r="Y146" i="7"/>
  <c r="Y67" i="7"/>
  <c r="Y104" i="7"/>
  <c r="Y123" i="7"/>
  <c r="Y15" i="7"/>
  <c r="Y211" i="7"/>
  <c r="AD202" i="7"/>
  <c r="AD228" i="7"/>
  <c r="X161" i="7"/>
  <c r="BI56" i="31"/>
  <c r="AB182" i="7" s="1"/>
  <c r="BH56" i="31"/>
  <c r="AA182" i="7" s="1"/>
  <c r="BG56" i="31"/>
  <c r="Z182" i="7" s="1"/>
  <c r="BK56" i="31"/>
  <c r="AD182" i="7" s="1"/>
  <c r="BJ56" i="31"/>
  <c r="AC182" i="7" s="1"/>
  <c r="BK50" i="31"/>
  <c r="AD13" i="7" s="1"/>
  <c r="BJ50" i="31"/>
  <c r="AC13" i="7" s="1"/>
  <c r="BI50" i="31"/>
  <c r="AB13" i="7" s="1"/>
  <c r="BH50" i="31"/>
  <c r="AA13" i="7" s="1"/>
  <c r="BG50" i="31"/>
  <c r="Z13" i="7" s="1"/>
  <c r="BI44" i="31"/>
  <c r="BJ44" i="31"/>
  <c r="BK44" i="31"/>
  <c r="BG44" i="31"/>
  <c r="BH44" i="31"/>
  <c r="BJ34" i="31"/>
  <c r="BK34" i="31"/>
  <c r="AD225" i="7" s="1"/>
  <c r="BG34" i="31"/>
  <c r="BH34" i="31"/>
  <c r="BI34" i="31"/>
  <c r="BJ33" i="31"/>
  <c r="BK33" i="31"/>
  <c r="BG33" i="31"/>
  <c r="BH33" i="31"/>
  <c r="BI33" i="31"/>
  <c r="BK40" i="31"/>
  <c r="BG40" i="31"/>
  <c r="BH40" i="31"/>
  <c r="BI40" i="31"/>
  <c r="BJ40" i="31"/>
  <c r="X179" i="7"/>
  <c r="Y215" i="7"/>
  <c r="Y163" i="7"/>
  <c r="Y79" i="7"/>
  <c r="Y209" i="7"/>
  <c r="Y137" i="7"/>
  <c r="BG45" i="31"/>
  <c r="BH45" i="31"/>
  <c r="BI45" i="31"/>
  <c r="BJ45" i="31"/>
  <c r="BK45" i="31"/>
  <c r="BD35" i="31"/>
  <c r="BE35" i="31"/>
  <c r="BF35" i="31"/>
  <c r="BB35" i="31"/>
  <c r="BC35" i="31"/>
  <c r="X218" i="7"/>
  <c r="X35" i="7"/>
  <c r="BI26" i="31"/>
  <c r="BJ26" i="31"/>
  <c r="BK26" i="31"/>
  <c r="BG26" i="31"/>
  <c r="BH26" i="31"/>
  <c r="U34" i="7"/>
  <c r="BH36" i="31"/>
  <c r="BI36" i="31"/>
  <c r="BJ36" i="31"/>
  <c r="BK36" i="31"/>
  <c r="BG36" i="31"/>
  <c r="Y85" i="7"/>
  <c r="Y37" i="7"/>
  <c r="Y181" i="7"/>
  <c r="Y145" i="7"/>
  <c r="Y118" i="7"/>
  <c r="Y14" i="7"/>
  <c r="Y21" i="7"/>
  <c r="Y213" i="7"/>
  <c r="Y142" i="7"/>
  <c r="Y25" i="7"/>
  <c r="Y212" i="7"/>
  <c r="Y113" i="7"/>
  <c r="Y30" i="7"/>
  <c r="Y158" i="7"/>
  <c r="BG41" i="31"/>
  <c r="BH41" i="31"/>
  <c r="BI41" i="31"/>
  <c r="BJ41" i="31"/>
  <c r="BK41" i="31"/>
  <c r="BI35" i="31"/>
  <c r="BJ35" i="31"/>
  <c r="BK35" i="31"/>
  <c r="BG35" i="31"/>
  <c r="BH35" i="31"/>
  <c r="X162" i="7"/>
  <c r="Y155" i="7"/>
  <c r="Y98" i="7"/>
  <c r="Y97" i="7"/>
  <c r="AC138" i="7"/>
  <c r="AC180" i="7"/>
  <c r="AC205" i="7"/>
  <c r="AC60" i="7"/>
  <c r="AC94" i="7"/>
  <c r="AC33" i="7"/>
  <c r="AC230" i="7"/>
  <c r="AC56" i="7"/>
  <c r="AC18" i="7"/>
  <c r="AC76" i="7"/>
  <c r="AC87" i="7"/>
  <c r="AC47" i="7"/>
  <c r="AC114" i="7"/>
  <c r="AC178" i="7"/>
  <c r="AC58" i="7"/>
  <c r="AC45" i="7"/>
  <c r="AC124" i="7"/>
  <c r="AC157" i="7"/>
  <c r="AC229" i="7"/>
  <c r="BK39" i="31"/>
  <c r="BG39" i="31"/>
  <c r="BH39" i="31"/>
  <c r="BI39" i="31"/>
  <c r="BJ39" i="31"/>
  <c r="BF52" i="31"/>
  <c r="BE52" i="31"/>
  <c r="X156" i="7" s="1"/>
  <c r="BD52" i="31"/>
  <c r="W44" i="7" s="1"/>
  <c r="BC52" i="31"/>
  <c r="V191" i="7" s="1"/>
  <c r="BB52" i="31"/>
  <c r="U216" i="7" s="1"/>
  <c r="BC57" i="31"/>
  <c r="V202" i="7" s="1"/>
  <c r="BB57" i="31"/>
  <c r="U228" i="7" s="1"/>
  <c r="BF57" i="31"/>
  <c r="BE57" i="31"/>
  <c r="X202" i="7" s="1"/>
  <c r="BD57" i="31"/>
  <c r="W228" i="7" s="1"/>
  <c r="U163" i="7"/>
  <c r="BK54" i="31"/>
  <c r="AD116" i="7" s="1"/>
  <c r="BJ54" i="31"/>
  <c r="AC116" i="7" s="1"/>
  <c r="BI54" i="31"/>
  <c r="AB116" i="7" s="1"/>
  <c r="BH54" i="31"/>
  <c r="AA116" i="7" s="1"/>
  <c r="BG54" i="31"/>
  <c r="Z116" i="7" s="1"/>
  <c r="Y120" i="7"/>
  <c r="Y222" i="7"/>
  <c r="Y204" i="7"/>
  <c r="Y68" i="7"/>
  <c r="Y72" i="7"/>
  <c r="Y166" i="7"/>
  <c r="Y32" i="7"/>
  <c r="Y91" i="7"/>
  <c r="Y197" i="7"/>
  <c r="Y195" i="7"/>
  <c r="Y199" i="7"/>
  <c r="Y62" i="7"/>
  <c r="AD230" i="7"/>
  <c r="AD124" i="7"/>
  <c r="AD178" i="7"/>
  <c r="AD18" i="7"/>
  <c r="AD94" i="7"/>
  <c r="AD76" i="7"/>
  <c r="AD229" i="7"/>
  <c r="AD60" i="7"/>
  <c r="AD205" i="7"/>
  <c r="AD157" i="7"/>
  <c r="AD87" i="7"/>
  <c r="AD58" i="7"/>
  <c r="AD180" i="7"/>
  <c r="AD138" i="7"/>
  <c r="AD47" i="7"/>
  <c r="AD33" i="7"/>
  <c r="AD45" i="7"/>
  <c r="AD56" i="7"/>
  <c r="AD114" i="7"/>
  <c r="BG43" i="31"/>
  <c r="BH43" i="31"/>
  <c r="AA34" i="7" s="1"/>
  <c r="BI43" i="31"/>
  <c r="AB34" i="7" s="1"/>
  <c r="BJ43" i="31"/>
  <c r="AC34" i="7" s="1"/>
  <c r="BK43" i="31"/>
  <c r="AD34" i="7" s="1"/>
  <c r="Y218" i="7"/>
  <c r="Y172" i="7"/>
  <c r="Y27" i="7"/>
  <c r="Y136" i="7"/>
  <c r="Y161" i="7"/>
  <c r="Y119" i="7"/>
  <c r="Y179" i="7"/>
  <c r="Y35" i="7"/>
  <c r="Y151" i="7"/>
  <c r="Y162" i="7"/>
  <c r="BH32" i="31"/>
  <c r="BG32" i="31"/>
  <c r="BK32" i="31"/>
  <c r="AD117" i="7" s="1"/>
  <c r="BJ32" i="31"/>
  <c r="BI32" i="31"/>
  <c r="P13" i="7"/>
  <c r="BO50" i="31"/>
  <c r="BQ50" i="31" s="1"/>
  <c r="T134" i="7"/>
  <c r="BP55" i="31"/>
  <c r="BR55" i="31" s="1"/>
  <c r="T105" i="7"/>
  <c r="BP53" i="31"/>
  <c r="BR53" i="31" s="1"/>
  <c r="P134" i="7"/>
  <c r="BO55" i="31"/>
  <c r="BQ55" i="31" s="1"/>
  <c r="P182" i="7"/>
  <c r="BO56" i="31"/>
  <c r="BQ56" i="31" s="1"/>
  <c r="X68" i="7"/>
  <c r="X72" i="7"/>
  <c r="X91" i="7"/>
  <c r="X199" i="7"/>
  <c r="X166" i="7"/>
  <c r="X62" i="7"/>
  <c r="X32" i="7"/>
  <c r="X195" i="7"/>
  <c r="X197" i="7"/>
  <c r="Z45" i="7"/>
  <c r="Z114" i="7"/>
  <c r="Z60" i="7"/>
  <c r="Z205" i="7"/>
  <c r="Z33" i="7"/>
  <c r="Z94" i="7"/>
  <c r="Z87" i="7"/>
  <c r="Z18" i="7"/>
  <c r="Z56" i="7"/>
  <c r="Z47" i="7"/>
  <c r="Z124" i="7"/>
  <c r="Z178" i="7"/>
  <c r="Z180" i="7"/>
  <c r="Z58" i="7"/>
  <c r="Z76" i="7"/>
  <c r="Z229" i="7"/>
  <c r="Z157" i="7"/>
  <c r="Z138" i="7"/>
  <c r="Z230" i="7"/>
  <c r="Z228" i="7"/>
  <c r="Z202" i="7"/>
  <c r="U72" i="7"/>
  <c r="U224" i="7"/>
  <c r="U68" i="7"/>
  <c r="U197" i="7"/>
  <c r="U62" i="7"/>
  <c r="U91" i="7"/>
  <c r="U195" i="7"/>
  <c r="U166" i="7"/>
  <c r="U199" i="7"/>
  <c r="U32" i="7"/>
  <c r="Z208" i="7"/>
  <c r="Z191" i="7"/>
  <c r="Z84" i="7"/>
  <c r="Z147" i="7"/>
  <c r="Z183" i="7"/>
  <c r="Z44" i="7"/>
  <c r="Z50" i="7"/>
  <c r="Z43" i="7"/>
  <c r="Z198" i="7"/>
  <c r="Z135" i="7"/>
  <c r="Z57" i="7"/>
  <c r="Z156" i="7"/>
  <c r="Z216" i="7"/>
  <c r="Z125" i="7"/>
  <c r="Z189" i="7"/>
  <c r="Z77" i="7"/>
  <c r="Z175" i="7"/>
  <c r="Z74" i="7"/>
  <c r="Z95" i="7"/>
  <c r="Z131" i="7"/>
  <c r="Z51" i="7"/>
  <c r="Z132" i="7"/>
  <c r="V195" i="7"/>
  <c r="V197" i="7"/>
  <c r="V68" i="7"/>
  <c r="V199" i="7"/>
  <c r="V91" i="7"/>
  <c r="V166" i="7"/>
  <c r="V72" i="7"/>
  <c r="V32" i="7"/>
  <c r="V62" i="7"/>
  <c r="AA84" i="7"/>
  <c r="AA198" i="7"/>
  <c r="AA44" i="7"/>
  <c r="AA50" i="7"/>
  <c r="AA189" i="7"/>
  <c r="AA131" i="7"/>
  <c r="AA216" i="7"/>
  <c r="AA74" i="7"/>
  <c r="AA77" i="7"/>
  <c r="AA175" i="7"/>
  <c r="AA95" i="7"/>
  <c r="AA208" i="7"/>
  <c r="AA147" i="7"/>
  <c r="AA156" i="7"/>
  <c r="AA191" i="7"/>
  <c r="AA43" i="7"/>
  <c r="AA125" i="7"/>
  <c r="AA51" i="7"/>
  <c r="AA132" i="7"/>
  <c r="AA135" i="7"/>
  <c r="AA183" i="7"/>
  <c r="AA57" i="7"/>
  <c r="AA60" i="7"/>
  <c r="AA58" i="7"/>
  <c r="AA56" i="7"/>
  <c r="AA124" i="7"/>
  <c r="AA33" i="7"/>
  <c r="AA157" i="7"/>
  <c r="AA229" i="7"/>
  <c r="AA76" i="7"/>
  <c r="AA47" i="7"/>
  <c r="AA138" i="7"/>
  <c r="AA87" i="7"/>
  <c r="AA94" i="7"/>
  <c r="AA18" i="7"/>
  <c r="AA114" i="7"/>
  <c r="AA45" i="7"/>
  <c r="AA205" i="7"/>
  <c r="AA230" i="7"/>
  <c r="AA180" i="7"/>
  <c r="AA178" i="7"/>
  <c r="AA202" i="7"/>
  <c r="AA228" i="7"/>
  <c r="T126" i="7"/>
  <c r="T227" i="7"/>
  <c r="AB93" i="7"/>
  <c r="AB110" i="7"/>
  <c r="AB55" i="7"/>
  <c r="AB140" i="7"/>
  <c r="AB39" i="7"/>
  <c r="AB59" i="7"/>
  <c r="AB69" i="7"/>
  <c r="AB70" i="7"/>
  <c r="AB167" i="7"/>
  <c r="W140" i="7"/>
  <c r="W69" i="7"/>
  <c r="W110" i="7"/>
  <c r="W93" i="7"/>
  <c r="W59" i="7"/>
  <c r="W167" i="7"/>
  <c r="W39" i="7"/>
  <c r="W70" i="7"/>
  <c r="W55" i="7"/>
  <c r="AB20" i="7"/>
  <c r="W20" i="7"/>
  <c r="AB224" i="7"/>
  <c r="W197" i="7"/>
  <c r="W72" i="7"/>
  <c r="W166" i="7"/>
  <c r="W68" i="7"/>
  <c r="W91" i="7"/>
  <c r="W62" i="7"/>
  <c r="W199" i="7"/>
  <c r="W32" i="7"/>
  <c r="W195" i="7"/>
  <c r="W224" i="7"/>
  <c r="P229" i="7"/>
  <c r="P157" i="7"/>
  <c r="P56" i="7"/>
  <c r="P18" i="7"/>
  <c r="P230" i="7"/>
  <c r="P114" i="7"/>
  <c r="P138" i="7"/>
  <c r="P205" i="7"/>
  <c r="P87" i="7"/>
  <c r="P124" i="7"/>
  <c r="P94" i="7"/>
  <c r="P58" i="7"/>
  <c r="P76" i="7"/>
  <c r="P178" i="7"/>
  <c r="P33" i="7"/>
  <c r="P45" i="7"/>
  <c r="P180" i="7"/>
  <c r="P47" i="7"/>
  <c r="P60" i="7"/>
  <c r="P175" i="7"/>
  <c r="P208" i="7"/>
  <c r="P198" i="7"/>
  <c r="P43" i="7"/>
  <c r="P191" i="7"/>
  <c r="P84" i="7"/>
  <c r="P74" i="7"/>
  <c r="P51" i="7"/>
  <c r="P44" i="7"/>
  <c r="P50" i="7"/>
  <c r="P183" i="7"/>
  <c r="P132" i="7"/>
  <c r="P156" i="7"/>
  <c r="P135" i="7"/>
  <c r="P95" i="7"/>
  <c r="P125" i="7"/>
  <c r="P216" i="7"/>
  <c r="P57" i="7"/>
  <c r="P189" i="7"/>
  <c r="P147" i="7"/>
  <c r="P131" i="7"/>
  <c r="P77" i="7"/>
  <c r="P228" i="7"/>
  <c r="P202" i="7"/>
  <c r="P227" i="7"/>
  <c r="P126" i="7"/>
  <c r="P105" i="7"/>
  <c r="AB228" i="7"/>
  <c r="AB202" i="7"/>
  <c r="AB50" i="7"/>
  <c r="AB74" i="7"/>
  <c r="AB51" i="7"/>
  <c r="AB57" i="7"/>
  <c r="AB77" i="7"/>
  <c r="AB125" i="7"/>
  <c r="AB189" i="7"/>
  <c r="AB95" i="7"/>
  <c r="AB44" i="7"/>
  <c r="AB84" i="7"/>
  <c r="AB132" i="7"/>
  <c r="AB156" i="7"/>
  <c r="AB208" i="7"/>
  <c r="AB216" i="7"/>
  <c r="AB43" i="7"/>
  <c r="AB183" i="7"/>
  <c r="AB175" i="7"/>
  <c r="AB131" i="7"/>
  <c r="AB191" i="7"/>
  <c r="AB135" i="7"/>
  <c r="AB198" i="7"/>
  <c r="AB147" i="7"/>
  <c r="AB58" i="7"/>
  <c r="AB94" i="7"/>
  <c r="AB18" i="7"/>
  <c r="AB33" i="7"/>
  <c r="AB45" i="7"/>
  <c r="AB157" i="7"/>
  <c r="AB205" i="7"/>
  <c r="AB229" i="7"/>
  <c r="AB87" i="7"/>
  <c r="AB56" i="7"/>
  <c r="AB60" i="7"/>
  <c r="AB76" i="7"/>
  <c r="AB124" i="7"/>
  <c r="AB180" i="7"/>
  <c r="AB47" i="7"/>
  <c r="AB114" i="7"/>
  <c r="AB230" i="7"/>
  <c r="AB178" i="7"/>
  <c r="AB138" i="7"/>
  <c r="T35" i="14"/>
  <c r="U34" i="14"/>
  <c r="J38" i="14" l="1"/>
  <c r="K38" i="14" s="1"/>
  <c r="L38" i="14" s="1"/>
  <c r="M38" i="14" s="1"/>
  <c r="N38" i="14" s="1"/>
  <c r="I38" i="14"/>
  <c r="AD219" i="7"/>
  <c r="AD80" i="7"/>
  <c r="AD66" i="7"/>
  <c r="AD152" i="7"/>
  <c r="Y80" i="7"/>
  <c r="Y66" i="7"/>
  <c r="Y152" i="7"/>
  <c r="Y219" i="7"/>
  <c r="W124" i="7"/>
  <c r="V45" i="7"/>
  <c r="W76" i="7"/>
  <c r="W205" i="7"/>
  <c r="W157" i="7"/>
  <c r="W45" i="7"/>
  <c r="U18" i="7"/>
  <c r="U157" i="7"/>
  <c r="U58" i="7"/>
  <c r="X47" i="7"/>
  <c r="V198" i="7"/>
  <c r="W87" i="7"/>
  <c r="W60" i="7"/>
  <c r="AB62" i="7"/>
  <c r="X205" i="7"/>
  <c r="AB91" i="7"/>
  <c r="AB197" i="7"/>
  <c r="AB72" i="7"/>
  <c r="AB195" i="7"/>
  <c r="AB68" i="7"/>
  <c r="X84" i="7"/>
  <c r="AA91" i="7"/>
  <c r="W33" i="7"/>
  <c r="W114" i="7"/>
  <c r="W56" i="7"/>
  <c r="W94" i="7"/>
  <c r="W58" i="7"/>
  <c r="X132" i="7"/>
  <c r="AA62" i="7"/>
  <c r="AA197" i="7"/>
  <c r="AA166" i="7"/>
  <c r="V178" i="7"/>
  <c r="U202" i="7"/>
  <c r="V47" i="7"/>
  <c r="AA32" i="7"/>
  <c r="V60" i="7"/>
  <c r="AA199" i="7"/>
  <c r="Z224" i="7"/>
  <c r="W229" i="7"/>
  <c r="W18" i="7"/>
  <c r="V175" i="7"/>
  <c r="V138" i="7"/>
  <c r="AA195" i="7"/>
  <c r="W230" i="7"/>
  <c r="AA68" i="7"/>
  <c r="Z197" i="7"/>
  <c r="Z195" i="7"/>
  <c r="V205" i="7"/>
  <c r="W132" i="7"/>
  <c r="V124" i="7"/>
  <c r="V33" i="7"/>
  <c r="Z166" i="7"/>
  <c r="Z32" i="7"/>
  <c r="V157" i="7"/>
  <c r="Z62" i="7"/>
  <c r="W216" i="7"/>
  <c r="W208" i="7"/>
  <c r="W156" i="7"/>
  <c r="V87" i="7"/>
  <c r="Z91" i="7"/>
  <c r="W189" i="7"/>
  <c r="V58" i="7"/>
  <c r="W125" i="7"/>
  <c r="V94" i="7"/>
  <c r="V18" i="7"/>
  <c r="Z72" i="7"/>
  <c r="W47" i="7"/>
  <c r="V114" i="7"/>
  <c r="V229" i="7"/>
  <c r="Z68" i="7"/>
  <c r="W178" i="7"/>
  <c r="W77" i="7"/>
  <c r="W138" i="7"/>
  <c r="W57" i="7"/>
  <c r="V180" i="7"/>
  <c r="V230" i="7"/>
  <c r="V135" i="7"/>
  <c r="U33" i="7"/>
  <c r="X60" i="7"/>
  <c r="X157" i="7"/>
  <c r="V84" i="7"/>
  <c r="X124" i="7"/>
  <c r="V74" i="7"/>
  <c r="X178" i="7"/>
  <c r="U135" i="7"/>
  <c r="U124" i="7"/>
  <c r="X94" i="7"/>
  <c r="W175" i="7"/>
  <c r="X56" i="7"/>
  <c r="AB199" i="7"/>
  <c r="V183" i="7"/>
  <c r="U191" i="7"/>
  <c r="U94" i="7"/>
  <c r="X45" i="7"/>
  <c r="X33" i="7"/>
  <c r="X180" i="7"/>
  <c r="W147" i="7"/>
  <c r="AB32" i="7"/>
  <c r="V131" i="7"/>
  <c r="U189" i="7"/>
  <c r="U205" i="7"/>
  <c r="X114" i="7"/>
  <c r="X230" i="7"/>
  <c r="X228" i="7"/>
  <c r="X58" i="7"/>
  <c r="U95" i="7"/>
  <c r="X18" i="7"/>
  <c r="W183" i="7"/>
  <c r="W135" i="7"/>
  <c r="W202" i="7"/>
  <c r="U45" i="7"/>
  <c r="U114" i="7"/>
  <c r="X138" i="7"/>
  <c r="X76" i="7"/>
  <c r="V208" i="7"/>
  <c r="W50" i="7"/>
  <c r="W51" i="7"/>
  <c r="V44" i="7"/>
  <c r="V51" i="7"/>
  <c r="V147" i="7"/>
  <c r="U132" i="7"/>
  <c r="U43" i="7"/>
  <c r="U77" i="7"/>
  <c r="U76" i="7"/>
  <c r="U56" i="7"/>
  <c r="U84" i="7"/>
  <c r="V77" i="7"/>
  <c r="U50" i="7"/>
  <c r="U230" i="7"/>
  <c r="W191" i="7"/>
  <c r="W43" i="7"/>
  <c r="V189" i="7"/>
  <c r="V156" i="7"/>
  <c r="V216" i="7"/>
  <c r="U74" i="7"/>
  <c r="U44" i="7"/>
  <c r="U147" i="7"/>
  <c r="U47" i="7"/>
  <c r="U138" i="7"/>
  <c r="U156" i="7"/>
  <c r="U198" i="7"/>
  <c r="W84" i="7"/>
  <c r="U183" i="7"/>
  <c r="V95" i="7"/>
  <c r="U125" i="7"/>
  <c r="U229" i="7"/>
  <c r="W198" i="7"/>
  <c r="W131" i="7"/>
  <c r="V125" i="7"/>
  <c r="V57" i="7"/>
  <c r="V50" i="7"/>
  <c r="V228" i="7"/>
  <c r="U131" i="7"/>
  <c r="U51" i="7"/>
  <c r="U175" i="7"/>
  <c r="U87" i="7"/>
  <c r="U60" i="7"/>
  <c r="W74" i="7"/>
  <c r="W95" i="7"/>
  <c r="V132" i="7"/>
  <c r="V43" i="7"/>
  <c r="V56" i="7"/>
  <c r="U57" i="7"/>
  <c r="U208" i="7"/>
  <c r="U180" i="7"/>
  <c r="X87" i="7"/>
  <c r="X175" i="7"/>
  <c r="X44" i="7"/>
  <c r="X216" i="7"/>
  <c r="BB55" i="31"/>
  <c r="BF55" i="31"/>
  <c r="Y134" i="7" s="1"/>
  <c r="BE55" i="31"/>
  <c r="X134" i="7" s="1"/>
  <c r="BD55" i="31"/>
  <c r="W134" i="7" s="1"/>
  <c r="BC55" i="31"/>
  <c r="V134" i="7" s="1"/>
  <c r="AB203" i="7"/>
  <c r="AB150" i="7"/>
  <c r="AB82" i="7"/>
  <c r="AB41" i="7"/>
  <c r="AB130" i="7"/>
  <c r="AB99" i="7"/>
  <c r="AB153" i="7"/>
  <c r="AB184" i="7"/>
  <c r="AB16" i="7"/>
  <c r="AB92" i="7"/>
  <c r="AB159" i="7"/>
  <c r="AA98" i="7"/>
  <c r="AA97" i="7"/>
  <c r="AA155" i="7"/>
  <c r="AD127" i="7"/>
  <c r="AD201" i="7"/>
  <c r="AD88" i="7"/>
  <c r="AD129" i="7"/>
  <c r="AD101" i="7"/>
  <c r="AD107" i="7"/>
  <c r="AD17" i="7"/>
  <c r="AD61" i="7"/>
  <c r="AD177" i="7"/>
  <c r="AD90" i="7"/>
  <c r="AD143" i="7"/>
  <c r="AD64" i="7"/>
  <c r="AD52" i="7"/>
  <c r="AD78" i="7"/>
  <c r="AD25" i="7"/>
  <c r="AD181" i="7"/>
  <c r="AD158" i="7"/>
  <c r="AD118" i="7"/>
  <c r="AD145" i="7"/>
  <c r="AD213" i="7"/>
  <c r="AD212" i="7"/>
  <c r="AD37" i="7"/>
  <c r="AD30" i="7"/>
  <c r="AD113" i="7"/>
  <c r="AD85" i="7"/>
  <c r="AD14" i="7"/>
  <c r="AD21" i="7"/>
  <c r="AD142" i="7"/>
  <c r="AD174" i="7"/>
  <c r="U107" i="7"/>
  <c r="U127" i="7"/>
  <c r="U88" i="7"/>
  <c r="U64" i="7"/>
  <c r="U177" i="7"/>
  <c r="U52" i="7"/>
  <c r="U201" i="7"/>
  <c r="U90" i="7"/>
  <c r="U101" i="7"/>
  <c r="U78" i="7"/>
  <c r="U61" i="7"/>
  <c r="U143" i="7"/>
  <c r="U129" i="7"/>
  <c r="U17" i="7"/>
  <c r="AA73" i="7"/>
  <c r="AA83" i="7"/>
  <c r="AA38" i="7"/>
  <c r="AA149" i="7"/>
  <c r="AC194" i="7"/>
  <c r="AC96" i="7"/>
  <c r="AC210" i="7"/>
  <c r="AC49" i="7"/>
  <c r="AC22" i="7"/>
  <c r="AC226" i="7"/>
  <c r="AC29" i="7"/>
  <c r="AC196" i="7"/>
  <c r="AC214" i="7"/>
  <c r="AC40" i="7"/>
  <c r="AC185" i="7"/>
  <c r="AC171" i="7"/>
  <c r="AC63" i="7"/>
  <c r="AC26" i="7"/>
  <c r="AC19" i="7"/>
  <c r="AD137" i="7"/>
  <c r="AD163" i="7"/>
  <c r="AD215" i="7"/>
  <c r="AD209" i="7"/>
  <c r="AD79" i="7"/>
  <c r="Z35" i="7"/>
  <c r="Z162" i="7"/>
  <c r="Z151" i="7"/>
  <c r="AD222" i="7"/>
  <c r="AD120" i="7"/>
  <c r="AD204" i="7"/>
  <c r="AC136" i="7"/>
  <c r="AC119" i="7"/>
  <c r="AC179" i="7"/>
  <c r="AC27" i="7"/>
  <c r="AC218" i="7"/>
  <c r="AC161" i="7"/>
  <c r="AC172" i="7"/>
  <c r="X51" i="7"/>
  <c r="X131" i="7"/>
  <c r="X189" i="7"/>
  <c r="AC41" i="7"/>
  <c r="AC159" i="7"/>
  <c r="AC153" i="7"/>
  <c r="AC203" i="7"/>
  <c r="AC130" i="7"/>
  <c r="AC92" i="7"/>
  <c r="AC99" i="7"/>
  <c r="AC16" i="7"/>
  <c r="AC184" i="7"/>
  <c r="AC82" i="7"/>
  <c r="AC150" i="7"/>
  <c r="Z97" i="7"/>
  <c r="Z98" i="7"/>
  <c r="Z155" i="7"/>
  <c r="AC78" i="7"/>
  <c r="AC90" i="7"/>
  <c r="AC129" i="7"/>
  <c r="AC88" i="7"/>
  <c r="AC107" i="7"/>
  <c r="AC61" i="7"/>
  <c r="AC177" i="7"/>
  <c r="AC201" i="7"/>
  <c r="AC127" i="7"/>
  <c r="AC64" i="7"/>
  <c r="AC101" i="7"/>
  <c r="AC143" i="7"/>
  <c r="AC52" i="7"/>
  <c r="AC17" i="7"/>
  <c r="AC142" i="7"/>
  <c r="AC30" i="7"/>
  <c r="AC25" i="7"/>
  <c r="AC181" i="7"/>
  <c r="AC213" i="7"/>
  <c r="AC37" i="7"/>
  <c r="AC158" i="7"/>
  <c r="AC21" i="7"/>
  <c r="AC145" i="7"/>
  <c r="AC113" i="7"/>
  <c r="AC85" i="7"/>
  <c r="AC14" i="7"/>
  <c r="AC212" i="7"/>
  <c r="AC118" i="7"/>
  <c r="Y177" i="7"/>
  <c r="Y107" i="7"/>
  <c r="Y61" i="7"/>
  <c r="Y201" i="7"/>
  <c r="Y129" i="7"/>
  <c r="Y78" i="7"/>
  <c r="Y64" i="7"/>
  <c r="Y88" i="7"/>
  <c r="Y101" i="7"/>
  <c r="Y17" i="7"/>
  <c r="Y127" i="7"/>
  <c r="Y90" i="7"/>
  <c r="Y143" i="7"/>
  <c r="Y52" i="7"/>
  <c r="Z38" i="7"/>
  <c r="Z83" i="7"/>
  <c r="Z73" i="7"/>
  <c r="Z149" i="7"/>
  <c r="AB29" i="7"/>
  <c r="AB26" i="7"/>
  <c r="AB185" i="7"/>
  <c r="AB40" i="7"/>
  <c r="AB214" i="7"/>
  <c r="AB194" i="7"/>
  <c r="AB196" i="7"/>
  <c r="AB63" i="7"/>
  <c r="AB22" i="7"/>
  <c r="AB210" i="7"/>
  <c r="AB96" i="7"/>
  <c r="AB226" i="7"/>
  <c r="AB49" i="7"/>
  <c r="AB171" i="7"/>
  <c r="AB19" i="7"/>
  <c r="AC163" i="7"/>
  <c r="AC79" i="7"/>
  <c r="AC209" i="7"/>
  <c r="AC137" i="7"/>
  <c r="AC215" i="7"/>
  <c r="AD162" i="7"/>
  <c r="AD35" i="7"/>
  <c r="AD151" i="7"/>
  <c r="AC120" i="7"/>
  <c r="AC204" i="7"/>
  <c r="AC222" i="7"/>
  <c r="AD91" i="7"/>
  <c r="AD68" i="7"/>
  <c r="AD197" i="7"/>
  <c r="AD166" i="7"/>
  <c r="AD72" i="7"/>
  <c r="AD199" i="7"/>
  <c r="AD32" i="7"/>
  <c r="AD195" i="7"/>
  <c r="AD62" i="7"/>
  <c r="AB172" i="7"/>
  <c r="AB161" i="7"/>
  <c r="AB27" i="7"/>
  <c r="AB218" i="7"/>
  <c r="AB136" i="7"/>
  <c r="AB179" i="7"/>
  <c r="AB119" i="7"/>
  <c r="Y76" i="7"/>
  <c r="Y114" i="7"/>
  <c r="Y230" i="7"/>
  <c r="Y205" i="7"/>
  <c r="Y33" i="7"/>
  <c r="Y124" i="7"/>
  <c r="Y138" i="7"/>
  <c r="Y45" i="7"/>
  <c r="Y180" i="7"/>
  <c r="Y178" i="7"/>
  <c r="Y47" i="7"/>
  <c r="Y87" i="7"/>
  <c r="Y157" i="7"/>
  <c r="Y56" i="7"/>
  <c r="Y229" i="7"/>
  <c r="Y18" i="7"/>
  <c r="Y58" i="7"/>
  <c r="Y60" i="7"/>
  <c r="Y94" i="7"/>
  <c r="X191" i="7"/>
  <c r="X198" i="7"/>
  <c r="BI53" i="31"/>
  <c r="AB126" i="7" s="1"/>
  <c r="BH53" i="31"/>
  <c r="AA105" i="7" s="1"/>
  <c r="BG53" i="31"/>
  <c r="Z227" i="7" s="1"/>
  <c r="BK53" i="31"/>
  <c r="BJ53" i="31"/>
  <c r="AD150" i="7"/>
  <c r="AD92" i="7"/>
  <c r="AD159" i="7"/>
  <c r="AD203" i="7"/>
  <c r="AD41" i="7"/>
  <c r="AD130" i="7"/>
  <c r="AD184" i="7"/>
  <c r="AD82" i="7"/>
  <c r="AD99" i="7"/>
  <c r="AD16" i="7"/>
  <c r="AD153" i="7"/>
  <c r="AD155" i="7"/>
  <c r="AD98" i="7"/>
  <c r="AD97" i="7"/>
  <c r="AB52" i="7"/>
  <c r="AB78" i="7"/>
  <c r="AB107" i="7"/>
  <c r="AB17" i="7"/>
  <c r="AB101" i="7"/>
  <c r="AB143" i="7"/>
  <c r="AB201" i="7"/>
  <c r="AB129" i="7"/>
  <c r="AB127" i="7"/>
  <c r="AB177" i="7"/>
  <c r="AB88" i="7"/>
  <c r="AB61" i="7"/>
  <c r="AB64" i="7"/>
  <c r="AB90" i="7"/>
  <c r="AB212" i="7"/>
  <c r="AB30" i="7"/>
  <c r="AB118" i="7"/>
  <c r="AB158" i="7"/>
  <c r="AB113" i="7"/>
  <c r="AB181" i="7"/>
  <c r="AB85" i="7"/>
  <c r="AB142" i="7"/>
  <c r="AB145" i="7"/>
  <c r="AB25" i="7"/>
  <c r="AB213" i="7"/>
  <c r="AB37" i="7"/>
  <c r="AB21" i="7"/>
  <c r="AB14" i="7"/>
  <c r="X101" i="7"/>
  <c r="X90" i="7"/>
  <c r="X129" i="7"/>
  <c r="X201" i="7"/>
  <c r="X177" i="7"/>
  <c r="X88" i="7"/>
  <c r="X107" i="7"/>
  <c r="X78" i="7"/>
  <c r="X64" i="7"/>
  <c r="X127" i="7"/>
  <c r="X61" i="7"/>
  <c r="X17" i="7"/>
  <c r="X52" i="7"/>
  <c r="X143" i="7"/>
  <c r="AA22" i="7"/>
  <c r="AA26" i="7"/>
  <c r="AA19" i="7"/>
  <c r="AA96" i="7"/>
  <c r="AA171" i="7"/>
  <c r="AA194" i="7"/>
  <c r="AA196" i="7"/>
  <c r="AA214" i="7"/>
  <c r="AA210" i="7"/>
  <c r="AA185" i="7"/>
  <c r="AA49" i="7"/>
  <c r="AA40" i="7"/>
  <c r="AA226" i="7"/>
  <c r="AA29" i="7"/>
  <c r="AA63" i="7"/>
  <c r="AB115" i="7"/>
  <c r="AB144" i="7"/>
  <c r="AB141" i="7"/>
  <c r="AB176" i="7"/>
  <c r="AB121" i="7"/>
  <c r="AB207" i="7"/>
  <c r="AB223" i="7"/>
  <c r="AB188" i="7"/>
  <c r="AB165" i="7"/>
  <c r="AB148" i="7"/>
  <c r="AB46" i="7"/>
  <c r="AC35" i="7"/>
  <c r="AC162" i="7"/>
  <c r="AC151" i="7"/>
  <c r="W223" i="7"/>
  <c r="W148" i="7"/>
  <c r="W176" i="7"/>
  <c r="W144" i="7"/>
  <c r="W165" i="7"/>
  <c r="W141" i="7"/>
  <c r="W188" i="7"/>
  <c r="W115" i="7"/>
  <c r="W46" i="7"/>
  <c r="W121" i="7"/>
  <c r="W207" i="7"/>
  <c r="U116" i="7"/>
  <c r="AB222" i="7"/>
  <c r="AB120" i="7"/>
  <c r="AB204" i="7"/>
  <c r="AC68" i="7"/>
  <c r="AC62" i="7"/>
  <c r="AC195" i="7"/>
  <c r="AC199" i="7"/>
  <c r="AC91" i="7"/>
  <c r="AC197" i="7"/>
  <c r="AC72" i="7"/>
  <c r="AC166" i="7"/>
  <c r="AC32" i="7"/>
  <c r="AA119" i="7"/>
  <c r="AA161" i="7"/>
  <c r="AA27" i="7"/>
  <c r="AA136" i="7"/>
  <c r="AA179" i="7"/>
  <c r="AA218" i="7"/>
  <c r="AA172" i="7"/>
  <c r="V184" i="7"/>
  <c r="V82" i="7"/>
  <c r="V153" i="7"/>
  <c r="V16" i="7"/>
  <c r="V41" i="7"/>
  <c r="V203" i="7"/>
  <c r="V130" i="7"/>
  <c r="V92" i="7"/>
  <c r="V159" i="7"/>
  <c r="V150" i="7"/>
  <c r="V99" i="7"/>
  <c r="Z130" i="7"/>
  <c r="Z153" i="7"/>
  <c r="Z92" i="7"/>
  <c r="Z41" i="7"/>
  <c r="Z99" i="7"/>
  <c r="Z82" i="7"/>
  <c r="Z150" i="7"/>
  <c r="Z184" i="7"/>
  <c r="Z159" i="7"/>
  <c r="Z203" i="7"/>
  <c r="Z16" i="7"/>
  <c r="AD211" i="7"/>
  <c r="AD67" i="7"/>
  <c r="AD146" i="7"/>
  <c r="AD104" i="7"/>
  <c r="AD123" i="7"/>
  <c r="AD15" i="7"/>
  <c r="AA25" i="7"/>
  <c r="AA85" i="7"/>
  <c r="AA181" i="7"/>
  <c r="AA113" i="7"/>
  <c r="AA21" i="7"/>
  <c r="AA212" i="7"/>
  <c r="AA118" i="7"/>
  <c r="AA158" i="7"/>
  <c r="AA14" i="7"/>
  <c r="AA142" i="7"/>
  <c r="AA30" i="7"/>
  <c r="AA37" i="7"/>
  <c r="AA213" i="7"/>
  <c r="AA145" i="7"/>
  <c r="W64" i="7"/>
  <c r="W61" i="7"/>
  <c r="W201" i="7"/>
  <c r="W52" i="7"/>
  <c r="W129" i="7"/>
  <c r="W101" i="7"/>
  <c r="W127" i="7"/>
  <c r="W78" i="7"/>
  <c r="W143" i="7"/>
  <c r="W107" i="7"/>
  <c r="W88" i="7"/>
  <c r="W90" i="7"/>
  <c r="W17" i="7"/>
  <c r="W177" i="7"/>
  <c r="Z29" i="7"/>
  <c r="Z22" i="7"/>
  <c r="Z185" i="7"/>
  <c r="Z214" i="7"/>
  <c r="Z196" i="7"/>
  <c r="Z210" i="7"/>
  <c r="Z226" i="7"/>
  <c r="Z26" i="7"/>
  <c r="Z194" i="7"/>
  <c r="Z171" i="7"/>
  <c r="Z49" i="7"/>
  <c r="Z63" i="7"/>
  <c r="Z19" i="7"/>
  <c r="Z96" i="7"/>
  <c r="Z40" i="7"/>
  <c r="AA223" i="7"/>
  <c r="AA148" i="7"/>
  <c r="AA188" i="7"/>
  <c r="AA46" i="7"/>
  <c r="AA176" i="7"/>
  <c r="AA121" i="7"/>
  <c r="AA141" i="7"/>
  <c r="AA165" i="7"/>
  <c r="AA115" i="7"/>
  <c r="AA207" i="7"/>
  <c r="AA144" i="7"/>
  <c r="AB35" i="7"/>
  <c r="AB151" i="7"/>
  <c r="AB162" i="7"/>
  <c r="V46" i="7"/>
  <c r="V115" i="7"/>
  <c r="V165" i="7"/>
  <c r="V141" i="7"/>
  <c r="V148" i="7"/>
  <c r="V144" i="7"/>
  <c r="V176" i="7"/>
  <c r="V207" i="7"/>
  <c r="V188" i="7"/>
  <c r="V223" i="7"/>
  <c r="V121" i="7"/>
  <c r="AA222" i="7"/>
  <c r="AA120" i="7"/>
  <c r="AA204" i="7"/>
  <c r="Z172" i="7"/>
  <c r="Z119" i="7"/>
  <c r="Z161" i="7"/>
  <c r="Z136" i="7"/>
  <c r="Z27" i="7"/>
  <c r="Z218" i="7"/>
  <c r="Z179" i="7"/>
  <c r="W184" i="7"/>
  <c r="W16" i="7"/>
  <c r="W130" i="7"/>
  <c r="W150" i="7"/>
  <c r="W99" i="7"/>
  <c r="W153" i="7"/>
  <c r="W92" i="7"/>
  <c r="W159" i="7"/>
  <c r="W41" i="7"/>
  <c r="W82" i="7"/>
  <c r="W203" i="7"/>
  <c r="Y105" i="7"/>
  <c r="Y227" i="7"/>
  <c r="Y126" i="7"/>
  <c r="X147" i="7"/>
  <c r="X95" i="7"/>
  <c r="X50" i="7"/>
  <c r="BI55" i="31"/>
  <c r="AB134" i="7" s="1"/>
  <c r="BH55" i="31"/>
  <c r="AA134" i="7" s="1"/>
  <c r="BG55" i="31"/>
  <c r="BK55" i="31"/>
  <c r="AD134" i="7" s="1"/>
  <c r="BJ55" i="31"/>
  <c r="AC134" i="7" s="1"/>
  <c r="AA130" i="7"/>
  <c r="AA41" i="7"/>
  <c r="AA150" i="7"/>
  <c r="AA99" i="7"/>
  <c r="AA82" i="7"/>
  <c r="AA159" i="7"/>
  <c r="AA153" i="7"/>
  <c r="AA203" i="7"/>
  <c r="AA92" i="7"/>
  <c r="AA184" i="7"/>
  <c r="AA16" i="7"/>
  <c r="Z34" i="7"/>
  <c r="Y44" i="7"/>
  <c r="Y95" i="7"/>
  <c r="Y74" i="7"/>
  <c r="Y147" i="7"/>
  <c r="Y175" i="7"/>
  <c r="Y43" i="7"/>
  <c r="Y84" i="7"/>
  <c r="Y131" i="7"/>
  <c r="Y198" i="7"/>
  <c r="Y156" i="7"/>
  <c r="Y57" i="7"/>
  <c r="Y125" i="7"/>
  <c r="Y50" i="7"/>
  <c r="Y132" i="7"/>
  <c r="Y135" i="7"/>
  <c r="Y191" i="7"/>
  <c r="Y208" i="7"/>
  <c r="Y51" i="7"/>
  <c r="Y77" i="7"/>
  <c r="Y216" i="7"/>
  <c r="Y183" i="7"/>
  <c r="Y189" i="7"/>
  <c r="AC104" i="7"/>
  <c r="AC146" i="7"/>
  <c r="AC67" i="7"/>
  <c r="AC15" i="7"/>
  <c r="AC211" i="7"/>
  <c r="AC123" i="7"/>
  <c r="AD49" i="7"/>
  <c r="AD185" i="7"/>
  <c r="AD196" i="7"/>
  <c r="AD22" i="7"/>
  <c r="AD26" i="7"/>
  <c r="AD40" i="7"/>
  <c r="AD19" i="7"/>
  <c r="AD226" i="7"/>
  <c r="AD63" i="7"/>
  <c r="AD96" i="7"/>
  <c r="AD171" i="7"/>
  <c r="AD194" i="7"/>
  <c r="AD210" i="7"/>
  <c r="AD29" i="7"/>
  <c r="AD214" i="7"/>
  <c r="Z188" i="7"/>
  <c r="Z144" i="7"/>
  <c r="Z165" i="7"/>
  <c r="Z223" i="7"/>
  <c r="Z141" i="7"/>
  <c r="Z46" i="7"/>
  <c r="Z148" i="7"/>
  <c r="Z207" i="7"/>
  <c r="Z176" i="7"/>
  <c r="Z121" i="7"/>
  <c r="Z115" i="7"/>
  <c r="U188" i="7"/>
  <c r="U148" i="7"/>
  <c r="U46" i="7"/>
  <c r="U207" i="7"/>
  <c r="U176" i="7"/>
  <c r="U165" i="7"/>
  <c r="U121" i="7"/>
  <c r="U144" i="7"/>
  <c r="U223" i="7"/>
  <c r="U115" i="7"/>
  <c r="U141" i="7"/>
  <c r="Z204" i="7"/>
  <c r="Z120" i="7"/>
  <c r="Z222" i="7"/>
  <c r="X150" i="7"/>
  <c r="X92" i="7"/>
  <c r="X16" i="7"/>
  <c r="X203" i="7"/>
  <c r="X130" i="7"/>
  <c r="X41" i="7"/>
  <c r="X184" i="7"/>
  <c r="X82" i="7"/>
  <c r="X153" i="7"/>
  <c r="X159" i="7"/>
  <c r="X99" i="7"/>
  <c r="X135" i="7"/>
  <c r="X57" i="7"/>
  <c r="X43" i="7"/>
  <c r="Y228" i="7"/>
  <c r="Y202" i="7"/>
  <c r="AB211" i="7"/>
  <c r="AB67" i="7"/>
  <c r="AB104" i="7"/>
  <c r="AB146" i="7"/>
  <c r="AB15" i="7"/>
  <c r="AB123" i="7"/>
  <c r="AD73" i="7"/>
  <c r="AD83" i="7"/>
  <c r="AD38" i="7"/>
  <c r="AD149" i="7"/>
  <c r="AB137" i="7"/>
  <c r="AB209" i="7"/>
  <c r="AB163" i="7"/>
  <c r="AB79" i="7"/>
  <c r="AB215" i="7"/>
  <c r="AD165" i="7"/>
  <c r="AD144" i="7"/>
  <c r="AD207" i="7"/>
  <c r="AD148" i="7"/>
  <c r="AD141" i="7"/>
  <c r="AD188" i="7"/>
  <c r="AD46" i="7"/>
  <c r="AD223" i="7"/>
  <c r="AD115" i="7"/>
  <c r="AD121" i="7"/>
  <c r="AD176" i="7"/>
  <c r="Y121" i="7"/>
  <c r="Y188" i="7"/>
  <c r="Y165" i="7"/>
  <c r="Y207" i="7"/>
  <c r="Y148" i="7"/>
  <c r="Y223" i="7"/>
  <c r="Y141" i="7"/>
  <c r="Y176" i="7"/>
  <c r="Y144" i="7"/>
  <c r="Y46" i="7"/>
  <c r="Y115" i="7"/>
  <c r="Y41" i="7"/>
  <c r="Y150" i="7"/>
  <c r="Y16" i="7"/>
  <c r="Y203" i="7"/>
  <c r="Y153" i="7"/>
  <c r="Y82" i="7"/>
  <c r="Y99" i="7"/>
  <c r="Y130" i="7"/>
  <c r="Y159" i="7"/>
  <c r="Y92" i="7"/>
  <c r="Y184" i="7"/>
  <c r="X183" i="7"/>
  <c r="X74" i="7"/>
  <c r="X77" i="7"/>
  <c r="BE56" i="31"/>
  <c r="X182" i="7" s="1"/>
  <c r="BD56" i="31"/>
  <c r="W182" i="7" s="1"/>
  <c r="BC56" i="31"/>
  <c r="V182" i="7" s="1"/>
  <c r="BB56" i="31"/>
  <c r="BF56" i="31"/>
  <c r="Y182" i="7" s="1"/>
  <c r="BD50" i="31"/>
  <c r="W13" i="7" s="1"/>
  <c r="BC50" i="31"/>
  <c r="V13" i="7" s="1"/>
  <c r="BB50" i="31"/>
  <c r="BF50" i="31"/>
  <c r="Y13" i="7" s="1"/>
  <c r="BE50" i="31"/>
  <c r="X13" i="7" s="1"/>
  <c r="AC155" i="7"/>
  <c r="AC98" i="7"/>
  <c r="AC97" i="7"/>
  <c r="AA107" i="7"/>
  <c r="AA129" i="7"/>
  <c r="AA61" i="7"/>
  <c r="AA201" i="7"/>
  <c r="AA78" i="7"/>
  <c r="AA177" i="7"/>
  <c r="AA64" i="7"/>
  <c r="AA90" i="7"/>
  <c r="AA52" i="7"/>
  <c r="AA101" i="7"/>
  <c r="AA88" i="7"/>
  <c r="AA17" i="7"/>
  <c r="AA127" i="7"/>
  <c r="AA143" i="7"/>
  <c r="AA104" i="7"/>
  <c r="AA15" i="7"/>
  <c r="AA123" i="7"/>
  <c r="AA146" i="7"/>
  <c r="AA211" i="7"/>
  <c r="AA67" i="7"/>
  <c r="AC83" i="7"/>
  <c r="AC38" i="7"/>
  <c r="AC149" i="7"/>
  <c r="AC73" i="7"/>
  <c r="AA79" i="7"/>
  <c r="AA137" i="7"/>
  <c r="AA209" i="7"/>
  <c r="AA215" i="7"/>
  <c r="AA163" i="7"/>
  <c r="AC207" i="7"/>
  <c r="AC144" i="7"/>
  <c r="AC115" i="7"/>
  <c r="AC176" i="7"/>
  <c r="AC121" i="7"/>
  <c r="AC46" i="7"/>
  <c r="AC188" i="7"/>
  <c r="AC165" i="7"/>
  <c r="AC141" i="7"/>
  <c r="AC223" i="7"/>
  <c r="AC148" i="7"/>
  <c r="X148" i="7"/>
  <c r="X115" i="7"/>
  <c r="X188" i="7"/>
  <c r="X207" i="7"/>
  <c r="X223" i="7"/>
  <c r="X121" i="7"/>
  <c r="X176" i="7"/>
  <c r="X46" i="7"/>
  <c r="X165" i="7"/>
  <c r="X144" i="7"/>
  <c r="X141" i="7"/>
  <c r="U159" i="7"/>
  <c r="U16" i="7"/>
  <c r="U92" i="7"/>
  <c r="U150" i="7"/>
  <c r="U153" i="7"/>
  <c r="U99" i="7"/>
  <c r="U130" i="7"/>
  <c r="U203" i="7"/>
  <c r="U41" i="7"/>
  <c r="U82" i="7"/>
  <c r="U184" i="7"/>
  <c r="X125" i="7"/>
  <c r="X208" i="7"/>
  <c r="AB97" i="7"/>
  <c r="AB155" i="7"/>
  <c r="AB98" i="7"/>
  <c r="Z90" i="7"/>
  <c r="Z129" i="7"/>
  <c r="Z52" i="7"/>
  <c r="Z17" i="7"/>
  <c r="Z64" i="7"/>
  <c r="Z78" i="7"/>
  <c r="Z88" i="7"/>
  <c r="Z143" i="7"/>
  <c r="Z177" i="7"/>
  <c r="Z201" i="7"/>
  <c r="Z127" i="7"/>
  <c r="Z107" i="7"/>
  <c r="Z101" i="7"/>
  <c r="Z61" i="7"/>
  <c r="Z104" i="7"/>
  <c r="Z211" i="7"/>
  <c r="Z146" i="7"/>
  <c r="Z123" i="7"/>
  <c r="Z67" i="7"/>
  <c r="Z15" i="7"/>
  <c r="Z118" i="7"/>
  <c r="Z212" i="7"/>
  <c r="Z213" i="7"/>
  <c r="Z30" i="7"/>
  <c r="Z145" i="7"/>
  <c r="Z85" i="7"/>
  <c r="Z142" i="7"/>
  <c r="Z37" i="7"/>
  <c r="Z158" i="7"/>
  <c r="Z25" i="7"/>
  <c r="Z14" i="7"/>
  <c r="Z21" i="7"/>
  <c r="Z181" i="7"/>
  <c r="Z113" i="7"/>
  <c r="V90" i="7"/>
  <c r="V177" i="7"/>
  <c r="V201" i="7"/>
  <c r="V107" i="7"/>
  <c r="V52" i="7"/>
  <c r="V127" i="7"/>
  <c r="V78" i="7"/>
  <c r="V17" i="7"/>
  <c r="V64" i="7"/>
  <c r="V88" i="7"/>
  <c r="V143" i="7"/>
  <c r="V61" i="7"/>
  <c r="V101" i="7"/>
  <c r="V129" i="7"/>
  <c r="AB73" i="7"/>
  <c r="AB149" i="7"/>
  <c r="AB83" i="7"/>
  <c r="AB38" i="7"/>
  <c r="Z163" i="7"/>
  <c r="Z209" i="7"/>
  <c r="Z137" i="7"/>
  <c r="Z79" i="7"/>
  <c r="Z215" i="7"/>
  <c r="AA151" i="7"/>
  <c r="AA35" i="7"/>
  <c r="AA162" i="7"/>
  <c r="AD119" i="7"/>
  <c r="AD27" i="7"/>
  <c r="AD172" i="7"/>
  <c r="AD136" i="7"/>
  <c r="AD179" i="7"/>
  <c r="AD161" i="7"/>
  <c r="AD218" i="7"/>
  <c r="X227" i="7"/>
  <c r="X105" i="7"/>
  <c r="X126" i="7"/>
  <c r="U126" i="7"/>
  <c r="U227" i="7"/>
  <c r="U105" i="7"/>
  <c r="W227" i="7"/>
  <c r="V126" i="7"/>
  <c r="V227" i="7"/>
  <c r="V105" i="7"/>
  <c r="W105" i="7"/>
  <c r="W126" i="7"/>
  <c r="T36" i="14"/>
  <c r="U35" i="14"/>
  <c r="I39" i="14" l="1"/>
  <c r="J39" i="14"/>
  <c r="K39" i="14" s="1"/>
  <c r="L39" i="14" s="1"/>
  <c r="M39" i="14" s="1"/>
  <c r="N39" i="14" s="1"/>
  <c r="AB105" i="7"/>
  <c r="AB227" i="7"/>
  <c r="Z105" i="7"/>
  <c r="Z126" i="7"/>
  <c r="Z134" i="7"/>
  <c r="AD105" i="7"/>
  <c r="AD126" i="7"/>
  <c r="AD227" i="7"/>
  <c r="U182" i="7"/>
  <c r="AC126" i="7"/>
  <c r="AC227" i="7"/>
  <c r="AC105" i="7"/>
  <c r="U134" i="7"/>
  <c r="AA126" i="7"/>
  <c r="U13" i="7"/>
  <c r="AA227" i="7"/>
  <c r="T37" i="14"/>
  <c r="U36" i="14"/>
  <c r="I40" i="14" l="1"/>
  <c r="J40" i="14"/>
  <c r="K40" i="14" s="1"/>
  <c r="L40" i="14" s="1"/>
  <c r="M40" i="14" s="1"/>
  <c r="N40" i="14" s="1"/>
  <c r="T38" i="14"/>
  <c r="U37" i="14"/>
  <c r="I41" i="14" l="1"/>
  <c r="J41" i="14"/>
  <c r="K41" i="14" s="1"/>
  <c r="L41" i="14" s="1"/>
  <c r="M41" i="14" s="1"/>
  <c r="N41" i="14" s="1"/>
  <c r="U38" i="14"/>
  <c r="T39" i="14"/>
  <c r="I42" i="14" l="1"/>
  <c r="J42" i="14"/>
  <c r="K42" i="14" s="1"/>
  <c r="L42" i="14" s="1"/>
  <c r="M42" i="14" s="1"/>
  <c r="N42" i="14" s="1"/>
  <c r="T40" i="14"/>
  <c r="U39" i="14"/>
  <c r="J43" i="14" l="1"/>
  <c r="K43" i="14" s="1"/>
  <c r="L43" i="14" s="1"/>
  <c r="M43" i="14" s="1"/>
  <c r="N43" i="14" s="1"/>
  <c r="I43" i="14"/>
  <c r="T41" i="14"/>
  <c r="U40" i="14"/>
  <c r="I44" i="14" l="1"/>
  <c r="J44" i="14"/>
  <c r="K44" i="14" s="1"/>
  <c r="L44" i="14" s="1"/>
  <c r="M44" i="14" s="1"/>
  <c r="N44" i="14" s="1"/>
  <c r="T42" i="14"/>
  <c r="U41" i="14"/>
  <c r="J45" i="14" l="1"/>
  <c r="K45" i="14" s="1"/>
  <c r="L45" i="14" s="1"/>
  <c r="M45" i="14" s="1"/>
  <c r="N45" i="14" s="1"/>
  <c r="I45" i="14"/>
  <c r="T43" i="14"/>
  <c r="U42" i="14"/>
  <c r="J46" i="14" l="1"/>
  <c r="K46" i="14" s="1"/>
  <c r="L46" i="14" s="1"/>
  <c r="M46" i="14" s="1"/>
  <c r="N46" i="14" s="1"/>
  <c r="I46" i="14"/>
  <c r="T44" i="14"/>
  <c r="U43" i="14"/>
  <c r="I47" i="14" l="1"/>
  <c r="J47" i="14"/>
  <c r="K47" i="14" s="1"/>
  <c r="L47" i="14" s="1"/>
  <c r="M47" i="14" s="1"/>
  <c r="N47" i="14" s="1"/>
  <c r="T45" i="14"/>
  <c r="U44" i="14"/>
  <c r="J48" i="14" l="1"/>
  <c r="K48" i="14" s="1"/>
  <c r="L48" i="14" s="1"/>
  <c r="M48" i="14" s="1"/>
  <c r="N48" i="14" s="1"/>
  <c r="I48" i="14"/>
  <c r="T46" i="14"/>
  <c r="U45" i="14"/>
  <c r="I49" i="14" l="1"/>
  <c r="J49" i="14"/>
  <c r="K49" i="14" s="1"/>
  <c r="L49" i="14" s="1"/>
  <c r="M49" i="14" s="1"/>
  <c r="N49" i="14" s="1"/>
  <c r="T47" i="14"/>
  <c r="U46" i="14"/>
  <c r="J50" i="14" l="1"/>
  <c r="K50" i="14" s="1"/>
  <c r="L50" i="14" s="1"/>
  <c r="M50" i="14" s="1"/>
  <c r="N50" i="14" s="1"/>
  <c r="I50" i="14"/>
  <c r="T48" i="14"/>
  <c r="U47" i="14"/>
  <c r="I51" i="14" l="1"/>
  <c r="J51" i="14"/>
  <c r="K51" i="14" s="1"/>
  <c r="L51" i="14" s="1"/>
  <c r="M51" i="14" s="1"/>
  <c r="N51" i="14" s="1"/>
  <c r="T49" i="14"/>
  <c r="U48" i="14"/>
  <c r="J52" i="14" l="1"/>
  <c r="K52" i="14" s="1"/>
  <c r="L52" i="14" s="1"/>
  <c r="M52" i="14" s="1"/>
  <c r="N52" i="14" s="1"/>
  <c r="I52" i="14"/>
  <c r="T50" i="14"/>
  <c r="U49" i="14"/>
  <c r="I53" i="14" l="1"/>
  <c r="J53" i="14"/>
  <c r="K53" i="14" s="1"/>
  <c r="L53" i="14" s="1"/>
  <c r="M53" i="14" s="1"/>
  <c r="N53" i="14" s="1"/>
  <c r="T51" i="14"/>
  <c r="U50" i="14"/>
  <c r="J54" i="14" l="1"/>
  <c r="K54" i="14" s="1"/>
  <c r="L54" i="14" s="1"/>
  <c r="M54" i="14" s="1"/>
  <c r="N54" i="14" s="1"/>
  <c r="I54" i="14"/>
  <c r="T52" i="14"/>
  <c r="U51" i="14"/>
  <c r="I55" i="14" l="1"/>
  <c r="J55" i="14"/>
  <c r="K55" i="14" s="1"/>
  <c r="L55" i="14" s="1"/>
  <c r="M55" i="14" s="1"/>
  <c r="N55" i="14" s="1"/>
  <c r="T53" i="14"/>
  <c r="U52" i="14"/>
  <c r="J56" i="14" l="1"/>
  <c r="K56" i="14" s="1"/>
  <c r="L56" i="14" s="1"/>
  <c r="M56" i="14" s="1"/>
  <c r="N56" i="14" s="1"/>
  <c r="I56" i="14"/>
  <c r="T54" i="14"/>
  <c r="U53" i="14"/>
  <c r="I57" i="14" l="1"/>
  <c r="J57" i="14"/>
  <c r="K57" i="14" s="1"/>
  <c r="L57" i="14" s="1"/>
  <c r="M57" i="14" s="1"/>
  <c r="N57" i="14" s="1"/>
  <c r="T55" i="14"/>
  <c r="U54" i="14"/>
  <c r="I58" i="14" l="1"/>
  <c r="J58" i="14"/>
  <c r="K58" i="14" s="1"/>
  <c r="L58" i="14" s="1"/>
  <c r="M58" i="14" s="1"/>
  <c r="N58" i="14" s="1"/>
  <c r="T56" i="14"/>
  <c r="U55" i="14"/>
  <c r="I59" i="14" l="1"/>
  <c r="J59" i="14"/>
  <c r="K59" i="14" s="1"/>
  <c r="L59" i="14" s="1"/>
  <c r="M59" i="14" s="1"/>
  <c r="N59" i="14" s="1"/>
  <c r="T57" i="14"/>
  <c r="U56" i="14"/>
  <c r="J60" i="14" l="1"/>
  <c r="K60" i="14" s="1"/>
  <c r="L60" i="14" s="1"/>
  <c r="M60" i="14" s="1"/>
  <c r="N60" i="14" s="1"/>
  <c r="I60" i="14"/>
  <c r="T58" i="14"/>
  <c r="U57" i="14"/>
  <c r="J61" i="14" l="1"/>
  <c r="K61" i="14" s="1"/>
  <c r="L61" i="14" s="1"/>
  <c r="M61" i="14" s="1"/>
  <c r="N61" i="14" s="1"/>
  <c r="I61" i="14"/>
  <c r="T59" i="14"/>
  <c r="U58" i="14"/>
  <c r="I62" i="14" l="1"/>
  <c r="J62" i="14"/>
  <c r="K62" i="14" s="1"/>
  <c r="L62" i="14" s="1"/>
  <c r="M62" i="14" s="1"/>
  <c r="N62" i="14" s="1"/>
  <c r="T60" i="14"/>
  <c r="U59" i="14"/>
  <c r="J63" i="14" l="1"/>
  <c r="K63" i="14" s="1"/>
  <c r="L63" i="14" s="1"/>
  <c r="M63" i="14" s="1"/>
  <c r="N63" i="14" s="1"/>
  <c r="I63" i="14"/>
  <c r="T61" i="14"/>
  <c r="U60" i="14"/>
  <c r="J64" i="14" l="1"/>
  <c r="K64" i="14" s="1"/>
  <c r="L64" i="14" s="1"/>
  <c r="M64" i="14" s="1"/>
  <c r="N64" i="14" s="1"/>
  <c r="I64" i="14"/>
  <c r="T62" i="14"/>
  <c r="U61" i="14"/>
  <c r="J65" i="14" l="1"/>
  <c r="K65" i="14" s="1"/>
  <c r="L65" i="14" s="1"/>
  <c r="M65" i="14" s="1"/>
  <c r="N65" i="14" s="1"/>
  <c r="I65" i="14"/>
  <c r="T63" i="14"/>
  <c r="U62" i="14"/>
  <c r="I66" i="14" l="1"/>
  <c r="J66" i="14"/>
  <c r="K66" i="14" s="1"/>
  <c r="L66" i="14" s="1"/>
  <c r="M66" i="14" s="1"/>
  <c r="N66" i="14" s="1"/>
  <c r="T64" i="14"/>
  <c r="U63" i="14"/>
  <c r="I67" i="14" l="1"/>
  <c r="J67" i="14"/>
  <c r="K67" i="14" s="1"/>
  <c r="L67" i="14" s="1"/>
  <c r="M67" i="14" s="1"/>
  <c r="N67" i="14" s="1"/>
  <c r="T65" i="14"/>
  <c r="U64" i="14"/>
  <c r="J68" i="14" l="1"/>
  <c r="K68" i="14" s="1"/>
  <c r="L68" i="14" s="1"/>
  <c r="M68" i="14" s="1"/>
  <c r="N68" i="14" s="1"/>
  <c r="I68" i="14"/>
  <c r="T66" i="14"/>
  <c r="U65" i="14"/>
  <c r="J69" i="14" l="1"/>
  <c r="K69" i="14" s="1"/>
  <c r="L69" i="14" s="1"/>
  <c r="M69" i="14" s="1"/>
  <c r="N69" i="14" s="1"/>
  <c r="I69" i="14"/>
  <c r="T67" i="14"/>
  <c r="U66" i="14"/>
  <c r="I70" i="14" l="1"/>
  <c r="J70" i="14"/>
  <c r="K70" i="14" s="1"/>
  <c r="L70" i="14" s="1"/>
  <c r="M70" i="14" s="1"/>
  <c r="N70" i="14" s="1"/>
  <c r="T68" i="14"/>
  <c r="U67" i="14"/>
  <c r="J71" i="14" l="1"/>
  <c r="K71" i="14" s="1"/>
  <c r="L71" i="14" s="1"/>
  <c r="M71" i="14" s="1"/>
  <c r="N71" i="14" s="1"/>
  <c r="I71" i="14"/>
  <c r="T69" i="14"/>
  <c r="U68" i="14"/>
  <c r="J72" i="14" l="1"/>
  <c r="K72" i="14" s="1"/>
  <c r="L72" i="14" s="1"/>
  <c r="M72" i="14" s="1"/>
  <c r="N72" i="14" s="1"/>
  <c r="I72" i="14"/>
  <c r="T70" i="14"/>
  <c r="U69" i="14"/>
  <c r="I73" i="14" l="1"/>
  <c r="J73" i="14"/>
  <c r="K73" i="14" s="1"/>
  <c r="L73" i="14" s="1"/>
  <c r="M73" i="14" s="1"/>
  <c r="N73" i="14" s="1"/>
  <c r="T71" i="14"/>
  <c r="U70" i="14"/>
  <c r="I74" i="14" l="1"/>
  <c r="J74" i="14"/>
  <c r="K74" i="14" s="1"/>
  <c r="L74" i="14" s="1"/>
  <c r="M74" i="14" s="1"/>
  <c r="N74" i="14" s="1"/>
  <c r="T72" i="14"/>
  <c r="U71" i="14"/>
  <c r="I75" i="14" l="1"/>
  <c r="J75" i="14"/>
  <c r="K75" i="14" s="1"/>
  <c r="L75" i="14" s="1"/>
  <c r="M75" i="14" s="1"/>
  <c r="N75" i="14" s="1"/>
  <c r="T73" i="14"/>
  <c r="U72" i="14"/>
  <c r="I76" i="14" l="1"/>
  <c r="J76" i="14"/>
  <c r="K76" i="14" s="1"/>
  <c r="L76" i="14" s="1"/>
  <c r="M76" i="14" s="1"/>
  <c r="N76" i="14" s="1"/>
  <c r="T74" i="14"/>
  <c r="U73" i="14"/>
  <c r="I77" i="14" l="1"/>
  <c r="J77" i="14"/>
  <c r="K77" i="14" s="1"/>
  <c r="L77" i="14" s="1"/>
  <c r="M77" i="14" s="1"/>
  <c r="N77" i="14" s="1"/>
  <c r="T75" i="14"/>
  <c r="U74" i="14"/>
  <c r="J78" i="14" l="1"/>
  <c r="K78" i="14" s="1"/>
  <c r="L78" i="14" s="1"/>
  <c r="M78" i="14" s="1"/>
  <c r="N78" i="14" s="1"/>
  <c r="I78" i="14"/>
  <c r="T76" i="14"/>
  <c r="U75" i="14"/>
  <c r="J79" i="14" l="1"/>
  <c r="K79" i="14" s="1"/>
  <c r="L79" i="14" s="1"/>
  <c r="M79" i="14" s="1"/>
  <c r="N79" i="14" s="1"/>
  <c r="I79" i="14"/>
  <c r="T77" i="14"/>
  <c r="U76" i="14"/>
  <c r="I80" i="14" l="1"/>
  <c r="J80" i="14"/>
  <c r="K80" i="14" s="1"/>
  <c r="L80" i="14" s="1"/>
  <c r="M80" i="14" s="1"/>
  <c r="N80" i="14" s="1"/>
  <c r="T78" i="14"/>
  <c r="U77" i="14"/>
  <c r="I81" i="14" l="1"/>
  <c r="J81" i="14"/>
  <c r="K81" i="14" s="1"/>
  <c r="L81" i="14" s="1"/>
  <c r="M81" i="14" s="1"/>
  <c r="N81" i="14" s="1"/>
  <c r="T79" i="14"/>
  <c r="U78" i="14"/>
  <c r="I82" i="14" l="1"/>
  <c r="J82" i="14"/>
  <c r="K82" i="14" s="1"/>
  <c r="L82" i="14" s="1"/>
  <c r="M82" i="14" s="1"/>
  <c r="N82" i="14" s="1"/>
  <c r="T80" i="14"/>
  <c r="U79" i="14"/>
  <c r="I83" i="14" l="1"/>
  <c r="J83" i="14"/>
  <c r="K83" i="14" s="1"/>
  <c r="L83" i="14" s="1"/>
  <c r="M83" i="14" s="1"/>
  <c r="N83" i="14" s="1"/>
  <c r="T81" i="14"/>
  <c r="U80" i="14"/>
  <c r="I84" i="14" l="1"/>
  <c r="J84" i="14"/>
  <c r="K84" i="14" s="1"/>
  <c r="L84" i="14" s="1"/>
  <c r="M84" i="14" s="1"/>
  <c r="N84" i="14" s="1"/>
  <c r="T82" i="14"/>
  <c r="U81" i="14"/>
  <c r="I85" i="14" l="1"/>
  <c r="J85" i="14"/>
  <c r="K85" i="14" s="1"/>
  <c r="L85" i="14" s="1"/>
  <c r="M85" i="14" s="1"/>
  <c r="N85" i="14" s="1"/>
  <c r="T83" i="14"/>
  <c r="U82" i="14"/>
  <c r="J86" i="14" l="1"/>
  <c r="K86" i="14" s="1"/>
  <c r="L86" i="14" s="1"/>
  <c r="M86" i="14" s="1"/>
  <c r="N86" i="14" s="1"/>
  <c r="I86" i="14"/>
  <c r="T84" i="14"/>
  <c r="U83" i="14"/>
  <c r="I87" i="14" l="1"/>
  <c r="J87" i="14"/>
  <c r="K87" i="14" s="1"/>
  <c r="L87" i="14" s="1"/>
  <c r="M87" i="14" s="1"/>
  <c r="N87" i="14" s="1"/>
  <c r="T85" i="14"/>
  <c r="U84" i="14"/>
  <c r="I88" i="14" l="1"/>
  <c r="J88" i="14"/>
  <c r="K88" i="14" s="1"/>
  <c r="L88" i="14" s="1"/>
  <c r="M88" i="14" s="1"/>
  <c r="N88" i="14" s="1"/>
  <c r="T86" i="14"/>
  <c r="U85" i="14"/>
  <c r="I89" i="14" l="1"/>
  <c r="J89" i="14"/>
  <c r="K89" i="14" s="1"/>
  <c r="L89" i="14" s="1"/>
  <c r="M89" i="14" s="1"/>
  <c r="N89" i="14" s="1"/>
  <c r="T87" i="14"/>
  <c r="U86" i="14"/>
  <c r="I90" i="14" l="1"/>
  <c r="J90" i="14"/>
  <c r="K90" i="14" s="1"/>
  <c r="L90" i="14" s="1"/>
  <c r="M90" i="14" s="1"/>
  <c r="N90" i="14" s="1"/>
  <c r="T88" i="14"/>
  <c r="U87" i="14"/>
  <c r="I91" i="14" l="1"/>
  <c r="J91" i="14"/>
  <c r="K91" i="14" s="1"/>
  <c r="L91" i="14" s="1"/>
  <c r="M91" i="14" s="1"/>
  <c r="N91" i="14" s="1"/>
  <c r="T89" i="14"/>
  <c r="U88" i="14"/>
  <c r="J92" i="14" l="1"/>
  <c r="K92" i="14" s="1"/>
  <c r="L92" i="14" s="1"/>
  <c r="M92" i="14" s="1"/>
  <c r="N92" i="14" s="1"/>
  <c r="I92" i="14"/>
  <c r="T90" i="14"/>
  <c r="U89" i="14"/>
  <c r="J93" i="14" l="1"/>
  <c r="K93" i="14" s="1"/>
  <c r="L93" i="14" s="1"/>
  <c r="M93" i="14" s="1"/>
  <c r="N93" i="14" s="1"/>
  <c r="I93" i="14"/>
  <c r="T91" i="14"/>
  <c r="U90" i="14"/>
  <c r="J94" i="14" l="1"/>
  <c r="K94" i="14" s="1"/>
  <c r="L94" i="14" s="1"/>
  <c r="M94" i="14" s="1"/>
  <c r="N94" i="14" s="1"/>
  <c r="I94" i="14"/>
  <c r="T92" i="14"/>
  <c r="U91" i="14"/>
  <c r="J95" i="14" l="1"/>
  <c r="K95" i="14" s="1"/>
  <c r="L95" i="14" s="1"/>
  <c r="M95" i="14" s="1"/>
  <c r="N95" i="14" s="1"/>
  <c r="I95" i="14"/>
  <c r="T93" i="14"/>
  <c r="U92" i="14"/>
  <c r="J96" i="14" l="1"/>
  <c r="K96" i="14" s="1"/>
  <c r="L96" i="14" s="1"/>
  <c r="M96" i="14" s="1"/>
  <c r="N96" i="14" s="1"/>
  <c r="I96" i="14"/>
  <c r="T94" i="14"/>
  <c r="U93" i="14"/>
  <c r="I97" i="14" l="1"/>
  <c r="J97" i="14"/>
  <c r="K97" i="14" s="1"/>
  <c r="L97" i="14" s="1"/>
  <c r="M97" i="14" s="1"/>
  <c r="N97" i="14" s="1"/>
  <c r="T95" i="14"/>
  <c r="U94" i="14"/>
  <c r="J98" i="14" l="1"/>
  <c r="K98" i="14" s="1"/>
  <c r="L98" i="14" s="1"/>
  <c r="M98" i="14" s="1"/>
  <c r="N98" i="14" s="1"/>
  <c r="I98" i="14"/>
  <c r="T96" i="14"/>
  <c r="U95" i="14"/>
  <c r="J99" i="14" l="1"/>
  <c r="K99" i="14" s="1"/>
  <c r="L99" i="14" s="1"/>
  <c r="M99" i="14" s="1"/>
  <c r="N99" i="14" s="1"/>
  <c r="I99" i="14"/>
  <c r="T97" i="14"/>
  <c r="U96" i="14"/>
  <c r="I100" i="14" l="1"/>
  <c r="J100" i="14"/>
  <c r="K100" i="14" s="1"/>
  <c r="L100" i="14" s="1"/>
  <c r="M100" i="14" s="1"/>
  <c r="N100" i="14" s="1"/>
  <c r="T98" i="14"/>
  <c r="U97" i="14"/>
  <c r="I101" i="14" l="1"/>
  <c r="J101" i="14"/>
  <c r="K101" i="14" s="1"/>
  <c r="L101" i="14" s="1"/>
  <c r="M101" i="14" s="1"/>
  <c r="N101" i="14" s="1"/>
  <c r="T99" i="14"/>
  <c r="U98" i="14"/>
  <c r="J102" i="14" l="1"/>
  <c r="K102" i="14" s="1"/>
  <c r="L102" i="14" s="1"/>
  <c r="M102" i="14" s="1"/>
  <c r="N102" i="14" s="1"/>
  <c r="I102" i="14"/>
  <c r="T100" i="14"/>
  <c r="U99" i="14"/>
  <c r="I103" i="14" l="1"/>
  <c r="J103" i="14"/>
  <c r="K103" i="14" s="1"/>
  <c r="L103" i="14" s="1"/>
  <c r="M103" i="14" s="1"/>
  <c r="N103" i="14" s="1"/>
  <c r="T101" i="14"/>
  <c r="U100" i="14"/>
  <c r="J104" i="14" l="1"/>
  <c r="K104" i="14" s="1"/>
  <c r="L104" i="14" s="1"/>
  <c r="M104" i="14" s="1"/>
  <c r="N104" i="14" s="1"/>
  <c r="I104" i="14"/>
  <c r="T102" i="14"/>
  <c r="U101" i="14"/>
  <c r="I105" i="14" l="1"/>
  <c r="J105" i="14"/>
  <c r="K105" i="14" s="1"/>
  <c r="L105" i="14" s="1"/>
  <c r="M105" i="14" s="1"/>
  <c r="N105" i="14" s="1"/>
  <c r="T103" i="14"/>
  <c r="U102" i="14"/>
  <c r="J106" i="14" l="1"/>
  <c r="K106" i="14" s="1"/>
  <c r="L106" i="14" s="1"/>
  <c r="M106" i="14" s="1"/>
  <c r="N106" i="14" s="1"/>
  <c r="I106" i="14"/>
  <c r="T104" i="14"/>
  <c r="U103" i="14"/>
  <c r="J107" i="14" l="1"/>
  <c r="K107" i="14" s="1"/>
  <c r="L107" i="14" s="1"/>
  <c r="M107" i="14" s="1"/>
  <c r="N107" i="14" s="1"/>
  <c r="I107" i="14"/>
  <c r="T105" i="14"/>
  <c r="U104" i="14"/>
  <c r="I108" i="14" l="1"/>
  <c r="J108" i="14"/>
  <c r="K108" i="14" s="1"/>
  <c r="L108" i="14" s="1"/>
  <c r="M108" i="14" s="1"/>
  <c r="N108" i="14" s="1"/>
  <c r="T106" i="14"/>
  <c r="U105" i="14"/>
  <c r="I109" i="14" l="1"/>
  <c r="J109" i="14"/>
  <c r="K109" i="14" s="1"/>
  <c r="L109" i="14" s="1"/>
  <c r="M109" i="14" s="1"/>
  <c r="N109" i="14" s="1"/>
  <c r="T107" i="14"/>
  <c r="U106" i="14"/>
  <c r="I110" i="14" l="1"/>
  <c r="J110" i="14"/>
  <c r="K110" i="14" s="1"/>
  <c r="L110" i="14" s="1"/>
  <c r="M110" i="14" s="1"/>
  <c r="N110" i="14" s="1"/>
  <c r="T108" i="14"/>
  <c r="U107" i="14"/>
  <c r="J111" i="14" l="1"/>
  <c r="K111" i="14" s="1"/>
  <c r="L111" i="14" s="1"/>
  <c r="M111" i="14" s="1"/>
  <c r="N111" i="14" s="1"/>
  <c r="I111" i="14"/>
  <c r="T109" i="14"/>
  <c r="U108" i="14"/>
  <c r="I112" i="14" l="1"/>
  <c r="J112" i="14"/>
  <c r="K112" i="14" s="1"/>
  <c r="L112" i="14" s="1"/>
  <c r="M112" i="14" s="1"/>
  <c r="N112" i="14" s="1"/>
  <c r="T110" i="14"/>
  <c r="U109" i="14"/>
  <c r="I113" i="14" l="1"/>
  <c r="J113" i="14"/>
  <c r="K113" i="14" s="1"/>
  <c r="L113" i="14" s="1"/>
  <c r="M113" i="14" s="1"/>
  <c r="N113" i="14" s="1"/>
  <c r="T111" i="14"/>
  <c r="U110" i="14"/>
  <c r="J114" i="14" l="1"/>
  <c r="K114" i="14" s="1"/>
  <c r="L114" i="14" s="1"/>
  <c r="M114" i="14" s="1"/>
  <c r="N114" i="14" s="1"/>
  <c r="I114" i="14"/>
  <c r="T112" i="14"/>
  <c r="U111" i="14"/>
  <c r="J115" i="14" l="1"/>
  <c r="K115" i="14" s="1"/>
  <c r="I115" i="14"/>
  <c r="T113" i="14"/>
  <c r="U112" i="14"/>
  <c r="K24" i="14" l="1"/>
  <c r="Q115" i="14" s="1"/>
  <c r="R115" i="14" s="1"/>
  <c r="L115" i="14"/>
  <c r="T114" i="14"/>
  <c r="U113" i="14"/>
  <c r="M115" i="14" l="1"/>
  <c r="L24" i="14"/>
  <c r="Q25" i="14"/>
  <c r="Q31" i="14"/>
  <c r="R31" i="14" s="1"/>
  <c r="S31" i="14" s="1"/>
  <c r="V31" i="14" s="1"/>
  <c r="Q39" i="14"/>
  <c r="R39" i="14" s="1"/>
  <c r="S39" i="14" s="1"/>
  <c r="V39" i="14" s="1"/>
  <c r="Q47" i="14"/>
  <c r="R47" i="14" s="1"/>
  <c r="S47" i="14" s="1"/>
  <c r="V47" i="14" s="1"/>
  <c r="Q55" i="14"/>
  <c r="R55" i="14" s="1"/>
  <c r="S55" i="14" s="1"/>
  <c r="V55" i="14" s="1"/>
  <c r="Q63" i="14"/>
  <c r="R63" i="14" s="1"/>
  <c r="S63" i="14" s="1"/>
  <c r="V63" i="14" s="1"/>
  <c r="Q71" i="14"/>
  <c r="R71" i="14" s="1"/>
  <c r="S71" i="14" s="1"/>
  <c r="V71" i="14" s="1"/>
  <c r="Q79" i="14"/>
  <c r="R79" i="14" s="1"/>
  <c r="S79" i="14" s="1"/>
  <c r="V79" i="14" s="1"/>
  <c r="Q87" i="14"/>
  <c r="R87" i="14" s="1"/>
  <c r="S87" i="14" s="1"/>
  <c r="V87" i="14" s="1"/>
  <c r="Q95" i="14"/>
  <c r="R95" i="14" s="1"/>
  <c r="S95" i="14" s="1"/>
  <c r="V95" i="14" s="1"/>
  <c r="Q103" i="14"/>
  <c r="R103" i="14" s="1"/>
  <c r="S103" i="14" s="1"/>
  <c r="V103" i="14" s="1"/>
  <c r="Q111" i="14"/>
  <c r="R111" i="14" s="1"/>
  <c r="S111" i="14" s="1"/>
  <c r="V111" i="14" s="1"/>
  <c r="Q88" i="14"/>
  <c r="R88" i="14" s="1"/>
  <c r="S88" i="14" s="1"/>
  <c r="V88" i="14" s="1"/>
  <c r="Q96" i="14"/>
  <c r="R96" i="14" s="1"/>
  <c r="S96" i="14" s="1"/>
  <c r="V96" i="14" s="1"/>
  <c r="Q112" i="14"/>
  <c r="R112" i="14" s="1"/>
  <c r="S112" i="14" s="1"/>
  <c r="V112" i="14" s="1"/>
  <c r="Q41" i="14"/>
  <c r="R41" i="14" s="1"/>
  <c r="S41" i="14" s="1"/>
  <c r="V41" i="14" s="1"/>
  <c r="Q49" i="14"/>
  <c r="R49" i="14" s="1"/>
  <c r="S49" i="14" s="1"/>
  <c r="V49" i="14" s="1"/>
  <c r="Q65" i="14"/>
  <c r="R65" i="14" s="1"/>
  <c r="S65" i="14" s="1"/>
  <c r="V65" i="14" s="1"/>
  <c r="Q73" i="14"/>
  <c r="R73" i="14" s="1"/>
  <c r="S73" i="14" s="1"/>
  <c r="V73" i="14" s="1"/>
  <c r="Q81" i="14"/>
  <c r="R81" i="14" s="1"/>
  <c r="S81" i="14" s="1"/>
  <c r="V81" i="14" s="1"/>
  <c r="Q105" i="14"/>
  <c r="R105" i="14" s="1"/>
  <c r="S105" i="14" s="1"/>
  <c r="V105" i="14" s="1"/>
  <c r="Q26" i="14"/>
  <c r="R26" i="14" s="1"/>
  <c r="S26" i="14" s="1"/>
  <c r="V26" i="14" s="1"/>
  <c r="Q42" i="14"/>
  <c r="R42" i="14" s="1"/>
  <c r="S42" i="14" s="1"/>
  <c r="V42" i="14" s="1"/>
  <c r="Q106" i="14"/>
  <c r="R106" i="14" s="1"/>
  <c r="S106" i="14" s="1"/>
  <c r="V106" i="14" s="1"/>
  <c r="Q43" i="14"/>
  <c r="R43" i="14" s="1"/>
  <c r="S43" i="14" s="1"/>
  <c r="V43" i="14" s="1"/>
  <c r="Q51" i="14"/>
  <c r="R51" i="14" s="1"/>
  <c r="S51" i="14" s="1"/>
  <c r="V51" i="14" s="1"/>
  <c r="Q67" i="14"/>
  <c r="R67" i="14" s="1"/>
  <c r="S67" i="14" s="1"/>
  <c r="V67" i="14" s="1"/>
  <c r="Q91" i="14"/>
  <c r="R91" i="14" s="1"/>
  <c r="S91" i="14" s="1"/>
  <c r="V91" i="14" s="1"/>
  <c r="Q32" i="14"/>
  <c r="R32" i="14" s="1"/>
  <c r="S32" i="14" s="1"/>
  <c r="V32" i="14" s="1"/>
  <c r="Q70" i="14"/>
  <c r="R70" i="14" s="1"/>
  <c r="S70" i="14" s="1"/>
  <c r="V70" i="14" s="1"/>
  <c r="Q94" i="14"/>
  <c r="R94" i="14" s="1"/>
  <c r="S94" i="14" s="1"/>
  <c r="V94" i="14" s="1"/>
  <c r="Q29" i="14"/>
  <c r="R29" i="14" s="1"/>
  <c r="S29" i="14" s="1"/>
  <c r="V29" i="14" s="1"/>
  <c r="Q40" i="14"/>
  <c r="R40" i="14" s="1"/>
  <c r="S40" i="14" s="1"/>
  <c r="V40" i="14" s="1"/>
  <c r="Q48" i="14"/>
  <c r="R48" i="14" s="1"/>
  <c r="S48" i="14" s="1"/>
  <c r="V48" i="14" s="1"/>
  <c r="Q56" i="14"/>
  <c r="R56" i="14" s="1"/>
  <c r="S56" i="14" s="1"/>
  <c r="V56" i="14" s="1"/>
  <c r="Q64" i="14"/>
  <c r="R64" i="14" s="1"/>
  <c r="S64" i="14" s="1"/>
  <c r="V64" i="14" s="1"/>
  <c r="Q72" i="14"/>
  <c r="R72" i="14" s="1"/>
  <c r="S72" i="14" s="1"/>
  <c r="V72" i="14" s="1"/>
  <c r="Q80" i="14"/>
  <c r="R80" i="14" s="1"/>
  <c r="S80" i="14" s="1"/>
  <c r="V80" i="14" s="1"/>
  <c r="Q104" i="14"/>
  <c r="R104" i="14" s="1"/>
  <c r="S104" i="14" s="1"/>
  <c r="V104" i="14" s="1"/>
  <c r="Q89" i="14"/>
  <c r="R89" i="14" s="1"/>
  <c r="S89" i="14" s="1"/>
  <c r="V89" i="14" s="1"/>
  <c r="Q113" i="14"/>
  <c r="R113" i="14" s="1"/>
  <c r="S113" i="14" s="1"/>
  <c r="V113" i="14" s="1"/>
  <c r="Q34" i="14"/>
  <c r="R34" i="14" s="1"/>
  <c r="S34" i="14" s="1"/>
  <c r="V34" i="14" s="1"/>
  <c r="Q58" i="14"/>
  <c r="R58" i="14" s="1"/>
  <c r="S58" i="14" s="1"/>
  <c r="V58" i="14" s="1"/>
  <c r="Q66" i="14"/>
  <c r="R66" i="14" s="1"/>
  <c r="S66" i="14" s="1"/>
  <c r="V66" i="14" s="1"/>
  <c r="Q82" i="14"/>
  <c r="R82" i="14" s="1"/>
  <c r="S82" i="14" s="1"/>
  <c r="V82" i="14" s="1"/>
  <c r="Q98" i="14"/>
  <c r="R98" i="14" s="1"/>
  <c r="S98" i="14" s="1"/>
  <c r="V98" i="14" s="1"/>
  <c r="Q28" i="14"/>
  <c r="R28" i="14" s="1"/>
  <c r="S28" i="14" s="1"/>
  <c r="V28" i="14" s="1"/>
  <c r="Q59" i="14"/>
  <c r="R59" i="14" s="1"/>
  <c r="S59" i="14" s="1"/>
  <c r="V59" i="14" s="1"/>
  <c r="Q83" i="14"/>
  <c r="R83" i="14" s="1"/>
  <c r="S83" i="14" s="1"/>
  <c r="V83" i="14" s="1"/>
  <c r="Q107" i="14"/>
  <c r="R107" i="14" s="1"/>
  <c r="S107" i="14" s="1"/>
  <c r="V107" i="14" s="1"/>
  <c r="Q30" i="14"/>
  <c r="R30" i="14" s="1"/>
  <c r="S30" i="14" s="1"/>
  <c r="V30" i="14" s="1"/>
  <c r="Q52" i="14"/>
  <c r="R52" i="14" s="1"/>
  <c r="S52" i="14" s="1"/>
  <c r="V52" i="14" s="1"/>
  <c r="Q68" i="14"/>
  <c r="R68" i="14" s="1"/>
  <c r="S68" i="14" s="1"/>
  <c r="V68" i="14" s="1"/>
  <c r="Q84" i="14"/>
  <c r="R84" i="14" s="1"/>
  <c r="S84" i="14" s="1"/>
  <c r="V84" i="14" s="1"/>
  <c r="Q100" i="14"/>
  <c r="R100" i="14" s="1"/>
  <c r="S100" i="14" s="1"/>
  <c r="V100" i="14" s="1"/>
  <c r="Q37" i="14"/>
  <c r="R37" i="14" s="1"/>
  <c r="S37" i="14" s="1"/>
  <c r="V37" i="14" s="1"/>
  <c r="Q61" i="14"/>
  <c r="R61" i="14" s="1"/>
  <c r="S61" i="14" s="1"/>
  <c r="V61" i="14" s="1"/>
  <c r="Q77" i="14"/>
  <c r="R77" i="14" s="1"/>
  <c r="S77" i="14" s="1"/>
  <c r="V77" i="14" s="1"/>
  <c r="Q93" i="14"/>
  <c r="R93" i="14" s="1"/>
  <c r="S93" i="14" s="1"/>
  <c r="V93" i="14" s="1"/>
  <c r="Q109" i="14"/>
  <c r="R109" i="14" s="1"/>
  <c r="S109" i="14" s="1"/>
  <c r="V109" i="14" s="1"/>
  <c r="Q38" i="14"/>
  <c r="R38" i="14" s="1"/>
  <c r="S38" i="14" s="1"/>
  <c r="V38" i="14" s="1"/>
  <c r="Q54" i="14"/>
  <c r="R54" i="14" s="1"/>
  <c r="S54" i="14" s="1"/>
  <c r="V54" i="14" s="1"/>
  <c r="Q86" i="14"/>
  <c r="R86" i="14" s="1"/>
  <c r="S86" i="14" s="1"/>
  <c r="V86" i="14" s="1"/>
  <c r="Q27" i="14"/>
  <c r="R27" i="14" s="1"/>
  <c r="S27" i="14" s="1"/>
  <c r="V27" i="14" s="1"/>
  <c r="Q57" i="14"/>
  <c r="R57" i="14" s="1"/>
  <c r="S57" i="14" s="1"/>
  <c r="V57" i="14" s="1"/>
  <c r="Q97" i="14"/>
  <c r="R97" i="14" s="1"/>
  <c r="S97" i="14" s="1"/>
  <c r="V97" i="14" s="1"/>
  <c r="Q50" i="14"/>
  <c r="R50" i="14" s="1"/>
  <c r="S50" i="14" s="1"/>
  <c r="V50" i="14" s="1"/>
  <c r="Q74" i="14"/>
  <c r="R74" i="14" s="1"/>
  <c r="S74" i="14" s="1"/>
  <c r="V74" i="14" s="1"/>
  <c r="Q90" i="14"/>
  <c r="R90" i="14" s="1"/>
  <c r="S90" i="14" s="1"/>
  <c r="V90" i="14" s="1"/>
  <c r="Q114" i="14"/>
  <c r="R114" i="14" s="1"/>
  <c r="S114" i="14" s="1"/>
  <c r="Q35" i="14"/>
  <c r="R35" i="14" s="1"/>
  <c r="S35" i="14" s="1"/>
  <c r="V35" i="14" s="1"/>
  <c r="Q75" i="14"/>
  <c r="R75" i="14" s="1"/>
  <c r="S75" i="14" s="1"/>
  <c r="V75" i="14" s="1"/>
  <c r="Q99" i="14"/>
  <c r="R99" i="14" s="1"/>
  <c r="S99" i="14" s="1"/>
  <c r="V99" i="14" s="1"/>
  <c r="Q36" i="14"/>
  <c r="R36" i="14" s="1"/>
  <c r="S36" i="14" s="1"/>
  <c r="V36" i="14" s="1"/>
  <c r="Q44" i="14"/>
  <c r="R44" i="14" s="1"/>
  <c r="S44" i="14" s="1"/>
  <c r="V44" i="14" s="1"/>
  <c r="Q60" i="14"/>
  <c r="R60" i="14" s="1"/>
  <c r="S60" i="14" s="1"/>
  <c r="V60" i="14" s="1"/>
  <c r="Q76" i="14"/>
  <c r="R76" i="14" s="1"/>
  <c r="S76" i="14" s="1"/>
  <c r="V76" i="14" s="1"/>
  <c r="Q92" i="14"/>
  <c r="R92" i="14" s="1"/>
  <c r="S92" i="14" s="1"/>
  <c r="V92" i="14" s="1"/>
  <c r="Q108" i="14"/>
  <c r="R108" i="14" s="1"/>
  <c r="S108" i="14" s="1"/>
  <c r="V108" i="14" s="1"/>
  <c r="Q33" i="14"/>
  <c r="R33" i="14" s="1"/>
  <c r="S33" i="14" s="1"/>
  <c r="V33" i="14" s="1"/>
  <c r="Q53" i="14"/>
  <c r="R53" i="14" s="1"/>
  <c r="S53" i="14" s="1"/>
  <c r="V53" i="14" s="1"/>
  <c r="Q69" i="14"/>
  <c r="R69" i="14" s="1"/>
  <c r="S69" i="14" s="1"/>
  <c r="V69" i="14" s="1"/>
  <c r="Q85" i="14"/>
  <c r="R85" i="14" s="1"/>
  <c r="S85" i="14" s="1"/>
  <c r="V85" i="14" s="1"/>
  <c r="Q101" i="14"/>
  <c r="R101" i="14" s="1"/>
  <c r="S101" i="14" s="1"/>
  <c r="V101" i="14" s="1"/>
  <c r="Q46" i="14"/>
  <c r="R46" i="14" s="1"/>
  <c r="S46" i="14" s="1"/>
  <c r="V46" i="14" s="1"/>
  <c r="Q62" i="14"/>
  <c r="R62" i="14" s="1"/>
  <c r="S62" i="14" s="1"/>
  <c r="V62" i="14" s="1"/>
  <c r="Q78" i="14"/>
  <c r="R78" i="14" s="1"/>
  <c r="S78" i="14" s="1"/>
  <c r="V78" i="14" s="1"/>
  <c r="Q102" i="14"/>
  <c r="R102" i="14" s="1"/>
  <c r="S102" i="14" s="1"/>
  <c r="V102" i="14" s="1"/>
  <c r="Q45" i="14"/>
  <c r="R45" i="14" s="1"/>
  <c r="S45" i="14" s="1"/>
  <c r="V45" i="14" s="1"/>
  <c r="Q110" i="14"/>
  <c r="R110" i="14" s="1"/>
  <c r="S110" i="14" s="1"/>
  <c r="V110" i="14" s="1"/>
  <c r="T115" i="14"/>
  <c r="U115" i="14" s="1"/>
  <c r="U114" i="14"/>
  <c r="V114" i="14" l="1"/>
  <c r="R25" i="14"/>
  <c r="S25" i="14" s="1"/>
  <c r="V25" i="14" s="1"/>
  <c r="Q24" i="14"/>
  <c r="N115" i="14"/>
  <c r="M24" i="14"/>
  <c r="S115" i="14" l="1"/>
  <c r="V115" i="14" s="1"/>
  <c r="V24" i="14" s="1"/>
  <c r="Q15" i="14" s="1"/>
  <c r="N24"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Per Svardal</author>
  </authors>
  <commentList>
    <comment ref="F21" authorId="0" shapeId="0" xr:uid="{A12936EA-A5AE-0942-AD12-6E693202A82B}">
      <text>
        <r>
          <rPr>
            <sz val="8"/>
            <color rgb="FF000000"/>
            <rFont val="Tahoma"/>
            <family val="2"/>
          </rPr>
          <t>Calculates the mass of DOC in the deposited material which will actually degrade in the SWDS. Equation 4 on the Theory sheet.</t>
        </r>
      </text>
    </comment>
    <comment ref="G21" authorId="0" shapeId="0" xr:uid="{540B5CD2-EEC2-A144-B4E8-4789E66ED037}">
      <text>
        <r>
          <rPr>
            <sz val="8"/>
            <color rgb="FF000000"/>
            <rFont val="Tahoma"/>
            <family val="2"/>
          </rPr>
          <t>Calculates the mass of DDOC from material deposited in each year which is left in the SWDS at the end of the year. Equation 5 on the Theory sheet.</t>
        </r>
      </text>
    </comment>
    <comment ref="H21" authorId="0" shapeId="0" xr:uid="{83C6EB81-2889-B44D-A261-D0C722291A3E}">
      <text>
        <r>
          <rPr>
            <sz val="8"/>
            <color rgb="FF000000"/>
            <rFont val="Tahoma"/>
            <family val="2"/>
          </rPr>
          <t xml:space="preserve">Calculates the amount of DDOCm from material deposited each year, which is decomposed to methane and carbon dioxide in the deposition year. Equation 6 on the Theory sheet.
</t>
        </r>
      </text>
    </comment>
    <comment ref="I21" authorId="0" shapeId="0" xr:uid="{EDE6DA75-F930-174C-B207-DC80B62168B0}">
      <text>
        <r>
          <rPr>
            <sz val="8"/>
            <color rgb="FF000000"/>
            <rFont val="Tahoma"/>
            <family val="2"/>
          </rPr>
          <t>Calculates the total amount of DDOCm left not decomposed in the SWDS at the end of the year. Equation 7 on the Theory sheet.</t>
        </r>
      </text>
    </comment>
    <comment ref="J21" authorId="0" shapeId="0" xr:uid="{27EAF5C8-10AB-0443-938B-37B2FACCC954}">
      <text>
        <r>
          <rPr>
            <sz val="8"/>
            <color rgb="FF000000"/>
            <rFont val="Tahoma"/>
            <family val="2"/>
          </rPr>
          <t>Calculates the total mass of DDOC dedomposed to methane and carbon dioxide each year. Equation 8 on the Theory sheet.</t>
        </r>
      </text>
    </comment>
    <comment ref="K21" authorId="0" shapeId="0" xr:uid="{B995193F-342A-5649-B7B9-78D2E5429427}">
      <text>
        <r>
          <rPr>
            <sz val="8"/>
            <color rgb="FF000000"/>
            <rFont val="Tahoma"/>
            <family val="2"/>
          </rPr>
          <t>Calculates the mass of methane formed from DDOCm decomposed. Equation 9 on the Theory 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<sst xmlns="http://schemas.openxmlformats.org/spreadsheetml/2006/main" count="5736" uniqueCount="871">
  <si>
    <t>Country</t>
  </si>
  <si>
    <t>World Bank</t>
  </si>
  <si>
    <t>Range name</t>
  </si>
  <si>
    <t>Calculation</t>
  </si>
  <si>
    <t>Tab key</t>
  </si>
  <si>
    <t>Input data</t>
  </si>
  <si>
    <t>Version Control</t>
  </si>
  <si>
    <t>Keeps track of any changes to the model. Should be updated after every significant update</t>
  </si>
  <si>
    <t>Version</t>
  </si>
  <si>
    <t>Date</t>
  </si>
  <si>
    <t>Comments</t>
  </si>
  <si>
    <t>Contents</t>
  </si>
  <si>
    <t>Description</t>
  </si>
  <si>
    <t>Cover sheet</t>
  </si>
  <si>
    <t>Assumption/Parameter</t>
  </si>
  <si>
    <t>Source</t>
  </si>
  <si>
    <t>Year</t>
  </si>
  <si>
    <t>Units</t>
  </si>
  <si>
    <t>Value</t>
  </si>
  <si>
    <t>OECD</t>
  </si>
  <si>
    <t>Region</t>
  </si>
  <si>
    <t>Afghanistan</t>
  </si>
  <si>
    <t>South Asia</t>
  </si>
  <si>
    <t>Albania</t>
  </si>
  <si>
    <t>Europe &amp; Central Asia</t>
  </si>
  <si>
    <t>Algeria</t>
  </si>
  <si>
    <t>Middle East &amp; North Africa</t>
  </si>
  <si>
    <t>American Samoa</t>
  </si>
  <si>
    <t>East Asia &amp; Pacific</t>
  </si>
  <si>
    <t>Andorra</t>
  </si>
  <si>
    <t>Angola</t>
  </si>
  <si>
    <t>Sub-Saharan Africa</t>
  </si>
  <si>
    <t>Antigua and Barbuda</t>
  </si>
  <si>
    <t>Latin America &amp; Caribbean</t>
  </si>
  <si>
    <t>Argentina</t>
  </si>
  <si>
    <t>Armenia</t>
  </si>
  <si>
    <t>Aruba</t>
  </si>
  <si>
    <t>Australia</t>
  </si>
  <si>
    <t>Austria</t>
  </si>
  <si>
    <t>Azerbaijan</t>
  </si>
  <si>
    <t>Bahamas, The</t>
  </si>
  <si>
    <t>Bahrain</t>
  </si>
  <si>
    <t>Bangladesh</t>
  </si>
  <si>
    <t>Barbados</t>
  </si>
  <si>
    <t>Belarus</t>
  </si>
  <si>
    <t>Belgium</t>
  </si>
  <si>
    <t>Belize</t>
  </si>
  <si>
    <t>Benin</t>
  </si>
  <si>
    <t>Bermuda</t>
  </si>
  <si>
    <t>North America</t>
  </si>
  <si>
    <t>Bhutan</t>
  </si>
  <si>
    <t>Bolivia</t>
  </si>
  <si>
    <t>Bosnia and Herzegovina</t>
  </si>
  <si>
    <t>Botswana</t>
  </si>
  <si>
    <t>Brazil</t>
  </si>
  <si>
    <t>British Virgin Islands</t>
  </si>
  <si>
    <t>Brunei Darussalam</t>
  </si>
  <si>
    <t>Bulgaria</t>
  </si>
  <si>
    <t>Burkina Faso</t>
  </si>
  <si>
    <t>Burundi</t>
  </si>
  <si>
    <t>Cabo Verde</t>
  </si>
  <si>
    <t>Cambodia</t>
  </si>
  <si>
    <t>Cameroon</t>
  </si>
  <si>
    <t>Canada</t>
  </si>
  <si>
    <t>Cayman Islands</t>
  </si>
  <si>
    <t>Central African Republic</t>
  </si>
  <si>
    <t>Chad</t>
  </si>
  <si>
    <t>Channel Islands</t>
  </si>
  <si>
    <t>Chile</t>
  </si>
  <si>
    <t>China</t>
  </si>
  <si>
    <t>Colombia</t>
  </si>
  <si>
    <t>Comoros</t>
  </si>
  <si>
    <t>Congo, Dem. Rep.</t>
  </si>
  <si>
    <t>Congo, Rep.</t>
  </si>
  <si>
    <t>Costa Rica</t>
  </si>
  <si>
    <t>Cote d'Ivoire</t>
  </si>
  <si>
    <t>Croatia</t>
  </si>
  <si>
    <t>Cuba</t>
  </si>
  <si>
    <t>Curacao</t>
  </si>
  <si>
    <t>Cyprus</t>
  </si>
  <si>
    <t>Czechia</t>
  </si>
  <si>
    <t>Denmark</t>
  </si>
  <si>
    <t>Djibouti</t>
  </si>
  <si>
    <t>Dominica</t>
  </si>
  <si>
    <t>Dominican Republic</t>
  </si>
  <si>
    <t>Ecuador</t>
  </si>
  <si>
    <t>Egypt, Arab Rep.</t>
  </si>
  <si>
    <t>El Salvador</t>
  </si>
  <si>
    <t>Equatorial Guinea</t>
  </si>
  <si>
    <t>Eritrea</t>
  </si>
  <si>
    <t>Estonia</t>
  </si>
  <si>
    <t>Eswatini</t>
  </si>
  <si>
    <t>Ethiopia</t>
  </si>
  <si>
    <t>Faroe Islands</t>
  </si>
  <si>
    <t>Fiji</t>
  </si>
  <si>
    <t>Finland</t>
  </si>
  <si>
    <t>France</t>
  </si>
  <si>
    <t>French Polynesia</t>
  </si>
  <si>
    <t>Gabon</t>
  </si>
  <si>
    <t>Gambia, The</t>
  </si>
  <si>
    <t>Georgia</t>
  </si>
  <si>
    <t>Germany</t>
  </si>
  <si>
    <t>Ghana</t>
  </si>
  <si>
    <t>Gibraltar</t>
  </si>
  <si>
    <t>Greece</t>
  </si>
  <si>
    <t>Greenland</t>
  </si>
  <si>
    <t>Grenada</t>
  </si>
  <si>
    <t>Guam</t>
  </si>
  <si>
    <t>Guatemala</t>
  </si>
  <si>
    <t>Guinea</t>
  </si>
  <si>
    <t>Guinea-Bissau</t>
  </si>
  <si>
    <t>Guyana</t>
  </si>
  <si>
    <t>Haiti</t>
  </si>
  <si>
    <t>Honduras</t>
  </si>
  <si>
    <t>Hong Kong SAR, China</t>
  </si>
  <si>
    <t>Hungary</t>
  </si>
  <si>
    <t>Iceland</t>
  </si>
  <si>
    <t>India</t>
  </si>
  <si>
    <t>Indonesia</t>
  </si>
  <si>
    <t>Iran, Islamic Rep.</t>
  </si>
  <si>
    <t>Iraq</t>
  </si>
  <si>
    <t>Ireland</t>
  </si>
  <si>
    <t>Isle of Man</t>
  </si>
  <si>
    <t>Israel</t>
  </si>
  <si>
    <t>Italy</t>
  </si>
  <si>
    <t>Jamaica</t>
  </si>
  <si>
    <t>Japan</t>
  </si>
  <si>
    <t>Jordan</t>
  </si>
  <si>
    <t>Kazakhstan</t>
  </si>
  <si>
    <t>Kenya</t>
  </si>
  <si>
    <t>Kiribati</t>
  </si>
  <si>
    <t>Korea, Dem. People's Rep.</t>
  </si>
  <si>
    <t>Korea, Rep.</t>
  </si>
  <si>
    <t>Kosovo</t>
  </si>
  <si>
    <t>Kuwait</t>
  </si>
  <si>
    <t>Kyrgyz Republic</t>
  </si>
  <si>
    <t>Lao PDR</t>
  </si>
  <si>
    <t>Latvia</t>
  </si>
  <si>
    <t>Lebanon</t>
  </si>
  <si>
    <t>Lesotho</t>
  </si>
  <si>
    <t>Liberia</t>
  </si>
  <si>
    <t>Libya</t>
  </si>
  <si>
    <t>Liechtenstein</t>
  </si>
  <si>
    <t>Lithuania</t>
  </si>
  <si>
    <t>Luxembourg</t>
  </si>
  <si>
    <t>Macao SAR, China</t>
  </si>
  <si>
    <t>Madagascar</t>
  </si>
  <si>
    <t>Malawi</t>
  </si>
  <si>
    <t>Malaysia</t>
  </si>
  <si>
    <t>Maldives</t>
  </si>
  <si>
    <t>Mali</t>
  </si>
  <si>
    <t>Malta</t>
  </si>
  <si>
    <t>Marshall Islands</t>
  </si>
  <si>
    <t>Mauritania</t>
  </si>
  <si>
    <t>Mauritius</t>
  </si>
  <si>
    <t>Mexico</t>
  </si>
  <si>
    <t>Micronesia, Fed. Sts.</t>
  </si>
  <si>
    <t>Moldova</t>
  </si>
  <si>
    <t>Monaco</t>
  </si>
  <si>
    <t>Mongolia</t>
  </si>
  <si>
    <t>Montenegro</t>
  </si>
  <si>
    <t>Morocco</t>
  </si>
  <si>
    <t>Mozambique</t>
  </si>
  <si>
    <t>Myanmar</t>
  </si>
  <si>
    <t>Namibia</t>
  </si>
  <si>
    <t>Nauru</t>
  </si>
  <si>
    <t>Nepal</t>
  </si>
  <si>
    <t>Netherlands</t>
  </si>
  <si>
    <t>New Caledonia</t>
  </si>
  <si>
    <t>New Zealand</t>
  </si>
  <si>
    <t>Nicaragua</t>
  </si>
  <si>
    <t>Niger</t>
  </si>
  <si>
    <t>Nigeria</t>
  </si>
  <si>
    <t>North Macedonia</t>
  </si>
  <si>
    <t>Northern Mariana Islands</t>
  </si>
  <si>
    <t>Norway</t>
  </si>
  <si>
    <t>Oman</t>
  </si>
  <si>
    <t>Pakistan</t>
  </si>
  <si>
    <t>Palau</t>
  </si>
  <si>
    <t>Panama</t>
  </si>
  <si>
    <t>Papua New Guinea</t>
  </si>
  <si>
    <t>Paraguay</t>
  </si>
  <si>
    <t>Peru</t>
  </si>
  <si>
    <t>Philippines</t>
  </si>
  <si>
    <t>Poland</t>
  </si>
  <si>
    <t>Portugal</t>
  </si>
  <si>
    <t>Puerto Rico</t>
  </si>
  <si>
    <t>Qatar</t>
  </si>
  <si>
    <t>Romania</t>
  </si>
  <si>
    <t>Russian Federation</t>
  </si>
  <si>
    <t>Rwanda</t>
  </si>
  <si>
    <t>Samoa</t>
  </si>
  <si>
    <t>San Marino</t>
  </si>
  <si>
    <t>Sao Tome and Principe</t>
  </si>
  <si>
    <t>Saudi Arabia</t>
  </si>
  <si>
    <t>Senegal</t>
  </si>
  <si>
    <t>Serbia</t>
  </si>
  <si>
    <t>Seychelles</t>
  </si>
  <si>
    <t>Sierra Leone</t>
  </si>
  <si>
    <t>Singapore</t>
  </si>
  <si>
    <t>Sint Maarten (Dutch part)</t>
  </si>
  <si>
    <t>Slovak Republic</t>
  </si>
  <si>
    <t>Slovenia</t>
  </si>
  <si>
    <t>Solomon Islands</t>
  </si>
  <si>
    <t>Somalia</t>
  </si>
  <si>
    <t>South Africa</t>
  </si>
  <si>
    <t>South Sudan</t>
  </si>
  <si>
    <t>Spain</t>
  </si>
  <si>
    <t>Sri Lanka</t>
  </si>
  <si>
    <t>St. Kitts and Nevis</t>
  </si>
  <si>
    <t>St. Lucia</t>
  </si>
  <si>
    <t>St. Martin (French part)</t>
  </si>
  <si>
    <t>St. Vincent and the Grenadines</t>
  </si>
  <si>
    <t>Sudan</t>
  </si>
  <si>
    <t>Suriname</t>
  </si>
  <si>
    <t>Sweden</t>
  </si>
  <si>
    <t>Switzerland</t>
  </si>
  <si>
    <t>Syrian Arab Republic</t>
  </si>
  <si>
    <t>Taiwan</t>
  </si>
  <si>
    <t>Tajikistan</t>
  </si>
  <si>
    <t>Tanzania</t>
  </si>
  <si>
    <t>Thailand</t>
  </si>
  <si>
    <t>Timor-Leste</t>
  </si>
  <si>
    <t>Togo</t>
  </si>
  <si>
    <t>Tonga</t>
  </si>
  <si>
    <t>Trinidad and Tobago</t>
  </si>
  <si>
    <t>Tunisia</t>
  </si>
  <si>
    <t>Turkmenistan</t>
  </si>
  <si>
    <t>Turks and Caicos Islands</t>
  </si>
  <si>
    <t>Tuvalu</t>
  </si>
  <si>
    <t>Uganda</t>
  </si>
  <si>
    <t>Ukraine</t>
  </si>
  <si>
    <t>United Arab Emirates</t>
  </si>
  <si>
    <t>United Kingdom</t>
  </si>
  <si>
    <t>United States</t>
  </si>
  <si>
    <t>Uruguay</t>
  </si>
  <si>
    <t>Uzbekistan</t>
  </si>
  <si>
    <t>Vanuatu</t>
  </si>
  <si>
    <t>Venezuela, RB</t>
  </si>
  <si>
    <t>Viet Nam</t>
  </si>
  <si>
    <t>Virgin Islands (U.S.)</t>
  </si>
  <si>
    <t>West Bank and Gaza</t>
  </si>
  <si>
    <t>Yemen, Rep.</t>
  </si>
  <si>
    <t>Zambia</t>
  </si>
  <si>
    <t>Zimbabwe</t>
  </si>
  <si>
    <t>Column1</t>
  </si>
  <si>
    <t>Column2</t>
  </si>
  <si>
    <t>Column3</t>
  </si>
  <si>
    <t>Column4</t>
  </si>
  <si>
    <t>Column5</t>
  </si>
  <si>
    <t>Column6</t>
  </si>
  <si>
    <t>Column7</t>
  </si>
  <si>
    <t>Column8</t>
  </si>
  <si>
    <t>Soil permeability</t>
  </si>
  <si>
    <t>Gleeson et al</t>
  </si>
  <si>
    <t>M</t>
  </si>
  <si>
    <t>Hazardous HARAS code</t>
  </si>
  <si>
    <t>Singh et al</t>
  </si>
  <si>
    <t>W</t>
  </si>
  <si>
    <t>Non-Hazardous HARAS code</t>
  </si>
  <si>
    <t>B</t>
  </si>
  <si>
    <t xml:space="preserve">GNI Coefficient (United States) </t>
  </si>
  <si>
    <t>OECD GNI</t>
  </si>
  <si>
    <t>Elasticity Leachate</t>
  </si>
  <si>
    <t>Worst Case Leachate Cost</t>
  </si>
  <si>
    <t>Onalaska Case Study</t>
  </si>
  <si>
    <t>US$/tonne leachate</t>
  </si>
  <si>
    <t>MCF (hazardous and non-hazardous)</t>
  </si>
  <si>
    <t>Nox EF</t>
  </si>
  <si>
    <t>EMEP/EEA</t>
  </si>
  <si>
    <t>kg/Mg waste</t>
  </si>
  <si>
    <t>Sox EF</t>
  </si>
  <si>
    <t>PM10 EF</t>
  </si>
  <si>
    <t>PM2.5 EF</t>
  </si>
  <si>
    <t>Energy potential of landfill</t>
  </si>
  <si>
    <t>kwh/tonnes</t>
  </si>
  <si>
    <t>Carbon content of waste (hazardous)</t>
  </si>
  <si>
    <t>IPCC</t>
  </si>
  <si>
    <t>tonne C/tonne waste</t>
  </si>
  <si>
    <t>Carbon content of waste (non-hazardous)</t>
  </si>
  <si>
    <t>Fossil carbon content of waste (hazardous)</t>
  </si>
  <si>
    <t>Fossil carbon content of waste (non-hazardous)</t>
  </si>
  <si>
    <t>Energy potential of waste (incineration)</t>
  </si>
  <si>
    <t>Efficiency of combustion (hazardous)</t>
  </si>
  <si>
    <t>%</t>
  </si>
  <si>
    <t>Efficiency of combustion (non-hazardous)</t>
  </si>
  <si>
    <t>Proportion of fatal cancers</t>
  </si>
  <si>
    <t>Cancer Research</t>
  </si>
  <si>
    <t>Cancers per kg dioxins</t>
  </si>
  <si>
    <t>Likelihood baseline adjustment</t>
  </si>
  <si>
    <t>To make HARAS &amp; ERQ scores relative</t>
  </si>
  <si>
    <t>Cost of non fatal cancer</t>
  </si>
  <si>
    <t>OECD member VSL</t>
  </si>
  <si>
    <t>IQ Points - Lead impact</t>
  </si>
  <si>
    <t>IQ points per kg Pb</t>
  </si>
  <si>
    <t>IQ Points - Mercury impact</t>
  </si>
  <si>
    <t>IQ points per kg Hg</t>
  </si>
  <si>
    <t>Remaining lifetime (landfill and incineration)</t>
  </si>
  <si>
    <t>years</t>
  </si>
  <si>
    <t>DOCf (fraction of carbon degraded)</t>
  </si>
  <si>
    <t>Start month of decomposition</t>
  </si>
  <si>
    <t>Fraction of methane (F) in developed gas</t>
  </si>
  <si>
    <t>Conversion factor, C to CH4</t>
  </si>
  <si>
    <t>CO2/CH4 GWP conversion</t>
  </si>
  <si>
    <t>SCC</t>
  </si>
  <si>
    <t>SCC Annual Growth Rate</t>
  </si>
  <si>
    <t>Discount Rate</t>
  </si>
  <si>
    <t>Standard discount rate</t>
  </si>
  <si>
    <t>kg - tonne conversion</t>
  </si>
  <si>
    <t>Standard conversion</t>
  </si>
  <si>
    <t>Gg - tonne conversion</t>
  </si>
  <si>
    <t>Carbon to CO2 conversion</t>
  </si>
  <si>
    <t>US EPA</t>
  </si>
  <si>
    <t xml:space="preserve">Health Cost Elasticity </t>
  </si>
  <si>
    <t>Hedonic factor</t>
  </si>
  <si>
    <t>Column9</t>
  </si>
  <si>
    <t>Column10</t>
  </si>
  <si>
    <t>Column11</t>
  </si>
  <si>
    <t>Column12</t>
  </si>
  <si>
    <t>Column13</t>
  </si>
  <si>
    <t>Column14</t>
  </si>
  <si>
    <t>Column15</t>
  </si>
  <si>
    <t>Column16</t>
  </si>
  <si>
    <t>Column17</t>
  </si>
  <si>
    <t>Column18</t>
  </si>
  <si>
    <t>Column19</t>
  </si>
  <si>
    <t>Waste Data Sheet</t>
  </si>
  <si>
    <t>ERQ Score</t>
  </si>
  <si>
    <t>Sox intensity of national grid</t>
  </si>
  <si>
    <t>Nox intensity of national grid</t>
  </si>
  <si>
    <t>PM2.5 intensity of national grid</t>
  </si>
  <si>
    <t>PM10 intensity of national grid</t>
  </si>
  <si>
    <t>Average CO2e grid factor</t>
  </si>
  <si>
    <t>Household size</t>
  </si>
  <si>
    <t>Total waste tonnes</t>
  </si>
  <si>
    <t>Landfill waste flow</t>
  </si>
  <si>
    <t>Incinceration waste flow</t>
  </si>
  <si>
    <t>Number of landfills</t>
  </si>
  <si>
    <t>Number of incineration plants</t>
  </si>
  <si>
    <t>Incineration with ER</t>
  </si>
  <si>
    <t>Lined landfills</t>
  </si>
  <si>
    <t>Waste collection</t>
  </si>
  <si>
    <t>Average property price</t>
  </si>
  <si>
    <t xml:space="preserve">Esty (2002) </t>
  </si>
  <si>
    <t>United Nations Population Division</t>
  </si>
  <si>
    <t>Various</t>
  </si>
  <si>
    <t>Finder</t>
  </si>
  <si>
    <t>Tonnes</t>
  </si>
  <si>
    <t>£</t>
  </si>
  <si>
    <t>Modified country list</t>
  </si>
  <si>
    <t>Modified region list</t>
  </si>
  <si>
    <t>ModifiedRegions</t>
  </si>
  <si>
    <t>ModifiedCountries</t>
  </si>
  <si>
    <t>DOC (Degradeable organic carbon), waste by composition</t>
  </si>
  <si>
    <t>Default</t>
  </si>
  <si>
    <t>Dry temperate</t>
  </si>
  <si>
    <t>Wet temperate</t>
  </si>
  <si>
    <t>Dry tropical</t>
  </si>
  <si>
    <t>Moist and wet tropical</t>
  </si>
  <si>
    <t>Methane generation rate constant (k), years</t>
  </si>
  <si>
    <t>DOC</t>
  </si>
  <si>
    <t>DOCf</t>
  </si>
  <si>
    <t>Location specific factors</t>
  </si>
  <si>
    <t>Fraction of methane captured</t>
  </si>
  <si>
    <t>Fraction of captured methane burned</t>
  </si>
  <si>
    <t>Grid average emissions</t>
  </si>
  <si>
    <t>Energy potential of waste</t>
  </si>
  <si>
    <t>IPCC Climate zone</t>
  </si>
  <si>
    <t>Column20</t>
  </si>
  <si>
    <t>IPCC climate zones</t>
  </si>
  <si>
    <t>Assumptions dependent on waste type and country location</t>
  </si>
  <si>
    <t>IPCC model</t>
  </si>
  <si>
    <t>Methane capture adjustment</t>
  </si>
  <si>
    <t>Avoided emissions from electricity generation</t>
  </si>
  <si>
    <t>Amount deposited</t>
  </si>
  <si>
    <t xml:space="preserve">CH4 generated </t>
  </si>
  <si>
    <t>CH4 released</t>
  </si>
  <si>
    <t>CO2e released</t>
  </si>
  <si>
    <t>Total kWh produced</t>
  </si>
  <si>
    <t>Total CO2e avoided</t>
  </si>
  <si>
    <t>Allocation of kWh ovetime</t>
  </si>
  <si>
    <t>CO2e avoided each year</t>
  </si>
  <si>
    <t>Total CO2e released</t>
  </si>
  <si>
    <t>SCC inflated to future</t>
  </si>
  <si>
    <t>SCC discounted to base year</t>
  </si>
  <si>
    <t>Valued impact of total waste</t>
  </si>
  <si>
    <t xml:space="preserve">W </t>
  </si>
  <si>
    <t>Gg</t>
  </si>
  <si>
    <t>tonnes</t>
  </si>
  <si>
    <t>kWh</t>
  </si>
  <si>
    <t>$</t>
  </si>
  <si>
    <t>$/tonne</t>
  </si>
  <si>
    <t>END OF LINE</t>
  </si>
  <si>
    <t>Waste type</t>
  </si>
  <si>
    <t>Waste type input:</t>
  </si>
  <si>
    <t>Industrial waste</t>
  </si>
  <si>
    <t>Column21</t>
  </si>
  <si>
    <t>Column22</t>
  </si>
  <si>
    <t>Column23</t>
  </si>
  <si>
    <t>Column24</t>
  </si>
  <si>
    <t>Non-hazardous -fraction methane captured</t>
  </si>
  <si>
    <t>Non-hazardous -fraction captured methane then burned</t>
  </si>
  <si>
    <t>Hazardous - fraction methane captured</t>
  </si>
  <si>
    <t>Hazardous - fraction captured methane then burned</t>
  </si>
  <si>
    <t>Turkiye</t>
  </si>
  <si>
    <t>Hazardous / non-hazardous</t>
  </si>
  <si>
    <t>Hazardous</t>
  </si>
  <si>
    <t>UK Government</t>
  </si>
  <si>
    <t>SCC Annual Growth Rate %</t>
  </si>
  <si>
    <t>GHG from landfill valuation coefficient ($/t CO2e)</t>
  </si>
  <si>
    <t>Hazardous GHG from landfill</t>
  </si>
  <si>
    <t>IPCC Model sheet</t>
  </si>
  <si>
    <t>Column25</t>
  </si>
  <si>
    <t>GNI per capita, 2021 international $</t>
  </si>
  <si>
    <t>gni_ppp_pc_2021</t>
  </si>
  <si>
    <t>Column26</t>
  </si>
  <si>
    <t>Column27</t>
  </si>
  <si>
    <t>Column28</t>
  </si>
  <si>
    <t>Dioxin EF (g I-TEQ/Mg waste)</t>
  </si>
  <si>
    <t>Pb EF (g I-TEQ/Mg waste)</t>
  </si>
  <si>
    <t>Hg EF (g I-TEQ/Mg waste)</t>
  </si>
  <si>
    <t>g l-TEQ/tonne waste</t>
  </si>
  <si>
    <t>2023 US$</t>
  </si>
  <si>
    <t>Adjusted VSL</t>
  </si>
  <si>
    <t>Health cost elasticity</t>
  </si>
  <si>
    <t>Dioxin EF</t>
  </si>
  <si>
    <t>kg I-TEQ/tonne waste</t>
  </si>
  <si>
    <t>Proportion of fatal cancer</t>
  </si>
  <si>
    <t>PPP adjusted weighted cost of fatal and nonfatal cancer</t>
  </si>
  <si>
    <t>Dioxin cost per tonne of waste</t>
  </si>
  <si>
    <t>Lead EF</t>
  </si>
  <si>
    <t>kg l-TEQ/tonne waste</t>
  </si>
  <si>
    <t>Cost of lost IQ</t>
  </si>
  <si>
    <t>PPP adjusted cost of lost IQ</t>
  </si>
  <si>
    <t>Lead cost per tonne of waste</t>
  </si>
  <si>
    <t>Mercury EF</t>
  </si>
  <si>
    <t>Mercury cost per tonne of waste</t>
  </si>
  <si>
    <t>Mass of pollutant (convert to kg)</t>
  </si>
  <si>
    <t>PPP adjusted cost of non fatal cancer</t>
  </si>
  <si>
    <t>Health cost PPP adjustment</t>
  </si>
  <si>
    <t>Gross tonnes CO2 emitted</t>
  </si>
  <si>
    <t>t/kwh</t>
  </si>
  <si>
    <t>Avoided CO2 from energy recovery</t>
  </si>
  <si>
    <t>Net tonnes emitted</t>
  </si>
  <si>
    <t>Hazardous waste incinerated with energy recovery</t>
  </si>
  <si>
    <t>Incineration waste flow</t>
  </si>
  <si>
    <t>% Hazardous waste with energy recovery</t>
  </si>
  <si>
    <t>All waste incineration with energy recovery</t>
  </si>
  <si>
    <t>Non-hazardous waste incinerated with energy recovery</t>
  </si>
  <si>
    <t>% Non-hazardous waste with energy recovery</t>
  </si>
  <si>
    <t>Tonnes avoided CO2e from energy recovery</t>
  </si>
  <si>
    <t>Non-hazardous</t>
  </si>
  <si>
    <t>Column29</t>
  </si>
  <si>
    <t>Gleeson 2011</t>
  </si>
  <si>
    <t>Column30</t>
  </si>
  <si>
    <t>Population density</t>
  </si>
  <si>
    <t>people/km2</t>
  </si>
  <si>
    <t>Population density rating</t>
  </si>
  <si>
    <t>Hazardous pathway code</t>
  </si>
  <si>
    <t>Non-hazardous pathway code</t>
  </si>
  <si>
    <t>% Lined landfills</t>
  </si>
  <si>
    <t>ERQ score</t>
  </si>
  <si>
    <t>% waste collection</t>
  </si>
  <si>
    <t>Scoring of % Linedlandfill based on ERQ</t>
  </si>
  <si>
    <t>HARAS Code</t>
  </si>
  <si>
    <t>Hazard Score Lined</t>
  </si>
  <si>
    <t>ERQ</t>
  </si>
  <si>
    <t>% lined landfill</t>
  </si>
  <si>
    <t>Hazard score = likelihood score</t>
  </si>
  <si>
    <t>HARAS code</t>
  </si>
  <si>
    <t>Hazard score for an unlined landfill</t>
  </si>
  <si>
    <t>Hazard score for an engineered landfill</t>
  </si>
  <si>
    <t>Unlined USD</t>
  </si>
  <si>
    <t>Lined USD</t>
  </si>
  <si>
    <t>WMB</t>
  </si>
  <si>
    <t>Hazard Score Unlined</t>
  </si>
  <si>
    <t>HARAS Score</t>
  </si>
  <si>
    <t>ERQ_Landfill</t>
  </si>
  <si>
    <t>Final % of lined landfills</t>
  </si>
  <si>
    <t>Annual growth rate (%) from OECD</t>
  </si>
  <si>
    <t>Index to 2005</t>
  </si>
  <si>
    <t>Inflation Used</t>
  </si>
  <si>
    <t>Elasticity leachate</t>
  </si>
  <si>
    <t>Leachate GNI coefficient</t>
  </si>
  <si>
    <t>Risk factor - Hazardous Lined Landfill</t>
  </si>
  <si>
    <t>Risk factor - Non-hazardous Lined Landfill</t>
  </si>
  <si>
    <t>HARAS score</t>
  </si>
  <si>
    <t>Risk factor - Hazardous Unlined Landfill</t>
  </si>
  <si>
    <t>Risk factor - Non-hazardous Unlined Landfill</t>
  </si>
  <si>
    <t>Likelihood baseline</t>
  </si>
  <si>
    <t>Weighted hazardous waste score</t>
  </si>
  <si>
    <t>Weighted non-hazardous waste score</t>
  </si>
  <si>
    <t>Cost of cancers from dioxins</t>
  </si>
  <si>
    <t>Cost of IQ loss from lead</t>
  </si>
  <si>
    <t>Cost of IQ loss from mercury</t>
  </si>
  <si>
    <t>Household density</t>
  </si>
  <si>
    <t>people/house</t>
  </si>
  <si>
    <t>No. landfill sites</t>
  </si>
  <si>
    <t>tonnes/year</t>
  </si>
  <si>
    <t>GBP-USD exchange</t>
  </si>
  <si>
    <t>2022-2023 US inflation</t>
  </si>
  <si>
    <t>Discount rate</t>
  </si>
  <si>
    <t>Discounted waste flow</t>
  </si>
  <si>
    <t>No. Incineration sites</t>
  </si>
  <si>
    <t>Landfill discounted waste flow</t>
  </si>
  <si>
    <t>Incineration discounted waste flow</t>
  </si>
  <si>
    <t xml:space="preserve">Following the hedonic transfer calculations: </t>
  </si>
  <si>
    <t>Schutt</t>
  </si>
  <si>
    <t>New</t>
  </si>
  <si>
    <t xml:space="preserve">Hedonic pricing function </t>
  </si>
  <si>
    <t>Incineration with energy recovery</t>
  </si>
  <si>
    <t>Cost per tonne in suburban area</t>
  </si>
  <si>
    <t>$ / tonne Nox</t>
  </si>
  <si>
    <t>$ / tonne</t>
  </si>
  <si>
    <t>tonnes / kwH</t>
  </si>
  <si>
    <t>Avoided Nox from energy recovery</t>
  </si>
  <si>
    <t>Net cost</t>
  </si>
  <si>
    <t>SOx calculations</t>
  </si>
  <si>
    <t>NOx calculations</t>
  </si>
  <si>
    <t>Avoided Sox from energy recovery</t>
  </si>
  <si>
    <t>$ / tonne Sox</t>
  </si>
  <si>
    <t>Gross emission of Nox</t>
  </si>
  <si>
    <t>Gross emission of Sox</t>
  </si>
  <si>
    <t>Gross emission of PM10</t>
  </si>
  <si>
    <t>Avoided PM10 from energy recovery</t>
  </si>
  <si>
    <t>$ / tonne PM10</t>
  </si>
  <si>
    <t>PM10 calculations</t>
  </si>
  <si>
    <t>PM2.5 calculations</t>
  </si>
  <si>
    <t>Gross emission of PM2.5</t>
  </si>
  <si>
    <t>Avoided PM2.5 from energy recovery</t>
  </si>
  <si>
    <t>$ / tonne PM2.5</t>
  </si>
  <si>
    <t>Max price increase (%)</t>
  </si>
  <si>
    <t>Distance where effect is 0 (km)</t>
  </si>
  <si>
    <t>Non-hazardous GHG from landfill</t>
  </si>
  <si>
    <t>IPCC Inputs</t>
  </si>
  <si>
    <t>k</t>
  </si>
  <si>
    <t>h = ln(2)/k</t>
  </si>
  <si>
    <t xml:space="preserve"> exp(-k)</t>
  </si>
  <si>
    <t>exp(-k*((13-M)/12))</t>
  </si>
  <si>
    <t>F</t>
  </si>
  <si>
    <t>Methane generation rate constant</t>
  </si>
  <si>
    <t>Half-life time (t1/2, years):</t>
  </si>
  <si>
    <t>exp1</t>
  </si>
  <si>
    <t>Process start in deposition year. Month M</t>
  </si>
  <si>
    <t>exp2</t>
  </si>
  <si>
    <t>Fraction to CH4</t>
  </si>
  <si>
    <t>Country ID</t>
  </si>
  <si>
    <t>Hazardous GHG from incineration</t>
  </si>
  <si>
    <t>Non-hazardous GHG from incineration</t>
  </si>
  <si>
    <t>Hazardous leachate from landfill</t>
  </si>
  <si>
    <t>Non-hazardous leachate from landfill</t>
  </si>
  <si>
    <t>Leachate</t>
  </si>
  <si>
    <t>Landfill</t>
  </si>
  <si>
    <t>Air pollution from hazardous incineration</t>
  </si>
  <si>
    <t>Air pollution from non-hazardous incineration</t>
  </si>
  <si>
    <t>Health impacts from hazardous incineration</t>
  </si>
  <si>
    <t>Health impacts from non-hazardous incineration</t>
  </si>
  <si>
    <t>Disamenity from hazardous landfill</t>
  </si>
  <si>
    <t>Disamenity from non-hazardous landfill</t>
  </si>
  <si>
    <t>Disamenity from hazardous incineration</t>
  </si>
  <si>
    <t>Disamenity from non-hazardous incineration</t>
  </si>
  <si>
    <t>Heavy metals and dioxins</t>
  </si>
  <si>
    <t>Air pollution</t>
  </si>
  <si>
    <t>Incineration</t>
  </si>
  <si>
    <t>Unspecified</t>
  </si>
  <si>
    <t>Disamenity</t>
  </si>
  <si>
    <t>Hazardous (to landfill)</t>
  </si>
  <si>
    <t>Non-hazardous (to landfill)</t>
  </si>
  <si>
    <t>Hazardous (to incineration)</t>
  </si>
  <si>
    <t>Non-hazardous (to incineration)</t>
  </si>
  <si>
    <t>Hazardous (to unspecified)</t>
  </si>
  <si>
    <t>Non-hazardous (to unspecified)</t>
  </si>
  <si>
    <t>GHGs</t>
  </si>
  <si>
    <t>Regional averages&gt;&gt;&gt;</t>
  </si>
  <si>
    <t>Tonnes landfill waste flow</t>
  </si>
  <si>
    <t>Tonnes incineration waste flow</t>
  </si>
  <si>
    <t>Column31</t>
  </si>
  <si>
    <t>Column32</t>
  </si>
  <si>
    <t>Upper middle income</t>
  </si>
  <si>
    <t>High income</t>
  </si>
  <si>
    <t>Lower middle income</t>
  </si>
  <si>
    <t>Income class</t>
  </si>
  <si>
    <t>Income averages&gt;&gt;&gt;</t>
  </si>
  <si>
    <t>Regional income averages&gt;&gt;&gt;</t>
  </si>
  <si>
    <t>Income Class</t>
  </si>
  <si>
    <t>income_class</t>
  </si>
  <si>
    <t>Low income</t>
  </si>
  <si>
    <t>Tag</t>
  </si>
  <si>
    <t>Gap filling where regional income combinations do not exist&gt;&gt;&gt;</t>
  </si>
  <si>
    <t>Column33</t>
  </si>
  <si>
    <t>Column34</t>
  </si>
  <si>
    <t>Waste Assumptions Sheet</t>
  </si>
  <si>
    <t>1. Leachate</t>
  </si>
  <si>
    <t>2. Air pollution</t>
  </si>
  <si>
    <t>3. Heavy metals &amp; dioxins</t>
  </si>
  <si>
    <t>4. Disamenity</t>
  </si>
  <si>
    <t>5. Landfill GHGs</t>
  </si>
  <si>
    <t>6. Incineration GHGs</t>
  </si>
  <si>
    <t>Air pollution model</t>
  </si>
  <si>
    <t>Esty</t>
  </si>
  <si>
    <t>Leachate_Coefficient1</t>
  </si>
  <si>
    <t>Leachate_Coefficient2</t>
  </si>
  <si>
    <t>Airpollution_Coefficient1</t>
  </si>
  <si>
    <t>Airpollution_Coefficient2</t>
  </si>
  <si>
    <t>Health_Coefficient1</t>
  </si>
  <si>
    <t>Health_Coefficient2</t>
  </si>
  <si>
    <t>Discounted waste flow from landfills over their remaining lifetime. Feeds into the Disamenity module.</t>
  </si>
  <si>
    <t>Discounted waste flow from incinerators over their remaining lifetime. Feeds into the Disamenity module.</t>
  </si>
  <si>
    <t>The Incineration GHGs module values GHG impacts from incineration. Avoided emissions from energy recovery are removed from the gross emissions emitted.</t>
  </si>
  <si>
    <t>Remaining incineration years</t>
  </si>
  <si>
    <r>
      <t>Hazardous carbon content of waste</t>
    </r>
    <r>
      <rPr>
        <sz val="11"/>
        <rFont val="Calibri"/>
        <family val="2"/>
      </rPr>
      <t xml:space="preserve"> (tC/tW)</t>
    </r>
  </si>
  <si>
    <r>
      <t xml:space="preserve">Hazardous efficiency of combustion </t>
    </r>
    <r>
      <rPr>
        <sz val="11"/>
        <rFont val="Calibri"/>
        <family val="2"/>
        <scheme val="minor"/>
      </rPr>
      <t>(%)</t>
    </r>
  </si>
  <si>
    <r>
      <t xml:space="preserve">Energy potential of waste </t>
    </r>
    <r>
      <rPr>
        <sz val="11"/>
        <color theme="1"/>
        <rFont val="Calibri"/>
        <family val="2"/>
        <scheme val="minor"/>
      </rPr>
      <t>(kWH/t)</t>
    </r>
  </si>
  <si>
    <r>
      <t xml:space="preserve">Hazardous fossil carbon content </t>
    </r>
    <r>
      <rPr>
        <sz val="11"/>
        <rFont val="Calibri"/>
        <family val="2"/>
        <scheme val="minor"/>
      </rPr>
      <t>(tFC/tC)</t>
    </r>
  </si>
  <si>
    <r>
      <t>Social Cost of Carbon</t>
    </r>
    <r>
      <rPr>
        <sz val="11"/>
        <color theme="1"/>
        <rFont val="Calibri"/>
        <family val="2"/>
        <scheme val="minor"/>
      </rPr>
      <t xml:space="preserve"> (2023 US$)</t>
    </r>
  </si>
  <si>
    <r>
      <t xml:space="preserve">Non-hazardous carbon content of waste </t>
    </r>
    <r>
      <rPr>
        <sz val="11"/>
        <rFont val="Calibri"/>
        <family val="2"/>
      </rPr>
      <t>(tC/tW)</t>
    </r>
  </si>
  <si>
    <r>
      <t xml:space="preserve">Non-hazardous fossil carbon content </t>
    </r>
    <r>
      <rPr>
        <sz val="11"/>
        <rFont val="Calibri"/>
        <family val="2"/>
        <scheme val="minor"/>
      </rPr>
      <t>(tFC/tC)</t>
    </r>
  </si>
  <si>
    <r>
      <t>Non-hazardous efficiency of combustion</t>
    </r>
    <r>
      <rPr>
        <sz val="11"/>
        <rFont val="Calibri"/>
        <family val="2"/>
        <scheme val="minor"/>
      </rPr>
      <t xml:space="preserve"> (%)</t>
    </r>
  </si>
  <si>
    <r>
      <t xml:space="preserve">Worst case cost </t>
    </r>
    <r>
      <rPr>
        <sz val="11"/>
        <color theme="1"/>
        <rFont val="Calibri"/>
        <family val="2"/>
        <scheme val="minor"/>
      </rPr>
      <t>(2013 US$)</t>
    </r>
  </si>
  <si>
    <r>
      <t xml:space="preserve">2013-2023 inflation </t>
    </r>
    <r>
      <rPr>
        <sz val="11"/>
        <color theme="1"/>
        <rFont val="Calibri"/>
        <family val="2"/>
        <scheme val="minor"/>
      </rPr>
      <t>(US$)</t>
    </r>
  </si>
  <si>
    <r>
      <t>2021-2023 inflation</t>
    </r>
    <r>
      <rPr>
        <sz val="11"/>
        <rFont val="Calibri"/>
        <family val="2"/>
      </rPr>
      <t xml:space="preserve"> (US$)</t>
    </r>
  </si>
  <si>
    <r>
      <t xml:space="preserve">2023 US GNI </t>
    </r>
    <r>
      <rPr>
        <sz val="11"/>
        <color theme="1"/>
        <rFont val="Calibri"/>
        <family val="2"/>
        <scheme val="minor"/>
      </rPr>
      <t>($)</t>
    </r>
  </si>
  <si>
    <r>
      <t>Energy potential incineration</t>
    </r>
    <r>
      <rPr>
        <sz val="11"/>
        <color theme="1"/>
        <rFont val="Calibri"/>
        <family val="2"/>
        <scheme val="minor"/>
      </rPr>
      <t xml:space="preserve"> (kWh/t)</t>
    </r>
  </si>
  <si>
    <r>
      <t xml:space="preserve">Nox emission factor </t>
    </r>
    <r>
      <rPr>
        <sz val="11"/>
        <color theme="1"/>
        <rFont val="Calibri"/>
        <family val="2"/>
        <scheme val="minor"/>
      </rPr>
      <t>(kg/mg waste)</t>
    </r>
  </si>
  <si>
    <r>
      <t xml:space="preserve">Sox emission factor </t>
    </r>
    <r>
      <rPr>
        <sz val="11"/>
        <color theme="1"/>
        <rFont val="Calibri"/>
        <family val="2"/>
        <scheme val="minor"/>
      </rPr>
      <t>(kg/mg waste)</t>
    </r>
  </si>
  <si>
    <r>
      <t xml:space="preserve">PM10 emission factor </t>
    </r>
    <r>
      <rPr>
        <sz val="11"/>
        <color theme="1"/>
        <rFont val="Calibri"/>
        <family val="2"/>
        <scheme val="minor"/>
      </rPr>
      <t>(kg/mg waste)</t>
    </r>
  </si>
  <si>
    <r>
      <t xml:space="preserve">PM2.5 emission factor </t>
    </r>
    <r>
      <rPr>
        <sz val="11"/>
        <color theme="1"/>
        <rFont val="Calibri"/>
        <family val="2"/>
        <scheme val="minor"/>
      </rPr>
      <t>(kg/mg waste)</t>
    </r>
  </si>
  <si>
    <r>
      <t xml:space="preserve">OECD VSL </t>
    </r>
    <r>
      <rPr>
        <sz val="11"/>
        <color theme="1"/>
        <rFont val="Calibri"/>
        <family val="2"/>
        <scheme val="minor"/>
      </rPr>
      <t>(2023 US$)</t>
    </r>
  </si>
  <si>
    <r>
      <t>OECD GNI</t>
    </r>
    <r>
      <rPr>
        <sz val="11"/>
        <rFont val="Calibri"/>
        <family val="2"/>
      </rPr>
      <t xml:space="preserve"> (2023 US$)</t>
    </r>
  </si>
  <si>
    <r>
      <t xml:space="preserve">US GNI </t>
    </r>
    <r>
      <rPr>
        <sz val="11"/>
        <color theme="1"/>
        <rFont val="Calibri"/>
        <family val="2"/>
        <scheme val="minor"/>
      </rPr>
      <t>(2023 US$)</t>
    </r>
  </si>
  <si>
    <t>This sheet shows the outputs of the IPCC Landfill GHG model. Users can change the type of waste being sent to landfill under the Waste Type Input drop down. Clicking 'Update coefficients' runs a macro for the IPCC model for all countries. Hazardous and non-hazardous coefficients are shown.</t>
  </si>
  <si>
    <t>ERQ_Score</t>
  </si>
  <si>
    <t>HARAS_code</t>
  </si>
  <si>
    <t>HARAS_scoreUnlined</t>
  </si>
  <si>
    <t>HARAS_scoreLined</t>
  </si>
  <si>
    <t>MGR_WasteTypes</t>
  </si>
  <si>
    <t>MGR_DOC</t>
  </si>
  <si>
    <t>MGR_k</t>
  </si>
  <si>
    <t>MGR_ClimateZone</t>
  </si>
  <si>
    <t>Likelihood of lined landfills</t>
  </si>
  <si>
    <t>Cost likelihood - Hazardous Lined Landfill</t>
  </si>
  <si>
    <t>Cost likelihood - Non-hazardous Lined Landfill</t>
  </si>
  <si>
    <t>Cost likelihood - Hazardous Unlined Landfill</t>
  </si>
  <si>
    <t>Cost likelihood - Non-hazardous Unlined Landfill</t>
  </si>
  <si>
    <t>The Heavy metals &amp; dioxins module values health impacts from incineration. Dioxin impacts are valued through cost of fatal (VSL) and non-fatal (WTP) cancers. Cost of lead and mercury are valued through lost IQ (WTP).</t>
  </si>
  <si>
    <t>Hedonic pricing transfer: average of all studies</t>
  </si>
  <si>
    <t>Disamenity_LDWF</t>
  </si>
  <si>
    <t>Disamenity_IDWF</t>
  </si>
  <si>
    <t>km2/house</t>
  </si>
  <si>
    <t>LFGHG_Coefficient1</t>
  </si>
  <si>
    <t>LFGHG_Coefficient2</t>
  </si>
  <si>
    <t>Disamenity_IN_Coefficient1</t>
  </si>
  <si>
    <t>Disamenity_IN_Coefficient2</t>
  </si>
  <si>
    <t>Disamenity_LF_Coefficient1</t>
  </si>
  <si>
    <t>Disamenity_LF_Coefficient2</t>
  </si>
  <si>
    <t>INGHG_Coefficient1</t>
  </si>
  <si>
    <t>INGHG_Coefficient2</t>
  </si>
  <si>
    <t>Modified income list</t>
  </si>
  <si>
    <t>ModifiedIncome</t>
  </si>
  <si>
    <t>Cancers per kg of dioxin</t>
  </si>
  <si>
    <t>g - Kg conversion</t>
  </si>
  <si>
    <t>4a. LF DWF</t>
  </si>
  <si>
    <t>4b. IN DWF</t>
  </si>
  <si>
    <t>5a. IPCC Model</t>
  </si>
  <si>
    <t>Ember calculation</t>
  </si>
  <si>
    <t>Ember</t>
  </si>
  <si>
    <t>Food waste</t>
  </si>
  <si>
    <t>Garden</t>
  </si>
  <si>
    <t>Paper</t>
  </si>
  <si>
    <t>Wood and straw</t>
  </si>
  <si>
    <t>Textiles</t>
  </si>
  <si>
    <t>Disposable nappies</t>
  </si>
  <si>
    <t>Sewage sludge</t>
  </si>
  <si>
    <t>Annual growth rate from OECD</t>
  </si>
  <si>
    <t>Forecast data from OECD</t>
  </si>
  <si>
    <t>GNI PPP per capita</t>
  </si>
  <si>
    <t>No value</t>
  </si>
  <si>
    <t>Final outputs:</t>
  </si>
  <si>
    <r>
      <t>WTP to avoid non fatal cancer</t>
    </r>
    <r>
      <rPr>
        <sz val="11"/>
        <color theme="1"/>
        <rFont val="Calibri"/>
        <family val="2"/>
        <scheme val="minor"/>
      </rPr>
      <t xml:space="preserve"> (2023 US$)</t>
    </r>
  </si>
  <si>
    <r>
      <t>WTP to avoid lost IQ</t>
    </r>
    <r>
      <rPr>
        <sz val="11"/>
        <color theme="1"/>
        <rFont val="Calibri"/>
        <family val="2"/>
        <scheme val="minor"/>
      </rPr>
      <t xml:space="preserve"> (2023 US$)</t>
    </r>
  </si>
  <si>
    <t>IQ loss per kg of lead</t>
  </si>
  <si>
    <t>IQ loss per kg of mercury</t>
  </si>
  <si>
    <t>Rabl et al</t>
  </si>
  <si>
    <t>Cost of 1 IQ point</t>
  </si>
  <si>
    <t>Michigan and South Carolina State Environmental Departments</t>
  </si>
  <si>
    <t>Viscusi and Masterman</t>
  </si>
  <si>
    <t>In model</t>
  </si>
  <si>
    <t>Calculations that form Table 1:</t>
  </si>
  <si>
    <t>Table 1</t>
  </si>
  <si>
    <t>Study</t>
  </si>
  <si>
    <t>Distance (m):</t>
  </si>
  <si>
    <t>House increase (%):</t>
  </si>
  <si>
    <t>From paper</t>
  </si>
  <si>
    <t>Slope:</t>
  </si>
  <si>
    <t>Intercept:</t>
  </si>
  <si>
    <t>r</t>
  </si>
  <si>
    <t>dP/dr</t>
  </si>
  <si>
    <t>Assuming a linear relationship</t>
  </si>
  <si>
    <t>Cumulative (max) price:</t>
  </si>
  <si>
    <t>Cumulative</t>
  </si>
  <si>
    <t>Total landfill years</t>
  </si>
  <si>
    <t>IFVI GHG Model</t>
  </si>
  <si>
    <t>USD-GBP conversion</t>
  </si>
  <si>
    <t>Dadario et al</t>
  </si>
  <si>
    <t>Kumar et al</t>
  </si>
  <si>
    <t>Spadaro and Rabl</t>
  </si>
  <si>
    <t>Conversion rate</t>
  </si>
  <si>
    <t>Land Use Model</t>
  </si>
  <si>
    <t>EMEP / EEA</t>
  </si>
  <si>
    <t>Adjust health impacts for income</t>
  </si>
  <si>
    <t>TRUE / FALSE</t>
  </si>
  <si>
    <t>Income adjustment:</t>
  </si>
  <si>
    <t>Non-income adjusted cost of cancers</t>
  </si>
  <si>
    <t>Hazardous incineration</t>
  </si>
  <si>
    <t>Non-hazardous incineration</t>
  </si>
  <si>
    <t>UNData</t>
  </si>
  <si>
    <t>Column35</t>
  </si>
  <si>
    <t>Column36</t>
  </si>
  <si>
    <t>Column37</t>
  </si>
  <si>
    <t>Column38</t>
  </si>
  <si>
    <t>Nox - health, agriculture and visibility impacts, periurban areas</t>
  </si>
  <si>
    <t>Sox - health, agriculture and visibility impacts, periurban areas</t>
  </si>
  <si>
    <t>PM2.5 - health, agriculture and visibility impacts, periurban areas</t>
  </si>
  <si>
    <t>PM10 - health, agriculture and visibility impacts, periurban areas</t>
  </si>
  <si>
    <t>Air Pollution Model</t>
  </si>
  <si>
    <t>Max - hazardous</t>
  </si>
  <si>
    <t>Max - non-hazardous</t>
  </si>
  <si>
    <t>Total - hazardous</t>
  </si>
  <si>
    <t>Total - non-hazardous</t>
  </si>
  <si>
    <t>Maxima for unspecified coefficients</t>
  </si>
  <si>
    <t>BBB</t>
  </si>
  <si>
    <t>BBM</t>
  </si>
  <si>
    <t>BBW</t>
  </si>
  <si>
    <t>BMB</t>
  </si>
  <si>
    <t>BMM</t>
  </si>
  <si>
    <t>BMW</t>
  </si>
  <si>
    <t>BWB</t>
  </si>
  <si>
    <t>BWM</t>
  </si>
  <si>
    <t>BWW</t>
  </si>
  <si>
    <t>MBB</t>
  </si>
  <si>
    <t>MBM</t>
  </si>
  <si>
    <t>MBW</t>
  </si>
  <si>
    <t>MMB</t>
  </si>
  <si>
    <t>MMM</t>
  </si>
  <si>
    <t>MMW</t>
  </si>
  <si>
    <t>MWB</t>
  </si>
  <si>
    <t>MWM</t>
  </si>
  <si>
    <t>MWW</t>
  </si>
  <si>
    <t>WBB</t>
  </si>
  <si>
    <t>WBM</t>
  </si>
  <si>
    <t>WBW</t>
  </si>
  <si>
    <t>WMM</t>
  </si>
  <si>
    <t>WMW</t>
  </si>
  <si>
    <t>WWB</t>
  </si>
  <si>
    <t>WWM</t>
  </si>
  <si>
    <t>WWW</t>
  </si>
  <si>
    <t>43830 in 2017 US$</t>
  </si>
  <si>
    <t>Assumption</t>
  </si>
  <si>
    <t>p.40 - $8 million in 1990</t>
  </si>
  <si>
    <t>Tier 1 Industrial Waste incineration</t>
  </si>
  <si>
    <t>Table 5.6</t>
  </si>
  <si>
    <t>450000 in 2006 US$, p.215</t>
  </si>
  <si>
    <t>3123538 in 2005 US$</t>
  </si>
  <si>
    <t>Both state average life is 30-50 years, have taken the average</t>
  </si>
  <si>
    <t>P5.9</t>
  </si>
  <si>
    <t>Table 5.2</t>
  </si>
  <si>
    <t>Workings in model</t>
  </si>
  <si>
    <t>18000 in 2005 USD</t>
  </si>
  <si>
    <t>2022-2023</t>
  </si>
  <si>
    <t/>
  </si>
  <si>
    <t>0.15</t>
  </si>
  <si>
    <t>0.2</t>
  </si>
  <si>
    <t>0.4</t>
  </si>
  <si>
    <t>0.43</t>
  </si>
  <si>
    <t>0.24</t>
  </si>
  <si>
    <t>0.05</t>
  </si>
  <si>
    <t>Decomposable DOC (DDOCm) deposited</t>
  </si>
  <si>
    <t>DDOCm not reacted. Deposition year</t>
  </si>
  <si>
    <t>DDOCm decomposed. Deposition year</t>
  </si>
  <si>
    <t>DDOCm accumulated in SWDS end of year</t>
  </si>
  <si>
    <t>DDOCm decomposed</t>
  </si>
  <si>
    <r>
      <t>CH</t>
    </r>
    <r>
      <rPr>
        <vertAlign val="subscript"/>
        <sz val="10"/>
        <color indexed="8"/>
        <rFont val="Arial"/>
        <family val="2"/>
      </rPr>
      <t>4</t>
    </r>
    <r>
      <rPr>
        <sz val="10"/>
        <color indexed="8"/>
        <rFont val="Arial"/>
        <family val="2"/>
      </rPr>
      <t xml:space="preserve"> generated</t>
    </r>
    <r>
      <rPr>
        <sz val="11"/>
        <color theme="1"/>
        <rFont val="Calibri"/>
        <family val="2"/>
        <scheme val="minor"/>
      </rPr>
      <t xml:space="preserve"> </t>
    </r>
  </si>
  <si>
    <t>D = W * DOC * DOCf * MCF</t>
  </si>
  <si>
    <t>B = D * exp2</t>
  </si>
  <si>
    <t>C = D * (1- exp2)</t>
  </si>
  <si>
    <r>
      <t>H = B + (H</t>
    </r>
    <r>
      <rPr>
        <vertAlign val="subscript"/>
        <sz val="8"/>
        <rFont val="Arial"/>
        <family val="2"/>
      </rPr>
      <t>last year</t>
    </r>
    <r>
      <rPr>
        <sz val="8"/>
        <rFont val="Arial"/>
        <family val="2"/>
      </rPr>
      <t xml:space="preserve"> * exp1)</t>
    </r>
  </si>
  <si>
    <r>
      <t>E = C + H</t>
    </r>
    <r>
      <rPr>
        <vertAlign val="subscript"/>
        <sz val="8"/>
        <rFont val="Arial"/>
        <family val="2"/>
      </rPr>
      <t>last year</t>
    </r>
    <r>
      <rPr>
        <sz val="8"/>
        <rFont val="Arial"/>
        <family val="2"/>
      </rPr>
      <t xml:space="preserve"> * (1 - exp1)</t>
    </r>
  </si>
  <si>
    <t>Q = E * 16/12 * F</t>
  </si>
  <si>
    <t>Column name:</t>
  </si>
  <si>
    <t>Source:</t>
  </si>
  <si>
    <t>Data year:</t>
  </si>
  <si>
    <t>Units:</t>
  </si>
  <si>
    <t>Range name (if applicable):</t>
  </si>
  <si>
    <t>Calculation group:</t>
  </si>
  <si>
    <t>Calculation title:</t>
  </si>
  <si>
    <t>Calculation details:</t>
  </si>
  <si>
    <t>Unit:</t>
  </si>
  <si>
    <t>Total (where relevant):</t>
  </si>
  <si>
    <t>IFVI Waste Model</t>
  </si>
  <si>
    <t>Guidance</t>
  </si>
  <si>
    <t>Year:</t>
  </si>
  <si>
    <t>Named range:</t>
  </si>
  <si>
    <t>Information</t>
  </si>
  <si>
    <t>Value Factors</t>
  </si>
  <si>
    <t>Calculations</t>
  </si>
  <si>
    <t>Method:</t>
  </si>
  <si>
    <t>Indicator:</t>
  </si>
  <si>
    <t>Impact pathway:</t>
  </si>
  <si>
    <t>Lookup:</t>
  </si>
  <si>
    <t>Sources</t>
  </si>
  <si>
    <t>Forecast:</t>
  </si>
  <si>
    <t>v1</t>
  </si>
  <si>
    <t>Waste Value Factors</t>
  </si>
  <si>
    <t>Country Mappings</t>
  </si>
  <si>
    <t>Inflation Calculations</t>
  </si>
  <si>
    <t>Model overview and outline</t>
  </si>
  <si>
    <t>Value Factors are the final outputs that can be used to determine land use and land conversion impacts. These rely on calculations and input data in the subsequent sheets.</t>
  </si>
  <si>
    <t>Input Data</t>
  </si>
  <si>
    <t>Input Data house the raw data extracted from other sources used to calculate value factors. Modifications should start with these tabs which then pull changes through the model.</t>
  </si>
  <si>
    <t>Calculations convert input data into value factors. Modifications can occur on these tabs, but caution should be taken as some changes could lead to significant errors.</t>
  </si>
  <si>
    <t>4c. Hedonic pricing</t>
  </si>
  <si>
    <t>Version control</t>
  </si>
  <si>
    <t>IFVI Interim Waste Model</t>
  </si>
  <si>
    <t>IFVI Interim Waste Model - IPCC Model</t>
  </si>
  <si>
    <t>Final value factors for the Solid Waste impact pathways. Regional and income averages are used to  fill in data for the full list of countries.</t>
  </si>
  <si>
    <t>This sheet outlines general assumptions used throught the Interim Waste Model</t>
  </si>
  <si>
    <t>This sheet outlines general assumptions used throught the Interim Waste Model.</t>
  </si>
  <si>
    <t>This sheet displays relevant statistics used throughout the Interim Waste Model</t>
  </si>
  <si>
    <t>This sheet displays relevant statistics used throughout the Interim Waste Model.</t>
  </si>
  <si>
    <t>This sheet outlines naming regimes for all countries with relevant data to create value factors in the Interim Waste Model. Due to availability, the waste model calculates value factors for a modified country list below, then applies regional/income averages to countries lacking relevant data.</t>
  </si>
  <si>
    <t>This sheet describes how inflation is adjusted across the model. This sheet is for informational purposes only and does not link to any other sheet within the Interim Waste Model. See source links below.</t>
  </si>
  <si>
    <t xml:space="preserve">This sheet describes how inflation is adjusted across the model. </t>
  </si>
  <si>
    <t xml:space="preserve">This sheet describes the leachate scoring system outlined by the water contamination hazard rating system (HARAs, Singh et al. 2012). This system rates the impacts of leachate from landfills based on soil permeability, population density, and type of waste. Environmental Regulatory Quality (ERQ) scores are from Esty (2002) and are used as proxies for a number of lined landfills in a country where data is not known.  </t>
  </si>
  <si>
    <t>Waste Water Contamination Hazard Ranking (HARAs) and Environmental Regulatory Quality (ERQ)</t>
  </si>
  <si>
    <t>Waste Methane Generation Rate</t>
  </si>
  <si>
    <t>This sheet outlines inputs from the International Panel of Climate Change (IPCC) Methane Generation Waste Model. Information in this sheet is used in the Landfill GHGs -IPCC model tabs</t>
  </si>
  <si>
    <t>This sheet outlines inputs from the International Panel of Climate Change (IPCC) Methane Generation Waste Model.</t>
  </si>
  <si>
    <t xml:space="preserve">This sheet calculates value factors related to leachate from landfills for hazardous and non-hazardous waste. </t>
  </si>
  <si>
    <t>2. Air Pollution</t>
  </si>
  <si>
    <t>This sheet calculates value factors for NOx, SOx, PM10 and PM2.5 from waste incineration.  Avoided emissions from energy recovery within countries is removed from the gross emissions of the pollutants.</t>
  </si>
  <si>
    <t xml:space="preserve">This sheet calculates value factors for NOx, SOx, PM10 and PM2.5 from waste incineration. </t>
  </si>
  <si>
    <t xml:space="preserve">This sheet values health impacts from incineration. </t>
  </si>
  <si>
    <t>This sheet values impacts of living near a landfill or incineration site. Discounted waste flows from both sites are calculated in the LF DWF and IN DWF tabs, and combined with country housing factors to value disamenity impact.</t>
  </si>
  <si>
    <t xml:space="preserve">This sheet values impacts of living near a landfill or incineration site. </t>
  </si>
  <si>
    <t>This sheet calculates discounted waste flows from landfills over their remaining lifetime.</t>
  </si>
  <si>
    <t>4b. Incineration Discounted Waste Flows</t>
  </si>
  <si>
    <t>This sheet calculates discounted waste flows from incinerators over their remaining lifetime.</t>
  </si>
  <si>
    <t>This sheet calculates the hedonic pricing factor for the disamenity module.</t>
  </si>
  <si>
    <t>This sheet shows the outputs of the IPCC Landfill GHG model. Users can change the type of waste being sent to landfill under the Waste Type Input drop down.</t>
  </si>
  <si>
    <t>This sheet forms the calculations for the Landfill GHGs module. The IPCC Model is used to determine Methane Generation rates, which are then transformed to carbon and valued with the Social Cost of Carbon.</t>
  </si>
  <si>
    <t>This sheet provides interim value factors. Interim value factors combine all coefficients in the model for the modified list of countries. Regional and income averages are then calculated, and an average of the two is then determined to gap fill for all other countries not included (i.e, an average of North America and High income is taken and subbed in for countries that are classified as such, but not included in this model). To note, where countries are Low income, a value from Lower-Middle Income was used as no Low Income countries were used in our sample.</t>
  </si>
  <si>
    <t>Log of model updates</t>
  </si>
  <si>
    <t>7. Interim value factors</t>
  </si>
  <si>
    <t>IFVI Waste Model Published</t>
  </si>
  <si>
    <t>The Leachate module calculates impact value factors of leachate from landfills for hazardous and non-hazardous waste. HARAs scores are used to assign likelihood of impact based on soil permeability, population density and % of lined landfills within the country. ERQ scores are used as proxy where % of lined landfills is not known.</t>
  </si>
  <si>
    <t>These interim value factors combine all value factors in the model for the modified list of countries. Regional and income averages are then calculated, and an average of the two is then determined to gap fill for all other countries not included (i.e, an average of North America and High income is taken and subbed in for countries that are classified as such, but not included in this model). To note, where countries are Low income, a value from Lower-Middle Income was used as no Low Income countries were used in our sample.</t>
  </si>
  <si>
    <t>1. Waste Assumptions Sheet</t>
  </si>
  <si>
    <t>2. Waste Data Sheet</t>
  </si>
  <si>
    <t>3. Country Mappings</t>
  </si>
  <si>
    <t>4. Inflation Calculations</t>
  </si>
  <si>
    <t>5. Waste HARAS ERQ</t>
  </si>
  <si>
    <t>6. Waste MGR</t>
  </si>
  <si>
    <t>Final value factors for the Solid Waste impact pathways.The value factors as presented are the same values in the Global Value Factors Database, but if a user adjusts the data in the model they may change and should not be considered endorsed or approved by or a representation of the IFVI methodology.</t>
  </si>
  <si>
    <t>The value factors as presented are the same values in the Global Value Factors Database, but if a user adjusts the data in the model they may change and should not be considered endorsed or approved by or a representation of the IFVI methodology.</t>
  </si>
  <si>
    <t xml:space="preserve">This sheet describes the leachate scoring system outlined by the water contamination hazard rating system (HARAS, Singh et al. 2012). </t>
  </si>
  <si>
    <t>Click here to access Interim Waste Methodology</t>
  </si>
  <si>
    <t>Copyright</t>
  </si>
  <si>
    <t>The International Foundation for Valuing Impacts, Inc. (IFVI) is a section 501(c)(3) public charity dedicated to building and scaling the practice of impact accounting to promote decision-making based on risk, return, and impact.
This publication is subject to the terms and conditions, including the disclaimers and qualifications, set forth at ifvi.org.
© International Foundation for Valuing Impacts, Inc.</t>
  </si>
  <si>
    <t>Click here to view the Terms of Use</t>
  </si>
  <si>
    <t>The impact pathway for the Interim Waste Model:</t>
  </si>
  <si>
    <t>Worksheet 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</si>
</sst>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_(&quot;$&quot;* \(#,##0.00\);_(&quot;$&quot;* &quot;-&quot;??_);_(@_)"/>
    <numFmt numFmtId="164" formatCode="_-&quot;£&quot;* #,##0.00_-;\-&quot;£&quot;* #,##0.00_-;_-&quot;£&quot;* &quot;-&quot;??_-;_-@_-"/>
    <numFmt numFmtId="165" formatCode="_-* #,##0.00_-;\-* #,##0.00_-;_-* &quot;-&quot;??_-;_-@_-"/>
    <numFmt numFmtId="166" formatCode="d/m/yyyy"/>
    <numFmt numFmtId="167" formatCode="#,##0.00000"/>
    <numFmt numFmtId="168" formatCode="0.00000"/>
    <numFmt numFmtId="169" formatCode="0.00000000"/>
    <numFmt numFmtId="170" formatCode="0.0000000000"/>
    <numFmt numFmtId="171" formatCode="_(&quot;$&quot;* #,##0_);_(&quot;$&quot;* \(#,##0\);_(&quot;$&quot;* &quot;-&quot;??_);_(@_)"/>
    <numFmt numFmtId="172" formatCode="0.0000000"/>
    <numFmt numFmtId="173" formatCode="0.0"/>
    <numFmt numFmtId="174" formatCode="#,##0.000000"/>
    <numFmt numFmtId="175" formatCode="#,##0.0000"/>
    <numFmt numFmtId="176" formatCode="#,##0.000"/>
    <numFmt numFmtId="177" formatCode="&quot;$&quot;#,##0.00"/>
  </numFmts>
  <fonts count="7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6"/>
      <color rgb="FFC00000"/>
      <name val="Calibri"/>
      <family val="2"/>
    </font>
    <font>
      <b/>
      <sz val="11"/>
      <color theme="1"/>
      <name val="Calibri"/>
      <family val="2"/>
    </font>
    <font>
      <sz val="11"/>
      <color theme="1"/>
      <name val="Calibri"/>
      <family val="2"/>
    </font>
    <font>
      <b/>
      <sz val="11"/>
      <color rgb="FFC00000"/>
      <name val="Calibri"/>
      <family val="2"/>
    </font>
    <font>
      <sz val="11"/>
      <color theme="1"/>
      <name val="Calibri"/>
      <family val="2"/>
      <scheme val="minor"/>
    </font>
    <font>
      <sz val="11"/>
      <color rgb="FFC00000"/>
      <name val="Calibri"/>
      <family val="2"/>
    </font>
    <font>
      <i/>
      <sz val="11"/>
      <color theme="1"/>
      <name val="Calibri"/>
      <family val="2"/>
    </font>
    <font>
      <u/>
      <sz val="11"/>
      <color theme="4"/>
      <name val="Calibri"/>
      <family val="2"/>
    </font>
    <font>
      <u/>
      <sz val="11"/>
      <color theme="4"/>
      <name val="Calibri"/>
      <family val="2"/>
    </font>
    <font>
      <b/>
      <sz val="11"/>
      <color theme="1"/>
      <name val="Calibri"/>
      <family val="2"/>
      <scheme val="minor"/>
    </font>
    <font>
      <sz val="11"/>
      <color theme="0"/>
      <name val="Calibri"/>
      <family val="2"/>
      <scheme val="minor"/>
    </font>
    <font>
      <i/>
      <sz val="11"/>
      <color theme="1"/>
      <name val="Calibri"/>
      <family val="2"/>
      <scheme val="minor"/>
    </font>
    <font>
      <b/>
      <sz val="11"/>
      <color theme="4"/>
      <name val="Calibri"/>
      <family val="2"/>
      <scheme val="minor"/>
    </font>
    <font>
      <sz val="11"/>
      <color theme="4"/>
      <name val="Calibri"/>
      <family val="2"/>
      <scheme val="minor"/>
    </font>
    <font>
      <b/>
      <i/>
      <sz val="11"/>
      <color theme="1"/>
      <name val="Calibri"/>
      <family val="2"/>
      <scheme val="minor"/>
    </font>
    <font>
      <b/>
      <sz val="11"/>
      <name val="Calibri"/>
      <family val="2"/>
      <scheme val="minor"/>
    </font>
    <font>
      <b/>
      <sz val="11"/>
      <name val="Calibri"/>
      <family val="2"/>
    </font>
    <font>
      <u/>
      <sz val="11"/>
      <color theme="10"/>
      <name val="Calibri"/>
      <family val="2"/>
      <scheme val="minor"/>
    </font>
    <font>
      <sz val="11"/>
      <color theme="1"/>
      <name val="Calibri"/>
      <family val="2"/>
      <scheme val="minor"/>
    </font>
    <font>
      <sz val="11"/>
      <color rgb="FF3F3F76"/>
      <name val="Calibri"/>
      <family val="2"/>
      <scheme val="minor"/>
    </font>
    <font>
      <b/>
      <sz val="11"/>
      <color theme="0"/>
      <name val="Calibri"/>
      <family val="2"/>
      <scheme val="minor"/>
    </font>
    <font>
      <sz val="11"/>
      <name val="Calibri"/>
      <family val="2"/>
      <scheme val="minor"/>
    </font>
    <font>
      <sz val="10"/>
      <color theme="1"/>
      <name val="Calibri"/>
      <family val="2"/>
      <scheme val="minor"/>
    </font>
    <font>
      <i/>
      <sz val="8"/>
      <color indexed="8"/>
      <name val="Arial"/>
      <family val="2"/>
    </font>
    <font>
      <b/>
      <sz val="14"/>
      <color theme="4"/>
      <name val="Calibri"/>
      <family val="2"/>
      <scheme val="minor"/>
    </font>
    <font>
      <b/>
      <sz val="16"/>
      <color theme="4"/>
      <name val="Calibri"/>
      <family val="2"/>
      <scheme val="minor"/>
    </font>
    <font>
      <b/>
      <sz val="12"/>
      <color theme="1"/>
      <name val="Calibri"/>
      <family val="2"/>
      <scheme val="minor"/>
    </font>
    <font>
      <sz val="8"/>
      <name val="Calibri"/>
      <family val="2"/>
      <scheme val="minor"/>
    </font>
    <font>
      <i/>
      <sz val="12"/>
      <color theme="1"/>
      <name val="Calibri"/>
      <family val="2"/>
      <scheme val="minor"/>
    </font>
    <font>
      <sz val="12"/>
      <color theme="1"/>
      <name val="Arial"/>
      <family val="2"/>
    </font>
    <font>
      <sz val="12"/>
      <color rgb="FF000000"/>
      <name val="Arial"/>
      <family val="2"/>
    </font>
    <font>
      <sz val="12"/>
      <name val="Arial"/>
      <family val="2"/>
    </font>
    <font>
      <u/>
      <sz val="11"/>
      <color theme="1"/>
      <name val="Calibri"/>
      <family val="2"/>
      <scheme val="minor"/>
    </font>
    <font>
      <u/>
      <sz val="11"/>
      <color theme="10"/>
      <name val="Calibri"/>
      <family val="2"/>
    </font>
    <font>
      <sz val="11"/>
      <name val="Calibri"/>
      <family val="2"/>
    </font>
    <font>
      <sz val="11"/>
      <color rgb="FF000000"/>
      <name val="Calibri"/>
      <family val="2"/>
    </font>
    <font>
      <b/>
      <sz val="14"/>
      <color theme="0"/>
      <name val="Calibri"/>
      <family val="2"/>
      <scheme val="minor"/>
    </font>
    <font>
      <b/>
      <sz val="11"/>
      <color theme="1" tint="0.249977111117893"/>
      <name val="Calibri"/>
      <family val="2"/>
      <scheme val="minor"/>
    </font>
    <font>
      <b/>
      <sz val="12"/>
      <color theme="4"/>
      <name val="Calibri"/>
      <family val="2"/>
      <scheme val="minor"/>
    </font>
    <font>
      <sz val="8"/>
      <name val="Calibri"/>
      <family val="2"/>
      <scheme val="minor"/>
    </font>
    <font>
      <sz val="11"/>
      <color theme="1"/>
      <name val="Calibri"/>
      <family val="2"/>
      <scheme val="minor"/>
    </font>
    <font>
      <sz val="10"/>
      <color indexed="8"/>
      <name val="Arial"/>
      <family val="2"/>
    </font>
    <font>
      <vertAlign val="subscript"/>
      <sz val="10"/>
      <color indexed="8"/>
      <name val="Arial"/>
      <family val="2"/>
    </font>
    <font>
      <sz val="8"/>
      <name val="Arial"/>
      <family val="2"/>
    </font>
    <font>
      <vertAlign val="subscript"/>
      <sz val="8"/>
      <name val="Arial"/>
      <family val="2"/>
    </font>
    <font>
      <sz val="8"/>
      <color rgb="FF000000"/>
      <name val="Tahoma"/>
      <family val="2"/>
    </font>
    <font>
      <sz val="11"/>
      <color rgb="FFFF0000"/>
      <name val="Calibri"/>
      <family val="2"/>
      <scheme val="minor"/>
    </font>
    <font>
      <b/>
      <sz val="11"/>
      <color theme="1"/>
      <name val="Arial"/>
      <family val="2"/>
    </font>
    <font>
      <b/>
      <sz val="11"/>
      <color rgb="FF000000"/>
      <name val="Arial"/>
      <family val="2"/>
    </font>
    <font>
      <b/>
      <sz val="14"/>
      <color theme="1"/>
      <name val="Calibri"/>
      <family val="2"/>
      <scheme val="minor"/>
    </font>
    <font>
      <b/>
      <sz val="16"/>
      <color theme="1"/>
      <name val="Calibri"/>
      <family val="2"/>
      <scheme val="minor"/>
    </font>
    <font>
      <b/>
      <sz val="11"/>
      <color theme="0"/>
      <name val="Calibri"/>
      <family val="2"/>
    </font>
    <font>
      <sz val="11"/>
      <color theme="0"/>
      <name val="Calibri"/>
      <family val="2"/>
    </font>
    <font>
      <b/>
      <u/>
      <sz val="11"/>
      <color theme="1"/>
      <name val="Calibri"/>
      <family val="2"/>
      <scheme val="minor"/>
    </font>
    <font>
      <i/>
      <sz val="11"/>
      <name val="Calibri"/>
      <family val="2"/>
      <scheme val="minor"/>
    </font>
    <font>
      <b/>
      <u/>
      <sz val="11"/>
      <name val="Calibri"/>
      <family val="2"/>
    </font>
    <font>
      <i/>
      <sz val="11"/>
      <name val="Calibri"/>
      <family val="2"/>
    </font>
  </fonts>
  <fills count="47">
    <fill>
      <patternFill patternType="none"/>
    </fill>
    <fill>
      <patternFill patternType="gray125"/>
    </fill>
    <fill>
      <patternFill patternType="solid">
        <fgColor rgb="FFD8D8D8"/>
        <bgColor rgb="FFD8D8D8"/>
      </patternFill>
    </fill>
    <fill>
      <patternFill patternType="solid">
        <fgColor rgb="FF95BBB1"/>
        <bgColor rgb="FF95BBB1"/>
      </patternFill>
    </fill>
    <fill>
      <patternFill patternType="solid">
        <fgColor rgb="FF8AA9E8"/>
        <bgColor rgb="FF8AA9E8"/>
      </patternFill>
    </fill>
    <fill>
      <patternFill patternType="solid">
        <fgColor rgb="FF7F7F7F"/>
        <bgColor rgb="FF7F7F7F"/>
      </patternFill>
    </fill>
    <fill>
      <patternFill patternType="solid">
        <fgColor rgb="FFF6BAC3"/>
        <bgColor rgb="FFF6BAC3"/>
      </patternFill>
    </fill>
    <fill>
      <patternFill patternType="solid">
        <fgColor theme="0" tint="-0.14999847407452621"/>
        <bgColor indexed="64"/>
      </patternFill>
    </fill>
    <fill>
      <patternFill patternType="solid">
        <fgColor theme="0"/>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B3D8F9"/>
        <bgColor indexed="64"/>
      </patternFill>
    </fill>
    <fill>
      <patternFill patternType="solid">
        <fgColor theme="6" tint="0.39997558519241921"/>
        <bgColor indexed="64"/>
      </patternFill>
    </fill>
    <fill>
      <patternFill patternType="solid">
        <fgColor rgb="FFDFEFFD"/>
        <bgColor indexed="64"/>
      </patternFill>
    </fill>
    <fill>
      <patternFill patternType="solid">
        <fgColor rgb="FF8AA9E8"/>
        <bgColor indexed="64"/>
      </patternFill>
    </fill>
    <fill>
      <patternFill patternType="solid">
        <fgColor rgb="FFFFCC99"/>
      </patternFill>
    </fill>
    <fill>
      <patternFill patternType="solid">
        <fgColor rgb="FF8EC4F6"/>
        <bgColor indexed="64"/>
      </patternFill>
    </fill>
    <fill>
      <patternFill patternType="solid">
        <fgColor rgb="FFF4928C"/>
        <bgColor indexed="64"/>
      </patternFill>
    </fill>
    <fill>
      <patternFill patternType="solid">
        <fgColor rgb="FFD9D9D9"/>
        <bgColor indexed="64"/>
      </patternFill>
    </fill>
    <fill>
      <patternFill patternType="solid">
        <fgColor theme="9" tint="0.39997558519241921"/>
        <bgColor rgb="FFF4938E"/>
      </patternFill>
    </fill>
    <fill>
      <patternFill patternType="solid">
        <fgColor rgb="FF95BBB0"/>
        <bgColor rgb="FFF4938E"/>
      </patternFill>
    </fill>
    <fill>
      <patternFill patternType="solid">
        <fgColor rgb="FF95BBB0"/>
        <bgColor indexed="64"/>
      </patternFill>
    </fill>
    <fill>
      <patternFill patternType="solid">
        <fgColor rgb="FF8AA9E8"/>
        <bgColor rgb="FFF4938E"/>
      </patternFill>
    </fill>
    <fill>
      <patternFill patternType="solid">
        <fgColor rgb="FFF0AAAA"/>
        <bgColor indexed="64"/>
      </patternFill>
    </fill>
    <fill>
      <patternFill patternType="solid">
        <fgColor theme="5" tint="0.59999389629810485"/>
        <bgColor indexed="64"/>
      </patternFill>
    </fill>
    <fill>
      <patternFill patternType="solid">
        <fgColor rgb="FFF8B7B4"/>
        <bgColor indexed="64"/>
      </patternFill>
    </fill>
    <fill>
      <patternFill patternType="solid">
        <fgColor theme="2"/>
        <bgColor indexed="64"/>
      </patternFill>
    </fill>
    <fill>
      <patternFill patternType="solid">
        <fgColor rgb="FFDBE8E4"/>
        <bgColor indexed="64"/>
      </patternFill>
    </fill>
    <fill>
      <patternFill patternType="solid">
        <fgColor theme="5" tint="0.39997558519241921"/>
        <bgColor indexed="64"/>
      </patternFill>
    </fill>
    <fill>
      <patternFill patternType="solid">
        <fgColor rgb="FFB8D1CA"/>
        <bgColor indexed="64"/>
      </patternFill>
    </fill>
    <fill>
      <patternFill patternType="solid">
        <fgColor theme="4" tint="0.79998168889431442"/>
        <bgColor indexed="64"/>
      </patternFill>
    </fill>
    <fill>
      <patternFill patternType="solid">
        <fgColor rgb="FFF6BAC3"/>
        <bgColor indexed="64"/>
      </patternFill>
    </fill>
    <fill>
      <patternFill patternType="solid">
        <fgColor rgb="FF95BBAC"/>
        <bgColor indexed="64"/>
      </patternFill>
    </fill>
    <fill>
      <patternFill patternType="solid">
        <fgColor rgb="FF95BBB1"/>
        <bgColor indexed="64"/>
      </patternFill>
    </fill>
    <fill>
      <patternFill patternType="solid">
        <fgColor rgb="FFF6BAC3"/>
        <bgColor rgb="FFF4938E"/>
      </patternFill>
    </fill>
    <fill>
      <patternFill patternType="solid">
        <fgColor theme="7" tint="-0.499984740745262"/>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4"/>
        <bgColor indexed="64"/>
      </patternFill>
    </fill>
    <fill>
      <patternFill patternType="solid">
        <fgColor rgb="FF0070C0"/>
        <bgColor indexed="64"/>
      </patternFill>
    </fill>
    <fill>
      <patternFill patternType="solid">
        <fgColor theme="0" tint="-0.499984740745262"/>
        <bgColor indexed="64"/>
      </patternFill>
    </fill>
    <fill>
      <patternFill patternType="solid">
        <fgColor theme="5" tint="-0.499984740745262"/>
        <bgColor indexed="64"/>
      </patternFill>
    </fill>
    <fill>
      <patternFill patternType="solid">
        <fgColor theme="7" tint="0.39997558519241921"/>
        <bgColor indexed="64"/>
      </patternFill>
    </fill>
    <fill>
      <patternFill patternType="solid">
        <fgColor rgb="FFFBDBD9"/>
        <bgColor indexed="64"/>
      </patternFill>
    </fill>
  </fills>
  <borders count="46">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rgb="FF000000"/>
      </left>
      <right/>
      <top/>
      <bottom style="thin">
        <color rgb="FF000000"/>
      </bottom>
      <diagonal/>
    </border>
    <border>
      <left/>
      <right/>
      <top style="thin">
        <color indexed="64"/>
      </top>
      <bottom/>
      <diagonal/>
    </border>
    <border>
      <left style="thin">
        <color indexed="64"/>
      </left>
      <right/>
      <top/>
      <bottom/>
      <diagonal/>
    </border>
    <border>
      <left/>
      <right style="thin">
        <color rgb="FF000000"/>
      </right>
      <top/>
      <bottom style="thin">
        <color rgb="FF000000"/>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s>
  <cellStyleXfs count="8">
    <xf numFmtId="0" fontId="0" fillId="0" borderId="0"/>
    <xf numFmtId="0" fontId="30" fillId="0" borderId="0" applyNumberFormat="0" applyFill="0" applyBorder="0" applyAlignment="0" applyProtection="0"/>
    <xf numFmtId="165" fontId="31" fillId="0" borderId="0" applyFont="0" applyFill="0" applyBorder="0" applyAlignment="0" applyProtection="0"/>
    <xf numFmtId="164" fontId="31" fillId="0" borderId="0" applyFont="0" applyFill="0" applyBorder="0" applyAlignment="0" applyProtection="0"/>
    <xf numFmtId="0" fontId="32" fillId="17" borderId="10" applyNumberFormat="0" applyAlignment="0" applyProtection="0"/>
    <xf numFmtId="0" fontId="35" fillId="0" borderId="2"/>
    <xf numFmtId="0" fontId="36" fillId="0" borderId="2" applyNumberFormat="0" applyFill="0" applyBorder="0" applyAlignment="0" applyProtection="0"/>
    <xf numFmtId="9" fontId="53" fillId="0" borderId="0" applyFont="0" applyFill="0" applyBorder="0" applyAlignment="0" applyProtection="0"/>
  </cellStyleXfs>
  <cellXfs count="384">
    <xf numFmtId="0" fontId="0" fillId="0" borderId="0" xfId="0"/>
    <xf numFmtId="0" fontId="13" fillId="0" borderId="0" xfId="0" applyFont="1"/>
    <xf numFmtId="0" fontId="14" fillId="0" borderId="1" xfId="0" applyFont="1" applyBorder="1" applyAlignment="1">
      <alignment horizontal="center"/>
    </xf>
    <xf numFmtId="0" fontId="16" fillId="0" borderId="0" xfId="0" applyFont="1"/>
    <xf numFmtId="0" fontId="17" fillId="0" borderId="0" xfId="0" applyFont="1"/>
    <xf numFmtId="0" fontId="18" fillId="0" borderId="0" xfId="0" applyFont="1"/>
    <xf numFmtId="0" fontId="15" fillId="0" borderId="1" xfId="0" applyFont="1" applyBorder="1" applyAlignment="1">
      <alignment horizontal="center"/>
    </xf>
    <xf numFmtId="0" fontId="19" fillId="2" borderId="1" xfId="0" applyFont="1" applyFill="1" applyBorder="1" applyAlignment="1">
      <alignment horizontal="center"/>
    </xf>
    <xf numFmtId="0" fontId="15" fillId="0" borderId="1" xfId="0" applyFont="1" applyBorder="1" applyAlignment="1">
      <alignment horizontal="left"/>
    </xf>
    <xf numFmtId="0" fontId="14" fillId="0" borderId="1" xfId="0" applyFont="1" applyBorder="1"/>
    <xf numFmtId="0" fontId="15" fillId="0" borderId="0" xfId="0" applyFont="1"/>
    <xf numFmtId="0" fontId="21" fillId="0" borderId="1" xfId="0" applyFont="1" applyBorder="1" applyAlignment="1">
      <alignment horizontal="center"/>
    </xf>
    <xf numFmtId="0" fontId="0" fillId="0" borderId="3" xfId="0" applyBorder="1" applyAlignment="1">
      <alignment horizontal="center" wrapText="1"/>
    </xf>
    <xf numFmtId="0" fontId="0" fillId="0" borderId="3" xfId="0" applyBorder="1"/>
    <xf numFmtId="0" fontId="12" fillId="0" borderId="3" xfId="0" applyFont="1" applyBorder="1" applyAlignment="1">
      <alignment horizontal="center" wrapText="1"/>
    </xf>
    <xf numFmtId="0" fontId="22" fillId="0" borderId="0" xfId="0" applyFont="1"/>
    <xf numFmtId="0" fontId="0" fillId="0" borderId="2" xfId="0" applyBorder="1"/>
    <xf numFmtId="0" fontId="22" fillId="0" borderId="3" xfId="0" applyFont="1" applyBorder="1"/>
    <xf numFmtId="0" fontId="24" fillId="0" borderId="0" xfId="0" applyFont="1"/>
    <xf numFmtId="0" fontId="25" fillId="0" borderId="0" xfId="0" applyFont="1"/>
    <xf numFmtId="0" fontId="0" fillId="0" borderId="3" xfId="0" applyBorder="1" applyAlignment="1">
      <alignment wrapText="1"/>
    </xf>
    <xf numFmtId="0" fontId="0" fillId="0" borderId="3" xfId="0" applyBorder="1" applyAlignment="1">
      <alignment horizontal="center" vertical="center" wrapText="1"/>
    </xf>
    <xf numFmtId="0" fontId="0" fillId="7" borderId="3" xfId="0" applyFill="1" applyBorder="1"/>
    <xf numFmtId="0" fontId="0" fillId="0" borderId="3" xfId="0" applyBorder="1" applyAlignment="1">
      <alignment horizontal="center"/>
    </xf>
    <xf numFmtId="0" fontId="0" fillId="7" borderId="3" xfId="0" applyFill="1" applyBorder="1" applyAlignment="1">
      <alignment horizontal="center"/>
    </xf>
    <xf numFmtId="10" fontId="0" fillId="0" borderId="3" xfId="0" applyNumberFormat="1" applyBorder="1" applyAlignment="1">
      <alignment horizontal="center"/>
    </xf>
    <xf numFmtId="4" fontId="0" fillId="7" borderId="3" xfId="0" applyNumberFormat="1" applyFill="1" applyBorder="1" applyAlignment="1">
      <alignment horizontal="center"/>
    </xf>
    <xf numFmtId="0" fontId="27" fillId="0" borderId="0" xfId="0" applyFont="1"/>
    <xf numFmtId="0" fontId="28" fillId="0" borderId="3" xfId="0" applyFont="1" applyBorder="1"/>
    <xf numFmtId="0" fontId="0" fillId="10" borderId="3" xfId="0" applyFill="1" applyBorder="1"/>
    <xf numFmtId="168" fontId="0" fillId="10" borderId="3" xfId="0" applyNumberFormat="1" applyFill="1" applyBorder="1"/>
    <xf numFmtId="10" fontId="0" fillId="11" borderId="3" xfId="0" applyNumberFormat="1" applyFill="1" applyBorder="1"/>
    <xf numFmtId="0" fontId="0" fillId="11" borderId="3" xfId="0" applyFill="1" applyBorder="1"/>
    <xf numFmtId="0" fontId="0" fillId="12" borderId="3" xfId="0" applyFill="1" applyBorder="1"/>
    <xf numFmtId="2" fontId="0" fillId="12" borderId="3" xfId="0" applyNumberFormat="1" applyFill="1" applyBorder="1"/>
    <xf numFmtId="0" fontId="22" fillId="0" borderId="2" xfId="0" applyFont="1" applyBorder="1"/>
    <xf numFmtId="4" fontId="22" fillId="13" borderId="3" xfId="0" applyNumberFormat="1" applyFont="1" applyFill="1" applyBorder="1"/>
    <xf numFmtId="2" fontId="0" fillId="13" borderId="3" xfId="0" applyNumberFormat="1" applyFill="1" applyBorder="1"/>
    <xf numFmtId="0" fontId="19" fillId="2" borderId="8" xfId="0" applyFont="1" applyFill="1" applyBorder="1" applyAlignment="1">
      <alignment horizontal="center"/>
    </xf>
    <xf numFmtId="0" fontId="0" fillId="14" borderId="3" xfId="0" applyFill="1" applyBorder="1"/>
    <xf numFmtId="0" fontId="0" fillId="15" borderId="3" xfId="0" applyFill="1" applyBorder="1"/>
    <xf numFmtId="169" fontId="0" fillId="10" borderId="3" xfId="0" applyNumberFormat="1" applyFill="1" applyBorder="1"/>
    <xf numFmtId="170" fontId="0" fillId="10" borderId="3" xfId="0" applyNumberFormat="1" applyFill="1" applyBorder="1"/>
    <xf numFmtId="0" fontId="14" fillId="0" borderId="1" xfId="0" applyFont="1" applyBorder="1" applyAlignment="1">
      <alignment horizontal="center" wrapText="1"/>
    </xf>
    <xf numFmtId="0" fontId="0" fillId="16" borderId="3" xfId="0" applyFill="1" applyBorder="1"/>
    <xf numFmtId="0" fontId="15" fillId="0" borderId="7" xfId="0" applyFont="1" applyBorder="1" applyAlignment="1">
      <alignment horizontal="center"/>
    </xf>
    <xf numFmtId="0" fontId="19" fillId="2" borderId="9" xfId="0" applyFont="1" applyFill="1" applyBorder="1" applyAlignment="1">
      <alignment horizontal="center"/>
    </xf>
    <xf numFmtId="0" fontId="12" fillId="0" borderId="5" xfId="0" applyFont="1" applyBorder="1" applyAlignment="1">
      <alignment horizontal="center" wrapText="1"/>
    </xf>
    <xf numFmtId="0" fontId="12" fillId="0" borderId="3" xfId="0" applyFont="1" applyBorder="1" applyAlignment="1">
      <alignment horizontal="center"/>
    </xf>
    <xf numFmtId="0" fontId="14" fillId="0" borderId="3" xfId="0" applyFont="1" applyBorder="1" applyAlignment="1">
      <alignment horizontal="center" wrapText="1"/>
    </xf>
    <xf numFmtId="0" fontId="15" fillId="0" borderId="3" xfId="0" applyFont="1" applyBorder="1" applyAlignment="1">
      <alignment horizontal="center"/>
    </xf>
    <xf numFmtId="0" fontId="19" fillId="2" borderId="3" xfId="0" applyFont="1" applyFill="1" applyBorder="1" applyAlignment="1">
      <alignment horizontal="center"/>
    </xf>
    <xf numFmtId="0" fontId="15" fillId="0" borderId="1" xfId="0" applyFont="1" applyBorder="1" applyAlignment="1">
      <alignment wrapText="1"/>
    </xf>
    <xf numFmtId="166" fontId="15" fillId="0" borderId="1" xfId="0" applyNumberFormat="1" applyFont="1" applyBorder="1" applyAlignment="1">
      <alignment wrapText="1"/>
    </xf>
    <xf numFmtId="0" fontId="28" fillId="0" borderId="2" xfId="0" applyFont="1" applyBorder="1" applyAlignment="1">
      <alignment horizontal="right"/>
    </xf>
    <xf numFmtId="0" fontId="34" fillId="0" borderId="2" xfId="0" applyFont="1" applyBorder="1"/>
    <xf numFmtId="0" fontId="15" fillId="0" borderId="7" xfId="0" applyFont="1" applyBorder="1" applyAlignment="1">
      <alignment horizontal="left"/>
    </xf>
    <xf numFmtId="2" fontId="0" fillId="10" borderId="3" xfId="0" applyNumberFormat="1" applyFill="1" applyBorder="1"/>
    <xf numFmtId="0" fontId="14" fillId="0" borderId="11" xfId="0" applyFont="1" applyBorder="1" applyAlignment="1">
      <alignment horizontal="center"/>
    </xf>
    <xf numFmtId="0" fontId="14" fillId="0" borderId="11" xfId="0" applyFont="1" applyBorder="1" applyAlignment="1">
      <alignment horizontal="center" wrapText="1"/>
    </xf>
    <xf numFmtId="0" fontId="0" fillId="15" borderId="6" xfId="0" applyFill="1" applyBorder="1"/>
    <xf numFmtId="0" fontId="22" fillId="0" borderId="2" xfId="0" applyFont="1" applyBorder="1" applyAlignment="1">
      <alignment horizontal="right"/>
    </xf>
    <xf numFmtId="0" fontId="22" fillId="0" borderId="12" xfId="0" applyFont="1" applyBorder="1" applyAlignment="1">
      <alignment horizontal="right"/>
    </xf>
    <xf numFmtId="0" fontId="29" fillId="0" borderId="12" xfId="0" applyFont="1" applyBorder="1" applyAlignment="1">
      <alignment horizontal="right"/>
    </xf>
    <xf numFmtId="0" fontId="16" fillId="0" borderId="12" xfId="0" applyFont="1" applyBorder="1" applyAlignment="1">
      <alignment horizontal="right"/>
    </xf>
    <xf numFmtId="0" fontId="28" fillId="0" borderId="12" xfId="0" applyFont="1" applyBorder="1" applyAlignment="1">
      <alignment horizontal="right"/>
    </xf>
    <xf numFmtId="0" fontId="34" fillId="15" borderId="3" xfId="0" applyFont="1" applyFill="1" applyBorder="1"/>
    <xf numFmtId="0" fontId="34" fillId="15" borderId="6" xfId="0" applyFont="1" applyFill="1" applyBorder="1"/>
    <xf numFmtId="0" fontId="11" fillId="0" borderId="3" xfId="0" applyFont="1" applyBorder="1" applyAlignment="1">
      <alignment horizontal="center"/>
    </xf>
    <xf numFmtId="0" fontId="11" fillId="0" borderId="3" xfId="0" applyFont="1" applyBorder="1"/>
    <xf numFmtId="0" fontId="11" fillId="0" borderId="0" xfId="0" applyFont="1"/>
    <xf numFmtId="0" fontId="22" fillId="0" borderId="0" xfId="0" applyFont="1" applyAlignment="1">
      <alignment horizontal="right"/>
    </xf>
    <xf numFmtId="0" fontId="0" fillId="18" borderId="3" xfId="0" applyFill="1" applyBorder="1"/>
    <xf numFmtId="0" fontId="15" fillId="0" borderId="8" xfId="0" applyFont="1" applyBorder="1" applyAlignment="1">
      <alignment horizontal="center"/>
    </xf>
    <xf numFmtId="0" fontId="19" fillId="2" borderId="13" xfId="0" applyFont="1" applyFill="1" applyBorder="1" applyAlignment="1">
      <alignment horizontal="center"/>
    </xf>
    <xf numFmtId="0" fontId="14" fillId="0" borderId="7" xfId="0" applyFont="1" applyBorder="1" applyAlignment="1">
      <alignment horizontal="center"/>
    </xf>
    <xf numFmtId="0" fontId="20" fillId="0" borderId="7" xfId="0" applyFont="1" applyBorder="1" applyAlignment="1">
      <alignment horizontal="center"/>
    </xf>
    <xf numFmtId="0" fontId="14" fillId="0" borderId="3" xfId="0" applyFont="1" applyBorder="1" applyAlignment="1">
      <alignment horizontal="center"/>
    </xf>
    <xf numFmtId="165" fontId="0" fillId="0" borderId="0" xfId="2" applyFont="1"/>
    <xf numFmtId="0" fontId="29" fillId="0" borderId="0" xfId="0" applyFont="1" applyAlignment="1">
      <alignment horizontal="right"/>
    </xf>
    <xf numFmtId="1" fontId="15" fillId="21" borderId="3" xfId="0" applyNumberFormat="1" applyFont="1" applyFill="1" applyBorder="1"/>
    <xf numFmtId="1" fontId="15" fillId="22" borderId="3" xfId="0" applyNumberFormat="1" applyFont="1" applyFill="1" applyBorder="1"/>
    <xf numFmtId="1" fontId="0" fillId="23" borderId="3" xfId="0" applyNumberFormat="1" applyFill="1" applyBorder="1"/>
    <xf numFmtId="169" fontId="0" fillId="23" borderId="3" xfId="0" applyNumberFormat="1" applyFill="1" applyBorder="1"/>
    <xf numFmtId="2" fontId="0" fillId="16" borderId="3" xfId="0" applyNumberFormat="1" applyFill="1" applyBorder="1"/>
    <xf numFmtId="2" fontId="15" fillId="24" borderId="1" xfId="0" applyNumberFormat="1" applyFont="1" applyFill="1" applyBorder="1"/>
    <xf numFmtId="2" fontId="0" fillId="23" borderId="3" xfId="0" applyNumberFormat="1" applyFill="1" applyBorder="1"/>
    <xf numFmtId="0" fontId="0" fillId="0" borderId="0" xfId="0" applyAlignment="1">
      <alignment wrapText="1"/>
    </xf>
    <xf numFmtId="0" fontId="0" fillId="19" borderId="3" xfId="0" applyFill="1" applyBorder="1"/>
    <xf numFmtId="3" fontId="0" fillId="0" borderId="0" xfId="0" applyNumberFormat="1"/>
    <xf numFmtId="0" fontId="38" fillId="0" borderId="0" xfId="0" applyFont="1"/>
    <xf numFmtId="0" fontId="10" fillId="0" borderId="0" xfId="0" applyFont="1"/>
    <xf numFmtId="0" fontId="0" fillId="8" borderId="0" xfId="0" applyFill="1"/>
    <xf numFmtId="2" fontId="0" fillId="0" borderId="3" xfId="0" applyNumberFormat="1" applyBorder="1"/>
    <xf numFmtId="0" fontId="10" fillId="0" borderId="3" xfId="0" applyFont="1" applyBorder="1"/>
    <xf numFmtId="0" fontId="0" fillId="13" borderId="3" xfId="0" applyFill="1" applyBorder="1"/>
    <xf numFmtId="0" fontId="14" fillId="0" borderId="16" xfId="0" applyFont="1" applyBorder="1" applyAlignment="1">
      <alignment horizontal="center" wrapText="1"/>
    </xf>
    <xf numFmtId="0" fontId="21" fillId="0" borderId="11" xfId="0" applyFont="1" applyBorder="1" applyAlignment="1">
      <alignment horizontal="center"/>
    </xf>
    <xf numFmtId="172" fontId="0" fillId="10" borderId="3" xfId="0" applyNumberFormat="1" applyFill="1" applyBorder="1"/>
    <xf numFmtId="0" fontId="22" fillId="8" borderId="5" xfId="0" applyFont="1" applyFill="1" applyBorder="1"/>
    <xf numFmtId="0" fontId="0" fillId="8" borderId="2" xfId="0" applyFill="1" applyBorder="1"/>
    <xf numFmtId="0" fontId="0" fillId="8" borderId="5" xfId="0" applyFill="1" applyBorder="1"/>
    <xf numFmtId="0" fontId="0" fillId="8" borderId="4" xfId="0" applyFill="1" applyBorder="1"/>
    <xf numFmtId="2" fontId="10" fillId="16" borderId="3" xfId="0" applyNumberFormat="1" applyFont="1" applyFill="1" applyBorder="1"/>
    <xf numFmtId="0" fontId="15" fillId="0" borderId="2" xfId="0" applyFont="1" applyBorder="1" applyAlignment="1">
      <alignment horizontal="center"/>
    </xf>
    <xf numFmtId="0" fontId="21" fillId="0" borderId="2" xfId="0" applyFont="1" applyBorder="1" applyAlignment="1">
      <alignment horizontal="center"/>
    </xf>
    <xf numFmtId="0" fontId="15" fillId="0" borderId="11" xfId="0" applyFont="1" applyBorder="1" applyAlignment="1">
      <alignment horizontal="left"/>
    </xf>
    <xf numFmtId="0" fontId="15" fillId="0" borderId="16" xfId="0" applyFont="1" applyBorder="1" applyAlignment="1">
      <alignment horizontal="left"/>
    </xf>
    <xf numFmtId="0" fontId="10" fillId="0" borderId="3" xfId="0" applyFont="1" applyBorder="1" applyAlignment="1">
      <alignment horizontal="center"/>
    </xf>
    <xf numFmtId="0" fontId="39" fillId="0" borderId="3" xfId="0" applyFont="1" applyBorder="1" applyAlignment="1">
      <alignment horizontal="center" vertical="center" wrapText="1"/>
    </xf>
    <xf numFmtId="0" fontId="41" fillId="0" borderId="3" xfId="0" applyFont="1" applyBorder="1" applyAlignment="1">
      <alignment horizontal="center" vertical="center" wrapText="1"/>
    </xf>
    <xf numFmtId="0" fontId="38" fillId="8" borderId="2" xfId="0" applyFont="1" applyFill="1" applyBorder="1"/>
    <xf numFmtId="0" fontId="39" fillId="0" borderId="3" xfId="0" applyFont="1" applyBorder="1" applyAlignment="1">
      <alignment horizontal="center" vertical="center"/>
    </xf>
    <xf numFmtId="0" fontId="38" fillId="8" borderId="2" xfId="0" applyFont="1" applyFill="1" applyBorder="1" applyAlignment="1">
      <alignment horizontal="center"/>
    </xf>
    <xf numFmtId="0" fontId="10" fillId="8" borderId="2" xfId="0" applyFont="1" applyFill="1" applyBorder="1" applyAlignment="1">
      <alignment horizontal="center"/>
    </xf>
    <xf numFmtId="0" fontId="39" fillId="8" borderId="2" xfId="0" applyFont="1" applyFill="1" applyBorder="1" applyAlignment="1">
      <alignment horizontal="center" vertical="center" wrapText="1"/>
    </xf>
    <xf numFmtId="0" fontId="41" fillId="8" borderId="2" xfId="0" applyFont="1" applyFill="1" applyBorder="1" applyAlignment="1">
      <alignment horizontal="center" vertical="center" wrapText="1"/>
    </xf>
    <xf numFmtId="0" fontId="15" fillId="0" borderId="3" xfId="0" applyFont="1" applyBorder="1" applyAlignment="1">
      <alignment horizontal="left"/>
    </xf>
    <xf numFmtId="0" fontId="37" fillId="8" borderId="2" xfId="0" applyFont="1" applyFill="1" applyBorder="1"/>
    <xf numFmtId="0" fontId="34" fillId="13" borderId="3" xfId="0" applyFont="1" applyFill="1" applyBorder="1"/>
    <xf numFmtId="0" fontId="22" fillId="0" borderId="14" xfId="0" applyFont="1" applyBorder="1" applyAlignment="1">
      <alignment horizontal="center"/>
    </xf>
    <xf numFmtId="0" fontId="0" fillId="0" borderId="2" xfId="0" applyBorder="1" applyAlignment="1">
      <alignment horizontal="center"/>
    </xf>
    <xf numFmtId="0" fontId="15" fillId="0" borderId="15" xfId="0" applyFont="1" applyBorder="1" applyAlignment="1">
      <alignment horizontal="center"/>
    </xf>
    <xf numFmtId="0" fontId="0" fillId="0" borderId="15" xfId="0" applyBorder="1" applyAlignment="1">
      <alignment horizontal="center"/>
    </xf>
    <xf numFmtId="0" fontId="24" fillId="0" borderId="3" xfId="0" applyFont="1" applyBorder="1"/>
    <xf numFmtId="0" fontId="0" fillId="20" borderId="3" xfId="0" applyFill="1" applyBorder="1"/>
    <xf numFmtId="0" fontId="0" fillId="0" borderId="13" xfId="0" applyBorder="1"/>
    <xf numFmtId="0" fontId="10" fillId="0" borderId="13" xfId="0" applyFont="1" applyBorder="1"/>
    <xf numFmtId="0" fontId="0" fillId="0" borderId="17" xfId="0" applyBorder="1"/>
    <xf numFmtId="0" fontId="9" fillId="0" borderId="0" xfId="0" applyFont="1"/>
    <xf numFmtId="0" fontId="20" fillId="0" borderId="1" xfId="0" applyFont="1" applyBorder="1" applyAlignment="1">
      <alignment horizontal="center"/>
    </xf>
    <xf numFmtId="0" fontId="9" fillId="0" borderId="3" xfId="0" applyFont="1" applyBorder="1" applyAlignment="1">
      <alignment horizontal="center"/>
    </xf>
    <xf numFmtId="0" fontId="45" fillId="0" borderId="3" xfId="0" applyFont="1" applyBorder="1" applyAlignment="1">
      <alignment horizontal="center"/>
    </xf>
    <xf numFmtId="0" fontId="30" fillId="0" borderId="3" xfId="1" applyBorder="1" applyAlignment="1">
      <alignment horizontal="center"/>
    </xf>
    <xf numFmtId="0" fontId="24" fillId="7" borderId="3" xfId="0" applyFont="1" applyFill="1" applyBorder="1" applyAlignment="1">
      <alignment horizontal="center"/>
    </xf>
    <xf numFmtId="0" fontId="30" fillId="0" borderId="1" xfId="1" applyBorder="1" applyAlignment="1">
      <alignment horizontal="center"/>
    </xf>
    <xf numFmtId="0" fontId="46" fillId="0" borderId="1" xfId="0" applyFont="1" applyBorder="1" applyAlignment="1">
      <alignment horizontal="center" wrapText="1"/>
    </xf>
    <xf numFmtId="0" fontId="15" fillId="0" borderId="1" xfId="0" applyFont="1" applyBorder="1" applyAlignment="1">
      <alignment horizontal="center" wrapText="1"/>
    </xf>
    <xf numFmtId="0" fontId="20" fillId="0" borderId="1" xfId="0" applyFont="1" applyBorder="1" applyAlignment="1">
      <alignment horizontal="center" wrapText="1"/>
    </xf>
    <xf numFmtId="0" fontId="29" fillId="8" borderId="2" xfId="0" applyFont="1" applyFill="1" applyBorder="1"/>
    <xf numFmtId="0" fontId="15" fillId="0" borderId="1" xfId="0" applyFont="1" applyBorder="1" applyAlignment="1">
      <alignment vertical="top" wrapText="1"/>
    </xf>
    <xf numFmtId="0" fontId="0" fillId="23" borderId="3" xfId="0" applyFill="1" applyBorder="1"/>
    <xf numFmtId="0" fontId="9" fillId="0" borderId="0" xfId="0" applyFont="1" applyAlignment="1">
      <alignment horizontal="left" wrapText="1"/>
    </xf>
    <xf numFmtId="0" fontId="25" fillId="0" borderId="2" xfId="0" applyFont="1" applyBorder="1" applyAlignment="1">
      <alignment horizontal="right"/>
    </xf>
    <xf numFmtId="0" fontId="8" fillId="18" borderId="3" xfId="0" applyFont="1" applyFill="1" applyBorder="1"/>
    <xf numFmtId="0" fontId="29" fillId="27" borderId="3" xfId="0" applyFont="1" applyFill="1" applyBorder="1"/>
    <xf numFmtId="0" fontId="22" fillId="0" borderId="5" xfId="0" applyFont="1" applyBorder="1"/>
    <xf numFmtId="170" fontId="0" fillId="23" borderId="3" xfId="0" applyNumberFormat="1" applyFill="1" applyBorder="1"/>
    <xf numFmtId="0" fontId="15" fillId="23" borderId="3" xfId="0" applyFont="1" applyFill="1" applyBorder="1" applyAlignment="1">
      <alignment horizontal="left"/>
    </xf>
    <xf numFmtId="0" fontId="9" fillId="0" borderId="0" xfId="0" applyFont="1" applyAlignment="1">
      <alignment wrapText="1"/>
    </xf>
    <xf numFmtId="0" fontId="14" fillId="8" borderId="11" xfId="0" applyFont="1" applyFill="1" applyBorder="1" applyAlignment="1">
      <alignment horizontal="center" wrapText="1"/>
    </xf>
    <xf numFmtId="0" fontId="14" fillId="0" borderId="14" xfId="0" applyFont="1" applyBorder="1" applyAlignment="1">
      <alignment horizontal="center" wrapText="1"/>
    </xf>
    <xf numFmtId="0" fontId="14" fillId="0" borderId="19" xfId="0" applyFont="1" applyBorder="1" applyAlignment="1">
      <alignment horizontal="center" wrapText="1"/>
    </xf>
    <xf numFmtId="0" fontId="30" fillId="0" borderId="0" xfId="1" applyAlignment="1"/>
    <xf numFmtId="0" fontId="42" fillId="0" borderId="2" xfId="0" applyFont="1" applyBorder="1"/>
    <xf numFmtId="0" fontId="6" fillId="0" borderId="0" xfId="0" applyFont="1" applyAlignment="1">
      <alignment horizontal="right"/>
    </xf>
    <xf numFmtId="0" fontId="6" fillId="0" borderId="2" xfId="0" applyFont="1" applyBorder="1"/>
    <xf numFmtId="2" fontId="0" fillId="29" borderId="3" xfId="0" applyNumberFormat="1" applyFill="1" applyBorder="1"/>
    <xf numFmtId="0" fontId="7" fillId="8" borderId="2" xfId="0" applyFont="1" applyFill="1" applyBorder="1"/>
    <xf numFmtId="0" fontId="22" fillId="8" borderId="2" xfId="0" applyFont="1" applyFill="1" applyBorder="1"/>
    <xf numFmtId="2" fontId="0" fillId="8" borderId="2" xfId="0" applyNumberFormat="1" applyFill="1" applyBorder="1"/>
    <xf numFmtId="0" fontId="10" fillId="8" borderId="2" xfId="0" applyFont="1" applyFill="1" applyBorder="1"/>
    <xf numFmtId="173" fontId="0" fillId="8" borderId="2" xfId="0" applyNumberFormat="1" applyFill="1" applyBorder="1"/>
    <xf numFmtId="0" fontId="5" fillId="0" borderId="0" xfId="0" applyFont="1"/>
    <xf numFmtId="2" fontId="0" fillId="0" borderId="13" xfId="0" applyNumberFormat="1" applyBorder="1"/>
    <xf numFmtId="0" fontId="0" fillId="26" borderId="5" xfId="0" applyFill="1" applyBorder="1"/>
    <xf numFmtId="0" fontId="22" fillId="0" borderId="18" xfId="0" applyFont="1" applyBorder="1"/>
    <xf numFmtId="0" fontId="0" fillId="28" borderId="18" xfId="0" applyFill="1" applyBorder="1"/>
    <xf numFmtId="0" fontId="51" fillId="0" borderId="0" xfId="0" applyFont="1"/>
    <xf numFmtId="0" fontId="37" fillId="0" borderId="0" xfId="0" applyFont="1"/>
    <xf numFmtId="0" fontId="0" fillId="0" borderId="20" xfId="0" applyBorder="1"/>
    <xf numFmtId="2" fontId="0" fillId="0" borderId="2" xfId="0" applyNumberFormat="1" applyBorder="1"/>
    <xf numFmtId="2" fontId="22" fillId="8" borderId="2" xfId="0" applyNumberFormat="1" applyFont="1" applyFill="1" applyBorder="1"/>
    <xf numFmtId="2" fontId="0" fillId="0" borderId="17" xfId="0" applyNumberFormat="1" applyBorder="1"/>
    <xf numFmtId="0" fontId="0" fillId="30" borderId="3" xfId="0" applyFill="1" applyBorder="1"/>
    <xf numFmtId="2" fontId="0" fillId="30" borderId="3" xfId="0" applyNumberFormat="1" applyFill="1" applyBorder="1"/>
    <xf numFmtId="0" fontId="0" fillId="0" borderId="18" xfId="0" applyBorder="1"/>
    <xf numFmtId="0" fontId="0" fillId="0" borderId="21" xfId="0" applyBorder="1"/>
    <xf numFmtId="0" fontId="0" fillId="31" borderId="3" xfId="0" applyFill="1" applyBorder="1"/>
    <xf numFmtId="4" fontId="0" fillId="31" borderId="3" xfId="0" applyNumberFormat="1" applyFill="1" applyBorder="1" applyAlignment="1">
      <alignment horizontal="center"/>
    </xf>
    <xf numFmtId="0" fontId="22" fillId="13" borderId="3" xfId="0" applyFont="1" applyFill="1" applyBorder="1"/>
    <xf numFmtId="0" fontId="4" fillId="0" borderId="0" xfId="0" applyFont="1"/>
    <xf numFmtId="1" fontId="0" fillId="15" borderId="6" xfId="0" applyNumberFormat="1" applyFill="1" applyBorder="1"/>
    <xf numFmtId="0" fontId="3" fillId="0" borderId="0" xfId="0" applyFont="1"/>
    <xf numFmtId="0" fontId="2" fillId="20" borderId="3" xfId="0" applyFont="1" applyFill="1" applyBorder="1"/>
    <xf numFmtId="10" fontId="0" fillId="8" borderId="2" xfId="7" applyNumberFormat="1" applyFont="1" applyFill="1" applyBorder="1"/>
    <xf numFmtId="0" fontId="41" fillId="32" borderId="3" xfId="0" applyFont="1" applyFill="1" applyBorder="1" applyAlignment="1">
      <alignment horizontal="center" vertical="center" wrapText="1"/>
    </xf>
    <xf numFmtId="0" fontId="39" fillId="32" borderId="3" xfId="0" applyFont="1" applyFill="1" applyBorder="1" applyAlignment="1">
      <alignment horizontal="center" vertical="center"/>
    </xf>
    <xf numFmtId="0" fontId="1" fillId="0" borderId="0" xfId="0" applyFont="1"/>
    <xf numFmtId="0" fontId="0" fillId="18" borderId="0" xfId="0" applyFill="1"/>
    <xf numFmtId="0" fontId="0" fillId="25" borderId="0" xfId="0" applyFill="1"/>
    <xf numFmtId="1" fontId="0" fillId="23" borderId="2" xfId="0" applyNumberFormat="1" applyFill="1" applyBorder="1"/>
    <xf numFmtId="0" fontId="0" fillId="23" borderId="2" xfId="0" applyFill="1" applyBorder="1"/>
    <xf numFmtId="0" fontId="18" fillId="0" borderId="0" xfId="0" applyFont="1" applyAlignment="1">
      <alignment horizontal="right"/>
    </xf>
    <xf numFmtId="0" fontId="0" fillId="0" borderId="0" xfId="0" applyAlignment="1">
      <alignment horizontal="right"/>
    </xf>
    <xf numFmtId="0" fontId="0" fillId="0" borderId="2" xfId="0" applyBorder="1" applyAlignment="1">
      <alignment horizontal="right"/>
    </xf>
    <xf numFmtId="0" fontId="26" fillId="0" borderId="0" xfId="0" applyFont="1" applyAlignment="1">
      <alignment horizontal="right"/>
    </xf>
    <xf numFmtId="0" fontId="23" fillId="0" borderId="0" xfId="0" applyFont="1"/>
    <xf numFmtId="0" fontId="18" fillId="0" borderId="0" xfId="0" applyFont="1" applyAlignment="1">
      <alignment horizontal="right" vertical="center"/>
    </xf>
    <xf numFmtId="0" fontId="0" fillId="0" borderId="3" xfId="0" applyBorder="1" applyAlignment="1">
      <alignment horizontal="center" vertical="center"/>
    </xf>
    <xf numFmtId="0" fontId="59" fillId="0" borderId="0" xfId="0" applyFont="1" applyAlignment="1">
      <alignment horizontal="right"/>
    </xf>
    <xf numFmtId="0" fontId="22" fillId="0" borderId="3" xfId="0" applyFont="1" applyBorder="1" applyAlignment="1">
      <alignment horizontal="center"/>
    </xf>
    <xf numFmtId="0" fontId="14" fillId="0" borderId="27" xfId="0" applyFont="1" applyBorder="1"/>
    <xf numFmtId="0" fontId="15" fillId="0" borderId="28" xfId="0" applyFont="1" applyBorder="1"/>
    <xf numFmtId="0" fontId="15" fillId="5" borderId="29" xfId="0" applyFont="1" applyFill="1" applyBorder="1"/>
    <xf numFmtId="0" fontId="15" fillId="4" borderId="29" xfId="0" applyFont="1" applyFill="1" applyBorder="1"/>
    <xf numFmtId="0" fontId="15" fillId="6" borderId="29" xfId="0" applyFont="1" applyFill="1" applyBorder="1"/>
    <xf numFmtId="0" fontId="15" fillId="3" borderId="31" xfId="0" applyFont="1" applyFill="1" applyBorder="1"/>
    <xf numFmtId="0" fontId="0" fillId="33" borderId="3" xfId="0" applyFill="1" applyBorder="1"/>
    <xf numFmtId="0" fontId="22" fillId="25" borderId="3" xfId="0" applyFont="1" applyFill="1" applyBorder="1" applyAlignment="1">
      <alignment horizontal="center" wrapText="1"/>
    </xf>
    <xf numFmtId="0" fontId="0" fillId="25" borderId="3" xfId="0" applyFill="1" applyBorder="1" applyAlignment="1">
      <alignment horizontal="center" wrapText="1"/>
    </xf>
    <xf numFmtId="0" fontId="42" fillId="0" borderId="3" xfId="0" applyFont="1" applyBorder="1"/>
    <xf numFmtId="0" fontId="60" fillId="25" borderId="3" xfId="0" applyFont="1" applyFill="1" applyBorder="1" applyAlignment="1">
      <alignment horizontal="center" vertical="center"/>
    </xf>
    <xf numFmtId="0" fontId="61" fillId="25" borderId="3" xfId="0" applyFont="1" applyFill="1" applyBorder="1" applyAlignment="1">
      <alignment horizontal="center" vertical="center" wrapText="1"/>
    </xf>
    <xf numFmtId="0" fontId="61" fillId="25" borderId="3" xfId="0" applyFont="1" applyFill="1" applyBorder="1" applyAlignment="1">
      <alignment horizontal="center" vertical="center"/>
    </xf>
    <xf numFmtId="44" fontId="44" fillId="33" borderId="3" xfId="3" applyNumberFormat="1" applyFont="1" applyFill="1" applyBorder="1"/>
    <xf numFmtId="0" fontId="22" fillId="25" borderId="3" xfId="0" applyFont="1" applyFill="1" applyBorder="1" applyAlignment="1">
      <alignment horizontal="center" vertical="center"/>
    </xf>
    <xf numFmtId="171" fontId="44" fillId="33" borderId="3" xfId="4" applyNumberFormat="1" applyFont="1" applyFill="1" applyBorder="1"/>
    <xf numFmtId="2" fontId="0" fillId="33" borderId="3" xfId="0" applyNumberFormat="1" applyFill="1" applyBorder="1"/>
    <xf numFmtId="0" fontId="0" fillId="33" borderId="3" xfId="0" applyFill="1" applyBorder="1" applyAlignment="1">
      <alignment horizontal="center"/>
    </xf>
    <xf numFmtId="0" fontId="0" fillId="34" borderId="3" xfId="0" applyFill="1" applyBorder="1" applyAlignment="1">
      <alignment horizontal="center"/>
    </xf>
    <xf numFmtId="0" fontId="0" fillId="35" borderId="3" xfId="0" applyFill="1" applyBorder="1"/>
    <xf numFmtId="2" fontId="0" fillId="35" borderId="3" xfId="0" applyNumberFormat="1" applyFill="1" applyBorder="1"/>
    <xf numFmtId="0" fontId="0" fillId="34" borderId="3" xfId="0" applyFill="1" applyBorder="1"/>
    <xf numFmtId="2" fontId="0" fillId="34" borderId="3" xfId="0" applyNumberFormat="1" applyFill="1" applyBorder="1"/>
    <xf numFmtId="170" fontId="0" fillId="33" borderId="3" xfId="0" applyNumberFormat="1" applyFill="1" applyBorder="1"/>
    <xf numFmtId="1" fontId="0" fillId="33" borderId="3" xfId="0" applyNumberFormat="1" applyFill="1" applyBorder="1"/>
    <xf numFmtId="169" fontId="0" fillId="33" borderId="3" xfId="0" applyNumberFormat="1" applyFill="1" applyBorder="1"/>
    <xf numFmtId="0" fontId="18" fillId="0" borderId="0" xfId="0" applyFont="1" applyAlignment="1">
      <alignment horizontal="right" wrapText="1"/>
    </xf>
    <xf numFmtId="1" fontId="15" fillId="36" borderId="7" xfId="0" applyNumberFormat="1" applyFont="1" applyFill="1" applyBorder="1"/>
    <xf numFmtId="2" fontId="0" fillId="33" borderId="3" xfId="0" applyNumberFormat="1" applyFill="1" applyBorder="1" applyAlignment="1">
      <alignment horizontal="right"/>
    </xf>
    <xf numFmtId="1" fontId="0" fillId="35" borderId="3" xfId="0" applyNumberFormat="1" applyFill="1" applyBorder="1"/>
    <xf numFmtId="3" fontId="23" fillId="37" borderId="5" xfId="0" applyNumberFormat="1" applyFont="1" applyFill="1" applyBorder="1" applyAlignment="1">
      <alignment horizontal="centerContinuous"/>
    </xf>
    <xf numFmtId="3" fontId="23" fillId="37" borderId="4" xfId="0" applyNumberFormat="1" applyFont="1" applyFill="1" applyBorder="1" applyAlignment="1">
      <alignment horizontal="centerContinuous"/>
    </xf>
    <xf numFmtId="0" fontId="23" fillId="37" borderId="6" xfId="0" applyFont="1" applyFill="1" applyBorder="1" applyAlignment="1">
      <alignment horizontal="centerContinuous"/>
    </xf>
    <xf numFmtId="0" fontId="23" fillId="10" borderId="4" xfId="0" applyFont="1" applyFill="1" applyBorder="1" applyAlignment="1">
      <alignment horizontal="centerContinuous"/>
    </xf>
    <xf numFmtId="0" fontId="23" fillId="10" borderId="6" xfId="0" applyFont="1" applyFill="1" applyBorder="1" applyAlignment="1">
      <alignment horizontal="centerContinuous"/>
    </xf>
    <xf numFmtId="0" fontId="0" fillId="11" borderId="5" xfId="0" applyFill="1" applyBorder="1" applyAlignment="1">
      <alignment horizontal="centerContinuous" vertical="center"/>
    </xf>
    <xf numFmtId="0" fontId="0" fillId="11" borderId="4" xfId="0" applyFill="1" applyBorder="1" applyAlignment="1">
      <alignment horizontal="centerContinuous" vertical="center"/>
    </xf>
    <xf numFmtId="0" fontId="0" fillId="11" borderId="6" xfId="0" applyFill="1" applyBorder="1" applyAlignment="1">
      <alignment horizontal="centerContinuous" vertical="center"/>
    </xf>
    <xf numFmtId="0" fontId="1" fillId="10" borderId="5" xfId="0" applyFont="1" applyFill="1" applyBorder="1" applyAlignment="1">
      <alignment horizontal="centerContinuous"/>
    </xf>
    <xf numFmtId="0" fontId="22" fillId="0" borderId="33" xfId="0" applyFont="1" applyBorder="1" applyAlignment="1">
      <alignment horizontal="center"/>
    </xf>
    <xf numFmtId="0" fontId="0" fillId="40" borderId="3" xfId="0" applyFill="1" applyBorder="1" applyAlignment="1">
      <alignment horizontal="center" vertical="center"/>
    </xf>
    <xf numFmtId="0" fontId="24" fillId="40" borderId="3" xfId="0" applyFont="1" applyFill="1" applyBorder="1" applyAlignment="1">
      <alignment horizontal="center" vertical="center"/>
    </xf>
    <xf numFmtId="0" fontId="30" fillId="0" borderId="35" xfId="1" applyBorder="1" applyAlignment="1"/>
    <xf numFmtId="0" fontId="30" fillId="0" borderId="36" xfId="1" applyBorder="1" applyAlignment="1"/>
    <xf numFmtId="0" fontId="14" fillId="0" borderId="34" xfId="0" applyFont="1" applyBorder="1" applyAlignment="1">
      <alignment horizontal="center" vertical="center"/>
    </xf>
    <xf numFmtId="0" fontId="50" fillId="0" borderId="2" xfId="0" applyFont="1" applyBorder="1" applyAlignment="1">
      <alignment horizontal="right"/>
    </xf>
    <xf numFmtId="0" fontId="23" fillId="39" borderId="3" xfId="0" applyFont="1" applyFill="1" applyBorder="1"/>
    <xf numFmtId="0" fontId="33" fillId="39" borderId="3" xfId="0" applyFont="1" applyFill="1" applyBorder="1" applyAlignment="1">
      <alignment horizontal="center" vertical="center"/>
    </xf>
    <xf numFmtId="0" fontId="33" fillId="39" borderId="6" xfId="0" applyFont="1" applyFill="1" applyBorder="1" applyAlignment="1">
      <alignment horizontal="center" vertical="center"/>
    </xf>
    <xf numFmtId="3" fontId="0" fillId="0" borderId="22" xfId="0" applyNumberFormat="1" applyBorder="1" applyAlignment="1">
      <alignment horizontal="center" wrapText="1"/>
    </xf>
    <xf numFmtId="3" fontId="54" fillId="0" borderId="23" xfId="0" applyNumberFormat="1" applyFont="1" applyBorder="1" applyAlignment="1">
      <alignment horizontal="center" wrapText="1"/>
    </xf>
    <xf numFmtId="3" fontId="56" fillId="0" borderId="20" xfId="0" applyNumberFormat="1" applyFont="1" applyBorder="1" applyAlignment="1">
      <alignment horizontal="center" wrapText="1"/>
    </xf>
    <xf numFmtId="3" fontId="56" fillId="0" borderId="24" xfId="0" applyNumberFormat="1" applyFont="1" applyBorder="1" applyAlignment="1">
      <alignment horizontal="center" wrapText="1"/>
    </xf>
    <xf numFmtId="176" fontId="0" fillId="35" borderId="22" xfId="0" applyNumberFormat="1" applyFill="1" applyBorder="1"/>
    <xf numFmtId="3" fontId="0" fillId="35" borderId="22" xfId="0" applyNumberFormat="1" applyFill="1" applyBorder="1"/>
    <xf numFmtId="167" fontId="0" fillId="35" borderId="22" xfId="0" applyNumberFormat="1" applyFill="1" applyBorder="1"/>
    <xf numFmtId="174" fontId="0" fillId="35" borderId="23" xfId="0" applyNumberFormat="1" applyFill="1" applyBorder="1"/>
    <xf numFmtId="3" fontId="0" fillId="0" borderId="13" xfId="0" applyNumberFormat="1" applyBorder="1" applyAlignment="1">
      <alignment horizontal="center" wrapText="1"/>
    </xf>
    <xf numFmtId="176" fontId="0" fillId="35" borderId="3" xfId="0" applyNumberFormat="1" applyFill="1" applyBorder="1"/>
    <xf numFmtId="3" fontId="0" fillId="35" borderId="3" xfId="0" applyNumberFormat="1" applyFill="1" applyBorder="1"/>
    <xf numFmtId="167" fontId="0" fillId="35" borderId="3" xfId="0" applyNumberFormat="1" applyFill="1" applyBorder="1"/>
    <xf numFmtId="168" fontId="0" fillId="10" borderId="6" xfId="0" applyNumberFormat="1" applyFill="1" applyBorder="1"/>
    <xf numFmtId="3" fontId="0" fillId="0" borderId="37" xfId="0" applyNumberFormat="1" applyBorder="1" applyAlignment="1">
      <alignment horizontal="center" wrapText="1"/>
    </xf>
    <xf numFmtId="0" fontId="0" fillId="0" borderId="5" xfId="0" applyBorder="1" applyAlignment="1">
      <alignment horizontal="center" vertical="center" wrapText="1"/>
    </xf>
    <xf numFmtId="0" fontId="0" fillId="0" borderId="5" xfId="0" applyBorder="1" applyAlignment="1">
      <alignment horizontal="center"/>
    </xf>
    <xf numFmtId="0" fontId="0" fillId="7" borderId="5" xfId="0" applyFill="1" applyBorder="1" applyAlignment="1">
      <alignment horizontal="center"/>
    </xf>
    <xf numFmtId="0" fontId="0" fillId="9" borderId="5" xfId="0" applyFill="1" applyBorder="1"/>
    <xf numFmtId="0" fontId="0" fillId="0" borderId="6" xfId="0" applyBorder="1" applyAlignment="1">
      <alignment horizontal="center" vertical="center" wrapText="1"/>
    </xf>
    <xf numFmtId="0" fontId="0" fillId="0" borderId="6" xfId="0" applyBorder="1" applyAlignment="1">
      <alignment horizontal="center"/>
    </xf>
    <xf numFmtId="0" fontId="0" fillId="35" borderId="14" xfId="0" applyFill="1" applyBorder="1"/>
    <xf numFmtId="0" fontId="27" fillId="35" borderId="2" xfId="0" applyFont="1" applyFill="1" applyBorder="1"/>
    <xf numFmtId="3" fontId="0" fillId="0" borderId="38" xfId="0" applyNumberFormat="1" applyBorder="1" applyAlignment="1">
      <alignment horizontal="center" wrapText="1"/>
    </xf>
    <xf numFmtId="3" fontId="56" fillId="0" borderId="39" xfId="0" applyNumberFormat="1" applyFont="1" applyBorder="1" applyAlignment="1">
      <alignment horizontal="center" wrapText="1"/>
    </xf>
    <xf numFmtId="3" fontId="0" fillId="0" borderId="40" xfId="0" applyNumberFormat="1" applyBorder="1" applyAlignment="1">
      <alignment horizontal="center" wrapText="1"/>
    </xf>
    <xf numFmtId="175" fontId="0" fillId="35" borderId="41" xfId="0" applyNumberFormat="1" applyFill="1" applyBorder="1"/>
    <xf numFmtId="174" fontId="0" fillId="35" borderId="42" xfId="0" applyNumberFormat="1" applyFill="1" applyBorder="1"/>
    <xf numFmtId="175" fontId="0" fillId="35" borderId="43" xfId="0" applyNumberFormat="1" applyFill="1" applyBorder="1"/>
    <xf numFmtId="176" fontId="0" fillId="35" borderId="25" xfId="0" applyNumberFormat="1" applyFill="1" applyBorder="1"/>
    <xf numFmtId="3" fontId="0" fillId="35" borderId="25" xfId="0" applyNumberFormat="1" applyFill="1" applyBorder="1"/>
    <xf numFmtId="167" fontId="0" fillId="35" borderId="25" xfId="0" applyNumberFormat="1" applyFill="1" applyBorder="1"/>
    <xf numFmtId="174" fontId="0" fillId="35" borderId="26" xfId="0" applyNumberFormat="1" applyFill="1" applyBorder="1"/>
    <xf numFmtId="3" fontId="0" fillId="0" borderId="40" xfId="0" applyNumberFormat="1" applyBorder="1"/>
    <xf numFmtId="3" fontId="0" fillId="0" borderId="13" xfId="0" applyNumberFormat="1" applyBorder="1"/>
    <xf numFmtId="174" fontId="0" fillId="34" borderId="37" xfId="0" applyNumberFormat="1" applyFill="1" applyBorder="1"/>
    <xf numFmtId="175" fontId="0" fillId="35" borderId="38" xfId="0" applyNumberFormat="1" applyFill="1" applyBorder="1"/>
    <xf numFmtId="3" fontId="0" fillId="33" borderId="13" xfId="0" applyNumberFormat="1" applyFill="1" applyBorder="1"/>
    <xf numFmtId="167" fontId="0" fillId="34" borderId="6" xfId="0" applyNumberFormat="1" applyFill="1" applyBorder="1" applyAlignment="1">
      <alignment horizontal="center"/>
    </xf>
    <xf numFmtId="167" fontId="0" fillId="34" borderId="3" xfId="0" applyNumberFormat="1" applyFill="1" applyBorder="1" applyAlignment="1">
      <alignment horizontal="center"/>
    </xf>
    <xf numFmtId="0" fontId="14" fillId="0" borderId="0" xfId="0" applyFont="1"/>
    <xf numFmtId="0" fontId="15" fillId="0" borderId="2" xfId="0" applyFont="1" applyBorder="1"/>
    <xf numFmtId="0" fontId="64" fillId="41" borderId="0" xfId="0" applyFont="1" applyFill="1"/>
    <xf numFmtId="0" fontId="65" fillId="41" borderId="0" xfId="0" applyFont="1" applyFill="1"/>
    <xf numFmtId="0" fontId="23" fillId="42" borderId="5" xfId="0" applyFont="1" applyFill="1" applyBorder="1" applyAlignment="1">
      <alignment horizontal="center"/>
    </xf>
    <xf numFmtId="0" fontId="2" fillId="33" borderId="5" xfId="0" applyFont="1" applyFill="1" applyBorder="1" applyAlignment="1">
      <alignment horizontal="center"/>
    </xf>
    <xf numFmtId="0" fontId="65" fillId="43" borderId="3" xfId="0" applyFont="1" applyFill="1" applyBorder="1"/>
    <xf numFmtId="0" fontId="67" fillId="0" borderId="33" xfId="1" applyFont="1" applyBorder="1" applyAlignment="1">
      <alignment horizontal="left"/>
    </xf>
    <xf numFmtId="0" fontId="68" fillId="0" borderId="21" xfId="0" applyFont="1" applyBorder="1"/>
    <xf numFmtId="0" fontId="69" fillId="0" borderId="33" xfId="0" applyFont="1" applyBorder="1"/>
    <xf numFmtId="0" fontId="66" fillId="0" borderId="21" xfId="0" applyFont="1" applyBorder="1"/>
    <xf numFmtId="0" fontId="0" fillId="0" borderId="15" xfId="0" applyBorder="1"/>
    <xf numFmtId="0" fontId="0" fillId="0" borderId="45" xfId="0" applyBorder="1"/>
    <xf numFmtId="0" fontId="23" fillId="43" borderId="13" xfId="1" applyFont="1" applyFill="1" applyBorder="1"/>
    <xf numFmtId="0" fontId="15" fillId="0" borderId="17" xfId="0" applyFont="1" applyBorder="1"/>
    <xf numFmtId="0" fontId="15" fillId="0" borderId="44" xfId="0" applyFont="1" applyBorder="1"/>
    <xf numFmtId="0" fontId="15" fillId="0" borderId="15" xfId="0" applyFont="1" applyBorder="1"/>
    <xf numFmtId="0" fontId="15" fillId="0" borderId="45" xfId="0" applyFont="1" applyBorder="1"/>
    <xf numFmtId="0" fontId="14" fillId="0" borderId="2" xfId="0" applyFont="1" applyBorder="1"/>
    <xf numFmtId="0" fontId="15" fillId="0" borderId="30" xfId="0" applyFont="1" applyBorder="1" applyAlignment="1">
      <alignment horizontal="center" vertical="center"/>
    </xf>
    <xf numFmtId="0" fontId="15" fillId="0" borderId="32" xfId="0" applyFont="1" applyBorder="1" applyAlignment="1">
      <alignment horizontal="center" vertical="center"/>
    </xf>
    <xf numFmtId="0" fontId="15" fillId="7" borderId="3" xfId="0" applyFont="1" applyFill="1" applyBorder="1" applyAlignment="1">
      <alignment horizontal="left"/>
    </xf>
    <xf numFmtId="0" fontId="24" fillId="40" borderId="3" xfId="0" applyFont="1" applyFill="1" applyBorder="1" applyAlignment="1">
      <alignment horizontal="center" wrapText="1"/>
    </xf>
    <xf numFmtId="0" fontId="23" fillId="16" borderId="14" xfId="1" applyFont="1" applyFill="1" applyBorder="1"/>
    <xf numFmtId="0" fontId="23" fillId="25" borderId="3" xfId="1" applyFont="1" applyFill="1" applyBorder="1"/>
    <xf numFmtId="0" fontId="23" fillId="25" borderId="3" xfId="1" applyFont="1" applyFill="1" applyBorder="1" applyAlignment="1">
      <alignment horizontal="left" vertical="center"/>
    </xf>
    <xf numFmtId="0" fontId="23" fillId="44" borderId="3" xfId="1" applyFont="1" applyFill="1" applyBorder="1"/>
    <xf numFmtId="0" fontId="23" fillId="37" borderId="3" xfId="1" applyFont="1" applyFill="1" applyBorder="1"/>
    <xf numFmtId="0" fontId="23" fillId="39" borderId="3" xfId="1" applyFont="1" applyFill="1" applyBorder="1"/>
    <xf numFmtId="0" fontId="23" fillId="38" borderId="3" xfId="1" applyFont="1" applyFill="1" applyBorder="1"/>
    <xf numFmtId="0" fontId="23" fillId="30" borderId="3" xfId="1" applyFont="1" applyFill="1" applyBorder="1"/>
    <xf numFmtId="0" fontId="23" fillId="45" borderId="3" xfId="1" applyFont="1" applyFill="1" applyBorder="1"/>
    <xf numFmtId="0" fontId="23" fillId="45" borderId="3" xfId="1" applyFont="1" applyFill="1" applyBorder="1" applyAlignment="1">
      <alignment vertical="center"/>
    </xf>
    <xf numFmtId="0" fontId="44" fillId="33" borderId="3" xfId="4" applyFont="1" applyFill="1" applyBorder="1"/>
    <xf numFmtId="0" fontId="42" fillId="33" borderId="3" xfId="0" applyFont="1" applyFill="1" applyBorder="1"/>
    <xf numFmtId="0" fontId="43" fillId="33" borderId="3" xfId="0" applyFont="1" applyFill="1" applyBorder="1"/>
    <xf numFmtId="0" fontId="0" fillId="46" borderId="6" xfId="0" applyFill="1" applyBorder="1"/>
    <xf numFmtId="0" fontId="30" fillId="0" borderId="0" xfId="1"/>
    <xf numFmtId="0" fontId="30" fillId="0" borderId="33" xfId="1" applyBorder="1" applyAlignment="1">
      <alignment vertical="center"/>
    </xf>
    <xf numFmtId="177" fontId="15" fillId="4" borderId="1" xfId="0" applyNumberFormat="1" applyFont="1" applyFill="1" applyBorder="1"/>
    <xf numFmtId="0" fontId="15" fillId="0" borderId="3" xfId="0" applyFont="1" applyBorder="1" applyAlignment="1">
      <alignment horizontal="left"/>
    </xf>
    <xf numFmtId="0" fontId="15" fillId="0" borderId="13" xfId="0" applyFont="1" applyBorder="1" applyAlignment="1">
      <alignment horizontal="left"/>
    </xf>
    <xf numFmtId="0" fontId="19" fillId="0" borderId="33" xfId="0" applyFont="1" applyBorder="1" applyAlignment="1">
      <alignment horizontal="left"/>
    </xf>
    <xf numFmtId="0" fontId="19" fillId="0" borderId="15" xfId="0" applyFont="1" applyBorder="1" applyAlignment="1">
      <alignment horizontal="left"/>
    </xf>
    <xf numFmtId="0" fontId="19" fillId="0" borderId="45" xfId="0" applyFont="1" applyBorder="1" applyAlignment="1">
      <alignment horizontal="left"/>
    </xf>
    <xf numFmtId="0" fontId="66" fillId="0" borderId="21" xfId="0" applyFont="1" applyBorder="1" applyAlignment="1">
      <alignment horizontal="left"/>
    </xf>
    <xf numFmtId="0" fontId="66" fillId="0" borderId="17" xfId="0" applyFont="1" applyBorder="1" applyAlignment="1">
      <alignment horizontal="left"/>
    </xf>
    <xf numFmtId="0" fontId="66" fillId="0" borderId="44" xfId="0" applyFont="1" applyBorder="1" applyAlignment="1">
      <alignment horizontal="left"/>
    </xf>
    <xf numFmtId="0" fontId="15" fillId="0" borderId="14" xfId="0" applyFont="1" applyBorder="1" applyAlignment="1">
      <alignment horizontal="left" wrapText="1"/>
    </xf>
    <xf numFmtId="0" fontId="15" fillId="0" borderId="17" xfId="0" applyFont="1" applyBorder="1" applyAlignment="1">
      <alignment horizontal="center"/>
    </xf>
    <xf numFmtId="0" fontId="15" fillId="0" borderId="44" xfId="0" applyFont="1" applyBorder="1" applyAlignment="1">
      <alignment horizontal="center"/>
    </xf>
    <xf numFmtId="0" fontId="1" fillId="0" borderId="21" xfId="0" applyFont="1" applyBorder="1" applyAlignment="1">
      <alignment horizontal="left" vertical="center" wrapText="1"/>
    </xf>
    <xf numFmtId="0" fontId="1" fillId="0" borderId="17" xfId="0" applyFont="1" applyBorder="1" applyAlignment="1">
      <alignment horizontal="left" vertical="center" wrapText="1"/>
    </xf>
    <xf numFmtId="0" fontId="1" fillId="0" borderId="44" xfId="0" applyFont="1" applyBorder="1" applyAlignment="1">
      <alignment horizontal="left" vertical="center" wrapText="1"/>
    </xf>
    <xf numFmtId="0" fontId="15" fillId="0" borderId="3" xfId="0" applyFont="1" applyBorder="1"/>
    <xf numFmtId="0" fontId="15" fillId="0" borderId="3" xfId="0" applyFont="1" applyBorder="1" applyAlignment="1">
      <alignment horizontal="left" wrapText="1"/>
    </xf>
    <xf numFmtId="0" fontId="63" fillId="8" borderId="3" xfId="0" applyFont="1" applyFill="1" applyBorder="1" applyAlignment="1">
      <alignment horizontal="center"/>
    </xf>
    <xf numFmtId="0" fontId="22" fillId="18" borderId="3" xfId="0" applyFont="1" applyFill="1" applyBorder="1" applyAlignment="1">
      <alignment horizontal="center"/>
    </xf>
    <xf numFmtId="0" fontId="22" fillId="15" borderId="3" xfId="0" applyFont="1" applyFill="1" applyBorder="1" applyAlignment="1">
      <alignment horizontal="center"/>
    </xf>
    <xf numFmtId="0" fontId="1" fillId="0" borderId="0" xfId="0" applyFont="1" applyAlignment="1">
      <alignment horizontal="left" vertical="top" wrapText="1"/>
    </xf>
    <xf numFmtId="0" fontId="9" fillId="0" borderId="0" xfId="0" applyFont="1" applyAlignment="1">
      <alignment horizontal="left" vertical="top" wrapText="1"/>
    </xf>
    <xf numFmtId="0" fontId="33" fillId="39" borderId="3" xfId="0" applyFont="1" applyFill="1" applyBorder="1" applyAlignment="1">
      <alignment horizontal="center"/>
    </xf>
    <xf numFmtId="0" fontId="22" fillId="30" borderId="5" xfId="0" applyFont="1" applyFill="1" applyBorder="1" applyAlignment="1">
      <alignment horizontal="center"/>
    </xf>
    <xf numFmtId="0" fontId="22" fillId="30" borderId="4" xfId="0" applyFont="1" applyFill="1" applyBorder="1" applyAlignment="1">
      <alignment horizontal="center"/>
    </xf>
    <xf numFmtId="0" fontId="22" fillId="30" borderId="6" xfId="0" applyFont="1" applyFill="1" applyBorder="1" applyAlignment="1">
      <alignment horizontal="center"/>
    </xf>
    <xf numFmtId="0" fontId="22" fillId="30" borderId="3" xfId="0" applyFont="1" applyFill="1" applyBorder="1" applyAlignment="1">
      <alignment horizontal="center"/>
    </xf>
    <xf numFmtId="0" fontId="1" fillId="0" borderId="0" xfId="0" applyFont="1" applyAlignment="1">
      <alignment horizontal="left" wrapText="1"/>
    </xf>
    <xf numFmtId="0" fontId="0" fillId="0" borderId="0" xfId="0" applyAlignment="1">
      <alignment horizontal="left" wrapText="1"/>
    </xf>
    <xf numFmtId="0" fontId="49" fillId="39" borderId="3" xfId="0" applyFont="1" applyFill="1" applyBorder="1" applyAlignment="1">
      <alignment horizontal="center" vertical="center"/>
    </xf>
    <xf numFmtId="0" fontId="62" fillId="30" borderId="3" xfId="0" applyFont="1" applyFill="1" applyBorder="1" applyAlignment="1">
      <alignment horizontal="center" vertical="center"/>
    </xf>
    <xf numFmtId="0" fontId="3" fillId="0" borderId="0" xfId="0" applyFont="1" applyAlignment="1">
      <alignment horizontal="left" wrapText="1"/>
    </xf>
    <xf numFmtId="0" fontId="8" fillId="0" borderId="0" xfId="0" applyFont="1" applyAlignment="1">
      <alignment horizontal="left" wrapText="1"/>
    </xf>
    <xf numFmtId="0" fontId="9" fillId="0" borderId="0" xfId="0" applyFont="1" applyAlignment="1">
      <alignment horizontal="left" wrapText="1"/>
    </xf>
    <xf numFmtId="0" fontId="1" fillId="0" borderId="0" xfId="0" quotePrefix="1" applyFont="1" applyAlignment="1">
      <alignment horizontal="left" vertical="top" wrapText="1"/>
    </xf>
    <xf numFmtId="0" fontId="8" fillId="0" borderId="0" xfId="0" quotePrefix="1" applyFont="1" applyAlignment="1">
      <alignment horizontal="left" vertical="top" wrapText="1"/>
    </xf>
    <xf numFmtId="0" fontId="1" fillId="0" borderId="0" xfId="0" quotePrefix="1" applyFont="1" applyAlignment="1">
      <alignment horizontal="left" wrapText="1"/>
    </xf>
    <xf numFmtId="0" fontId="7" fillId="0" borderId="0" xfId="0" quotePrefix="1" applyFont="1" applyAlignment="1">
      <alignment horizontal="left" wrapText="1"/>
    </xf>
    <xf numFmtId="0" fontId="33" fillId="37" borderId="3" xfId="0" applyFont="1" applyFill="1" applyBorder="1" applyAlignment="1">
      <alignment horizontal="center"/>
    </xf>
    <xf numFmtId="0" fontId="33" fillId="38" borderId="3" xfId="0" applyFont="1" applyFill="1" applyBorder="1" applyAlignment="1">
      <alignment horizontal="center"/>
    </xf>
    <xf numFmtId="0" fontId="38" fillId="8" borderId="5" xfId="0" applyFont="1" applyFill="1" applyBorder="1" applyAlignment="1">
      <alignment horizontal="center"/>
    </xf>
    <xf numFmtId="0" fontId="38" fillId="8" borderId="4" xfId="0" applyFont="1" applyFill="1" applyBorder="1" applyAlignment="1">
      <alignment horizontal="center"/>
    </xf>
    <xf numFmtId="0" fontId="38" fillId="8" borderId="6" xfId="0" applyFont="1" applyFill="1" applyBorder="1" applyAlignment="1">
      <alignment horizontal="center"/>
    </xf>
    <xf numFmtId="0" fontId="10" fillId="15" borderId="4" xfId="0" applyFont="1" applyFill="1" applyBorder="1" applyAlignment="1">
      <alignment horizontal="center"/>
    </xf>
    <xf numFmtId="0" fontId="10" fillId="15" borderId="6" xfId="0" applyFont="1" applyFill="1" applyBorder="1" applyAlignment="1">
      <alignment horizontal="center"/>
    </xf>
    <xf numFmtId="0" fontId="1" fillId="18" borderId="5" xfId="0" applyFont="1" applyFill="1" applyBorder="1" applyAlignment="1">
      <alignment horizontal="center"/>
    </xf>
    <xf numFmtId="0" fontId="1" fillId="18" borderId="4" xfId="0" applyFont="1" applyFill="1" applyBorder="1" applyAlignment="1">
      <alignment horizontal="center"/>
    </xf>
    <xf numFmtId="0" fontId="63" fillId="8" borderId="5" xfId="0" applyFont="1" applyFill="1" applyBorder="1" applyAlignment="1">
      <alignment horizontal="center"/>
    </xf>
    <xf numFmtId="0" fontId="63" fillId="8" borderId="4" xfId="0" applyFont="1" applyFill="1" applyBorder="1" applyAlignment="1">
      <alignment horizontal="center"/>
    </xf>
    <xf numFmtId="0" fontId="63" fillId="8" borderId="6" xfId="0" applyFont="1" applyFill="1" applyBorder="1" applyAlignment="1">
      <alignment horizontal="center"/>
    </xf>
    <xf numFmtId="0" fontId="1" fillId="18" borderId="6" xfId="0" applyFont="1" applyFill="1" applyBorder="1" applyAlignment="1">
      <alignment horizontal="center"/>
    </xf>
    <xf numFmtId="0" fontId="10" fillId="15" borderId="5" xfId="0" applyFont="1" applyFill="1" applyBorder="1" applyAlignment="1">
      <alignment horizontal="center"/>
    </xf>
    <xf numFmtId="0" fontId="1" fillId="18" borderId="3" xfId="0" applyFont="1" applyFill="1" applyBorder="1" applyAlignment="1">
      <alignment horizontal="center"/>
    </xf>
    <xf numFmtId="0" fontId="10" fillId="15" borderId="3" xfId="0" applyFont="1" applyFill="1" applyBorder="1" applyAlignment="1">
      <alignment horizontal="center"/>
    </xf>
    <xf numFmtId="0" fontId="0" fillId="15" borderId="3" xfId="0" applyFill="1" applyBorder="1" applyAlignment="1">
      <alignment horizontal="center"/>
    </xf>
  </cellXfs>
  <cellStyles count="8">
    <cellStyle name="BM Label" xfId="6" xr:uid="{C83B2207-E200-4247-A763-4A04062A7514}"/>
    <cellStyle name="Comma" xfId="2" builtinId="3"/>
    <cellStyle name="Currency" xfId="3" builtinId="4"/>
    <cellStyle name="Hyperlink" xfId="1" builtinId="8"/>
    <cellStyle name="Input" xfId="4" builtinId="20"/>
    <cellStyle name="Normal" xfId="0" builtinId="0"/>
    <cellStyle name="Normal 2" xfId="5" xr:uid="{CE766475-6C7F-4934-B9DF-133F9865802E}"/>
    <cellStyle name="Percent" xfId="7" builtinId="5"/>
  </cellStyles>
  <dxfs count="4">
    <dxf>
      <font>
        <strike val="0"/>
        <outline val="0"/>
        <shadow val="0"/>
        <u val="none"/>
        <vertAlign val="baseline"/>
        <sz val="11"/>
        <color theme="0"/>
        <name val="Calibri"/>
        <scheme val="minor"/>
      </font>
    </dxf>
    <dxf>
      <font>
        <strike val="0"/>
        <outline val="0"/>
        <shadow val="0"/>
        <u val="none"/>
        <vertAlign val="baseline"/>
        <sz val="11"/>
        <color theme="0"/>
        <name val="Calibri"/>
        <scheme val="minor"/>
      </font>
    </dxf>
    <dxf>
      <font>
        <strike val="0"/>
        <outline val="0"/>
        <shadow val="0"/>
        <u val="none"/>
        <vertAlign val="baseline"/>
        <sz val="11"/>
        <color theme="0"/>
        <name val="Calibri"/>
        <scheme val="minor"/>
      </font>
    </dxf>
    <dxf>
      <font>
        <strike val="0"/>
        <outline val="0"/>
        <shadow val="0"/>
        <u val="none"/>
        <vertAlign val="baseline"/>
        <sz val="11"/>
        <color theme="0"/>
        <name val="Calibri"/>
        <scheme val="minor"/>
      </font>
    </dxf>
  </dxfs>
  <tableStyles count="0" defaultTableStyle="TableStyleMedium2" defaultPivotStyle="PivotStyleLight16"/>
  <colors>
    <mruColors>
      <color rgb="FFF6BAC3"/>
      <color rgb="FFF0AAAA"/>
      <color rgb="FF95BBB1"/>
      <color rgb="FF8AA9E8"/>
      <color rgb="FF8EC4F6"/>
      <color rgb="FF95BBAC"/>
      <color rgb="FFDFEFFD"/>
      <color rgb="FF95BBB0"/>
      <color rgb="FFFFCC99"/>
      <color rgb="FFB3D8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customschemas.google.com/relationships/workbookmetadata" Target="metadata"/><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rgbClr val="000000">
                    <a:lumMod val="65000"/>
                    <a:lumOff val="35000"/>
                  </a:srgbClr>
                </a:solidFill>
              </a:rPr>
              <a:t>Change in house price (per 1 mile of increased distance), where 0 is landfill boundary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'4c. Hedonic pricing'!$O$20:$O$80</c:f>
              <c:numCache>
                <c:formatCode>General</c:formatCode>
                <c:ptCount val="6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numCache>
            </c:numRef>
          </c:xVal>
          <c:yVal>
            <c:numRef>
              <c:f>'4c. Hedonic pricing'!$P$20:$P$80</c:f>
              <c:numCache>
                <c:formatCode>General</c:formatCode>
                <c:ptCount val="61"/>
                <c:pt idx="0">
                  <c:v>2.2000000000000002</c:v>
                </c:pt>
                <c:pt idx="1">
                  <c:v>2.2000000000000002</c:v>
                </c:pt>
                <c:pt idx="2">
                  <c:v>2.2000000000000002</c:v>
                </c:pt>
                <c:pt idx="3">
                  <c:v>2.2000000000000002</c:v>
                </c:pt>
                <c:pt idx="4">
                  <c:v>2.2000000000000002</c:v>
                </c:pt>
                <c:pt idx="5">
                  <c:v>2.2000000000000002</c:v>
                </c:pt>
                <c:pt idx="6">
                  <c:v>2.2000000000000002</c:v>
                </c:pt>
                <c:pt idx="7">
                  <c:v>2.2000000000000002</c:v>
                </c:pt>
                <c:pt idx="8">
                  <c:v>2.2000000000000002</c:v>
                </c:pt>
                <c:pt idx="9">
                  <c:v>2.2000000000000002</c:v>
                </c:pt>
                <c:pt idx="10">
                  <c:v>2.2000000000000002</c:v>
                </c:pt>
                <c:pt idx="11" formatCode="0.00">
                  <c:v>2.1489393939393939</c:v>
                </c:pt>
                <c:pt idx="12" formatCode="0.00">
                  <c:v>2.0978787878787881</c:v>
                </c:pt>
                <c:pt idx="13" formatCode="0.00">
                  <c:v>2.0468181818181819</c:v>
                </c:pt>
                <c:pt idx="14" formatCode="0.00">
                  <c:v>1.9957575757575761</c:v>
                </c:pt>
                <c:pt idx="15" formatCode="0.00">
                  <c:v>1.9446969696969698</c:v>
                </c:pt>
                <c:pt idx="16" formatCode="0.00">
                  <c:v>1.8936363636363636</c:v>
                </c:pt>
                <c:pt idx="17" formatCode="0.00">
                  <c:v>1.8425757575757578</c:v>
                </c:pt>
                <c:pt idx="18" formatCode="0.00">
                  <c:v>1.7915151515151515</c:v>
                </c:pt>
                <c:pt idx="19" formatCode="0.00">
                  <c:v>1.7404545454545457</c:v>
                </c:pt>
                <c:pt idx="20" formatCode="0.00">
                  <c:v>1.6893939393939394</c:v>
                </c:pt>
                <c:pt idx="21" formatCode="0.00">
                  <c:v>1.6383333333333334</c:v>
                </c:pt>
                <c:pt idx="22" formatCode="0.00">
                  <c:v>1.5872727272727272</c:v>
                </c:pt>
                <c:pt idx="23" formatCode="0.00">
                  <c:v>1.5362121212121214</c:v>
                </c:pt>
                <c:pt idx="24" formatCode="0.00">
                  <c:v>1.4851515151515151</c:v>
                </c:pt>
                <c:pt idx="25" formatCode="0.00">
                  <c:v>1.4340909090909091</c:v>
                </c:pt>
                <c:pt idx="26" formatCode="0.00">
                  <c:v>1.3830303030303031</c:v>
                </c:pt>
                <c:pt idx="27" formatCode="0.00">
                  <c:v>1.3319696969696968</c:v>
                </c:pt>
                <c:pt idx="28" formatCode="0.00">
                  <c:v>1.280909090909091</c:v>
                </c:pt>
                <c:pt idx="29" formatCode="0.00">
                  <c:v>1.2298484848484847</c:v>
                </c:pt>
                <c:pt idx="30" formatCode="0.00">
                  <c:v>1.1787878787878787</c:v>
                </c:pt>
                <c:pt idx="31" formatCode="0.00">
                  <c:v>1.1277272727272727</c:v>
                </c:pt>
                <c:pt idx="32" formatCode="0.00">
                  <c:v>1.0766666666666664</c:v>
                </c:pt>
                <c:pt idx="33" formatCode="0.00">
                  <c:v>1.0256060606060606</c:v>
                </c:pt>
                <c:pt idx="34" formatCode="0.00">
                  <c:v>0.97454545454545438</c:v>
                </c:pt>
                <c:pt idx="35" formatCode="0.00">
                  <c:v>0.92348484848484835</c:v>
                </c:pt>
                <c:pt idx="36" formatCode="0.00">
                  <c:v>0.87242424242424232</c:v>
                </c:pt>
                <c:pt idx="37" formatCode="0.00">
                  <c:v>0.82136363636363607</c:v>
                </c:pt>
                <c:pt idx="38" formatCode="0.00">
                  <c:v>0.77030303030303027</c:v>
                </c:pt>
                <c:pt idx="39" formatCode="0.00">
                  <c:v>0.71924242424242402</c:v>
                </c:pt>
                <c:pt idx="40" formatCode="0.00">
                  <c:v>0.66818181818181799</c:v>
                </c:pt>
                <c:pt idx="41" formatCode="0.00">
                  <c:v>0.61712121212121218</c:v>
                </c:pt>
                <c:pt idx="42" formatCode="0.00">
                  <c:v>0.56606060606060593</c:v>
                </c:pt>
                <c:pt idx="43" formatCode="0.00">
                  <c:v>0.51499999999999968</c:v>
                </c:pt>
                <c:pt idx="44" formatCode="0.00">
                  <c:v>0.46393939393939343</c:v>
                </c:pt>
                <c:pt idx="45" formatCode="0.00">
                  <c:v>0.41287878787878762</c:v>
                </c:pt>
                <c:pt idx="46" formatCode="0.00">
                  <c:v>0.36181818181818182</c:v>
                </c:pt>
                <c:pt idx="47" formatCode="0.00">
                  <c:v>0.31075757575757557</c:v>
                </c:pt>
                <c:pt idx="48" formatCode="0.00">
                  <c:v>0.25969696969696932</c:v>
                </c:pt>
                <c:pt idx="49" formatCode="0.00">
                  <c:v>0.20863636363636306</c:v>
                </c:pt>
                <c:pt idx="50" formatCode="0.00">
                  <c:v>0.15757575757575726</c:v>
                </c:pt>
                <c:pt idx="51" formatCode="0.00">
                  <c:v>0.10651515151515145</c:v>
                </c:pt>
                <c:pt idx="52" formatCode="0.00">
                  <c:v>5.5454545454545201E-2</c:v>
                </c:pt>
                <c:pt idx="53" formatCode="0.00">
                  <c:v>4.3939393939389504E-3</c:v>
                </c:pt>
                <c:pt idx="54" formatCode="0.00">
                  <c:v>-4.66666666666673E-2</c:v>
                </c:pt>
                <c:pt idx="55" formatCode="0.00">
                  <c:v>-9.7727272727273107E-2</c:v>
                </c:pt>
                <c:pt idx="56" formatCode="0.00">
                  <c:v>-0.14878787878787891</c:v>
                </c:pt>
                <c:pt idx="57" formatCode="0.00">
                  <c:v>-0.19984848484848516</c:v>
                </c:pt>
                <c:pt idx="58" formatCode="0.00">
                  <c:v>-0.25090909090909141</c:v>
                </c:pt>
                <c:pt idx="59" formatCode="0.00">
                  <c:v>-0.30196969696969767</c:v>
                </c:pt>
                <c:pt idx="60" formatCode="0.00">
                  <c:v>-0.35303030303030347</c:v>
                </c:pt>
              </c:numCache>
            </c:numRef>
          </c:yVal>
          <c:smooth val="1"/>
          <c:extLst>
            <c:ext xmlns:c16="http://schemas.microsoft.com/office/drawing/2014/chart" uri="{C3380CC4-5D6E-409C-BE32-E72D297353CC}">
              <c16:uniqueId val="{00000000-F99D-4863-A24D-8313C949039B}"/>
            </c:ext>
          </c:extLst>
        </c:ser>
        <c:dLbls>
          <c:showLegendKey val="0"/>
          <c:showVal val="0"/>
          <c:showCatName val="0"/>
          <c:showSerName val="0"/>
          <c:showPercent val="0"/>
          <c:showBubbleSize val="0"/>
        </c:dLbls>
        <c:axId val="1927088655"/>
        <c:axId val="1927087215"/>
      </c:scatterChart>
      <c:valAx>
        <c:axId val="192708865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Distance from landfill boundary (m)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7087215"/>
        <c:crosses val="autoZero"/>
        <c:crossBetween val="midCat"/>
      </c:valAx>
      <c:valAx>
        <c:axId val="1927087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Change in house</a:t>
                </a:r>
                <a:r>
                  <a:rPr lang="en-GB" baseline="0"/>
                  <a:t> price (%)</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70886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0</xdr:col>
      <xdr:colOff>645813</xdr:colOff>
      <xdr:row>4</xdr:row>
      <xdr:rowOff>5153</xdr:rowOff>
    </xdr:from>
    <xdr:ext cx="10738431" cy="1809716"/>
    <xdr:sp macro="" textlink="">
      <xdr:nvSpPr>
        <xdr:cNvPr id="6" name="Shape 6">
          <a:extLst>
            <a:ext uri="{FF2B5EF4-FFF2-40B4-BE49-F238E27FC236}">
              <a16:creationId xmlns:a16="http://schemas.microsoft.com/office/drawing/2014/main" id="{00000000-0008-0000-0100-000006000000}"/>
            </a:ext>
          </a:extLst>
        </xdr:cNvPr>
        <xdr:cNvSpPr txBox="1"/>
      </xdr:nvSpPr>
      <xdr:spPr>
        <a:xfrm>
          <a:off x="645813" y="796602"/>
          <a:ext cx="10738431" cy="1809716"/>
        </a:xfrm>
        <a:prstGeom prst="rect">
          <a:avLst/>
        </a:prstGeom>
        <a:solidFill>
          <a:schemeClr val="accen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lt2"/>
              </a:solidFill>
              <a:latin typeface="+mn-lt"/>
              <a:ea typeface="+mn-ea"/>
              <a:cs typeface="+mn-cs"/>
              <a:sym typeface="Calibri"/>
            </a:rPr>
            <a:t>This is v1 of the Interim</a:t>
          </a:r>
          <a:r>
            <a:rPr lang="en-US" sz="1100" baseline="0">
              <a:solidFill>
                <a:schemeClr val="lt2"/>
              </a:solidFill>
              <a:latin typeface="+mn-lt"/>
              <a:ea typeface="+mn-ea"/>
              <a:cs typeface="+mn-cs"/>
              <a:sym typeface="Calibri"/>
            </a:rPr>
            <a:t> Waste </a:t>
          </a:r>
          <a:r>
            <a:rPr lang="en-US" sz="1100">
              <a:solidFill>
                <a:schemeClr val="lt2"/>
              </a:solidFill>
              <a:latin typeface="+mn-lt"/>
              <a:ea typeface="+mn-ea"/>
              <a:cs typeface="+mn-cs"/>
              <a:sym typeface="Calibri"/>
            </a:rPr>
            <a:t>Model produced by the International Foundation for Valuing Impacts (IFVI) and last updated on 10/15/2024. Please consult the Interim</a:t>
          </a:r>
          <a:r>
            <a:rPr lang="en-US" sz="1100" baseline="0">
              <a:solidFill>
                <a:schemeClr val="lt2"/>
              </a:solidFill>
              <a:latin typeface="+mn-lt"/>
              <a:ea typeface="+mn-ea"/>
              <a:cs typeface="+mn-cs"/>
              <a:sym typeface="Calibri"/>
            </a:rPr>
            <a:t> Waste </a:t>
          </a:r>
          <a:r>
            <a:rPr lang="en-US" sz="1100">
              <a:solidFill>
                <a:schemeClr val="lt2"/>
              </a:solidFill>
              <a:latin typeface="+mn-lt"/>
              <a:ea typeface="+mn-ea"/>
              <a:cs typeface="+mn-cs"/>
              <a:sym typeface="Calibri"/>
            </a:rPr>
            <a:t>Methodology</a:t>
          </a:r>
          <a:r>
            <a:rPr lang="en-US" sz="1100" baseline="0">
              <a:solidFill>
                <a:schemeClr val="lt2"/>
              </a:solidFill>
              <a:latin typeface="+mn-lt"/>
              <a:ea typeface="+mn-ea"/>
              <a:cs typeface="+mn-cs"/>
              <a:sym typeface="Calibri"/>
            </a:rPr>
            <a:t> </a:t>
          </a:r>
          <a:r>
            <a:rPr lang="en-US" sz="1100">
              <a:solidFill>
                <a:schemeClr val="lt2"/>
              </a:solidFill>
              <a:latin typeface="+mn-lt"/>
              <a:ea typeface="+mn-ea"/>
              <a:cs typeface="+mn-cs"/>
              <a:sym typeface="Calibri"/>
            </a:rPr>
            <a:t>for futher information on the methodology and the Interim Waste Model Technical Manual for guidance on how to use this model.</a:t>
          </a:r>
          <a:r>
            <a:rPr lang="en-US" sz="1100" baseline="0">
              <a:solidFill>
                <a:schemeClr val="lt2"/>
              </a:solidFill>
              <a:latin typeface="+mn-lt"/>
              <a:ea typeface="+mn-ea"/>
              <a:cs typeface="+mn-cs"/>
              <a:sym typeface="Calibri"/>
            </a:rPr>
            <a:t> </a:t>
          </a:r>
        </a:p>
        <a:p>
          <a:pPr marL="0" lvl="0" indent="0" algn="l" rtl="0">
            <a:spcBef>
              <a:spcPts val="600"/>
            </a:spcBef>
            <a:spcAft>
              <a:spcPts val="0"/>
            </a:spcAft>
            <a:buNone/>
          </a:pPr>
          <a:r>
            <a:rPr lang="en-US" sz="1100">
              <a:solidFill>
                <a:schemeClr val="lt2"/>
              </a:solidFill>
              <a:latin typeface="+mn-lt"/>
              <a:ea typeface="+mn-ea"/>
              <a:cs typeface="+mn-cs"/>
              <a:sym typeface="Calibri"/>
            </a:rPr>
            <a:t>This model is designed for those interested in better understanding the technical calculations of the value factors presented in the Global</a:t>
          </a:r>
          <a:r>
            <a:rPr lang="en-US" sz="1100" baseline="0">
              <a:solidFill>
                <a:schemeClr val="lt2"/>
              </a:solidFill>
              <a:latin typeface="+mn-lt"/>
              <a:ea typeface="+mn-ea"/>
              <a:cs typeface="+mn-cs"/>
              <a:sym typeface="Calibri"/>
            </a:rPr>
            <a:t> Value Factors Database (GVFD). The value factors presented in this model are the same as those presented in the GVFD, but are presented here for detailed analysis and expansion</a:t>
          </a:r>
          <a:r>
            <a:rPr lang="en-US" sz="1100">
              <a:solidFill>
                <a:schemeClr val="lt2"/>
              </a:solidFill>
              <a:latin typeface="+mn-lt"/>
              <a:ea typeface="+mn-ea"/>
              <a:cs typeface="+mn-cs"/>
              <a:sym typeface="Calibri"/>
            </a:rPr>
            <a:t>. For routine</a:t>
          </a:r>
          <a:r>
            <a:rPr lang="en-US" sz="1100" baseline="0">
              <a:solidFill>
                <a:schemeClr val="lt2"/>
              </a:solidFill>
              <a:latin typeface="+mn-lt"/>
              <a:ea typeface="+mn-ea"/>
              <a:cs typeface="+mn-cs"/>
              <a:sym typeface="Calibri"/>
            </a:rPr>
            <a:t> </a:t>
          </a:r>
          <a:r>
            <a:rPr lang="en-US" sz="1100">
              <a:solidFill>
                <a:schemeClr val="lt2"/>
              </a:solidFill>
              <a:latin typeface="+mn-lt"/>
              <a:ea typeface="+mn-ea"/>
              <a:cs typeface="+mn-cs"/>
              <a:sym typeface="Calibri"/>
            </a:rPr>
            <a:t>implementation, it is recommended that users focus on the GVFD and the Methodology</a:t>
          </a:r>
          <a:r>
            <a:rPr lang="en-US" sz="1100" baseline="0">
              <a:solidFill>
                <a:schemeClr val="lt2"/>
              </a:solidFill>
              <a:latin typeface="+mn-lt"/>
              <a:ea typeface="+mn-ea"/>
              <a:cs typeface="+mn-cs"/>
              <a:sym typeface="Calibri"/>
            </a:rPr>
            <a:t> documents. Each sheet has some references to the input data or approaches used. For a full list of sources and references see the Interim Waste Methodology.</a:t>
          </a:r>
          <a:endParaRPr lang="en-US" sz="1100">
            <a:solidFill>
              <a:schemeClr val="lt2"/>
            </a:solidFill>
            <a:latin typeface="+mn-lt"/>
            <a:ea typeface="+mn-ea"/>
            <a:cs typeface="+mn-cs"/>
            <a:sym typeface="Calibri"/>
          </a:endParaRPr>
        </a:p>
        <a:p>
          <a:pPr marL="0" marR="0" lvl="0" indent="0" algn="l" defTabSz="914400" rtl="0" eaLnBrk="1" fontAlgn="auto" latinLnBrk="0" hangingPunct="1">
            <a:lnSpc>
              <a:spcPct val="100000"/>
            </a:lnSpc>
            <a:spcBef>
              <a:spcPts val="600"/>
            </a:spcBef>
            <a:spcAft>
              <a:spcPts val="0"/>
            </a:spcAft>
            <a:buClrTx/>
            <a:buSzTx/>
            <a:buFontTx/>
            <a:buNone/>
            <a:tabLst/>
            <a:defRPr/>
          </a:pPr>
          <a:r>
            <a:rPr lang="en-US" sz="1100" baseline="0">
              <a:solidFill>
                <a:schemeClr val="lt2"/>
              </a:solidFill>
              <a:latin typeface="+mn-lt"/>
              <a:ea typeface="+mn-ea"/>
              <a:cs typeface="+mn-cs"/>
              <a:sym typeface="Calibri"/>
            </a:rPr>
            <a:t>IFVI encourages collaboration and feedback on this model. If there are any questions about use or modification of these models please contact us at research@ifvi.org</a:t>
          </a:r>
          <a:r>
            <a:rPr lang="en-US" sz="1100" baseline="0">
              <a:solidFill>
                <a:schemeClr val="bg1"/>
              </a:solidFill>
              <a:latin typeface="+mn-lt"/>
              <a:ea typeface="+mn-ea"/>
              <a:cs typeface="+mn-cs"/>
              <a:sym typeface="Calibri"/>
            </a:rPr>
            <a:t>. Any modifications to these models may produce value factors distinct from those produced by IFVI and should not be considered endorsed or approved by or a representation of the IFVI methodology.</a:t>
          </a:r>
          <a:endParaRPr lang="en-US" sz="1100">
            <a:solidFill>
              <a:schemeClr val="bg1"/>
            </a:solidFill>
            <a:latin typeface="+mn-lt"/>
            <a:ea typeface="+mn-ea"/>
            <a:cs typeface="+mn-cs"/>
            <a:sym typeface="Calibri"/>
          </a:endParaRPr>
        </a:p>
        <a:p>
          <a:pPr marL="0" lvl="0" indent="0" algn="l" rtl="0">
            <a:spcBef>
              <a:spcPts val="0"/>
            </a:spcBef>
            <a:spcAft>
              <a:spcPts val="0"/>
            </a:spcAft>
            <a:buNone/>
          </a:pPr>
          <a:endParaRPr sz="1100">
            <a:solidFill>
              <a:schemeClr val="lt2"/>
            </a:solidFill>
          </a:endParaRPr>
        </a:p>
      </xdr:txBody>
    </xdr:sp>
    <xdr:clientData fLocksWithSheet="0"/>
  </xdr:oneCellAnchor>
  <xdr:twoCellAnchor>
    <xdr:from>
      <xdr:col>12</xdr:col>
      <xdr:colOff>625110</xdr:colOff>
      <xdr:row>4</xdr:row>
      <xdr:rowOff>31421</xdr:rowOff>
    </xdr:from>
    <xdr:to>
      <xdr:col>20</xdr:col>
      <xdr:colOff>353159</xdr:colOff>
      <xdr:row>19</xdr:row>
      <xdr:rowOff>178577</xdr:rowOff>
    </xdr:to>
    <xdr:grpSp>
      <xdr:nvGrpSpPr>
        <xdr:cNvPr id="3" name="Group 2">
          <a:extLst>
            <a:ext uri="{FF2B5EF4-FFF2-40B4-BE49-F238E27FC236}">
              <a16:creationId xmlns:a16="http://schemas.microsoft.com/office/drawing/2014/main" id="{565724C8-2966-6F4F-B070-F23CA8288361}"/>
            </a:ext>
          </a:extLst>
        </xdr:cNvPr>
        <xdr:cNvGrpSpPr/>
      </xdr:nvGrpSpPr>
      <xdr:grpSpPr>
        <a:xfrm>
          <a:off x="12190216" y="828549"/>
          <a:ext cx="5213369" cy="2849283"/>
          <a:chOff x="11718635" y="634998"/>
          <a:chExt cx="4964546" cy="2655456"/>
        </a:xfrm>
      </xdr:grpSpPr>
      <xdr:sp macro="" textlink="">
        <xdr:nvSpPr>
          <xdr:cNvPr id="4" name="Shape 6">
            <a:extLst>
              <a:ext uri="{FF2B5EF4-FFF2-40B4-BE49-F238E27FC236}">
                <a16:creationId xmlns:a16="http://schemas.microsoft.com/office/drawing/2014/main" id="{A0ECD18E-AADA-9076-F94F-72E725D766DF}"/>
              </a:ext>
            </a:extLst>
          </xdr:cNvPr>
          <xdr:cNvSpPr txBox="1"/>
        </xdr:nvSpPr>
        <xdr:spPr>
          <a:xfrm>
            <a:off x="13201160" y="1445747"/>
            <a:ext cx="1552221" cy="404519"/>
          </a:xfrm>
          <a:prstGeom prst="rect">
            <a:avLst/>
          </a:prstGeom>
          <a:solidFill>
            <a:schemeClr val="accent6"/>
          </a:solidFill>
          <a:ln>
            <a:solidFill>
              <a:schemeClr val="tx1"/>
            </a:solid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800">
                <a:solidFill>
                  <a:schemeClr val="lt2"/>
                </a:solidFill>
                <a:latin typeface="+mj-lt"/>
                <a:ea typeface="Calibri"/>
                <a:cs typeface="Calibri"/>
                <a:sym typeface="Calibri"/>
              </a:rPr>
              <a:t>2. Calculations</a:t>
            </a:r>
            <a:endParaRPr sz="1800">
              <a:latin typeface="+mj-lt"/>
            </a:endParaRPr>
          </a:p>
          <a:p>
            <a:pPr marL="0" lvl="0" indent="0" algn="l" rtl="0">
              <a:spcBef>
                <a:spcPts val="0"/>
              </a:spcBef>
              <a:spcAft>
                <a:spcPts val="0"/>
              </a:spcAft>
              <a:buNone/>
            </a:pPr>
            <a:endParaRPr sz="1100">
              <a:solidFill>
                <a:schemeClr val="lt2"/>
              </a:solidFill>
            </a:endParaRPr>
          </a:p>
        </xdr:txBody>
      </xdr:sp>
      <xdr:sp macro="" textlink="">
        <xdr:nvSpPr>
          <xdr:cNvPr id="5" name="Shape 6">
            <a:extLst>
              <a:ext uri="{FF2B5EF4-FFF2-40B4-BE49-F238E27FC236}">
                <a16:creationId xmlns:a16="http://schemas.microsoft.com/office/drawing/2014/main" id="{A81BAC12-FEF5-0AD0-B1ED-BDF89E0326D5}"/>
              </a:ext>
            </a:extLst>
          </xdr:cNvPr>
          <xdr:cNvSpPr txBox="1"/>
        </xdr:nvSpPr>
        <xdr:spPr>
          <a:xfrm>
            <a:off x="11824257" y="732326"/>
            <a:ext cx="1411109" cy="415806"/>
          </a:xfrm>
          <a:prstGeom prst="rect">
            <a:avLst/>
          </a:prstGeom>
          <a:solidFill>
            <a:schemeClr val="accent3">
              <a:lumMod val="40000"/>
              <a:lumOff val="60000"/>
            </a:schemeClr>
          </a:solidFill>
          <a:ln>
            <a:solidFill>
              <a:schemeClr val="tx1"/>
            </a:solid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800">
                <a:solidFill>
                  <a:schemeClr val="lt2"/>
                </a:solidFill>
                <a:latin typeface="Calibri"/>
                <a:ea typeface="Calibri"/>
                <a:cs typeface="Calibri"/>
                <a:sym typeface="Calibri"/>
              </a:rPr>
              <a:t>1. Input Data</a:t>
            </a:r>
            <a:endParaRPr sz="1800"/>
          </a:p>
        </xdr:txBody>
      </xdr:sp>
      <xdr:sp macro="" textlink="">
        <xdr:nvSpPr>
          <xdr:cNvPr id="9" name="Shape 6">
            <a:extLst>
              <a:ext uri="{FF2B5EF4-FFF2-40B4-BE49-F238E27FC236}">
                <a16:creationId xmlns:a16="http://schemas.microsoft.com/office/drawing/2014/main" id="{A4AFEBB3-85C9-93FE-CFA7-E36F67D610B0}"/>
              </a:ext>
            </a:extLst>
          </xdr:cNvPr>
          <xdr:cNvSpPr txBox="1"/>
        </xdr:nvSpPr>
        <xdr:spPr>
          <a:xfrm>
            <a:off x="14871787" y="2083912"/>
            <a:ext cx="1682043" cy="404519"/>
          </a:xfrm>
          <a:prstGeom prst="rect">
            <a:avLst/>
          </a:prstGeom>
          <a:solidFill>
            <a:srgbClr val="8AA9E8"/>
          </a:solidFill>
          <a:ln>
            <a:solidFill>
              <a:schemeClr val="tx1"/>
            </a:solid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800">
                <a:solidFill>
                  <a:schemeClr val="lt2"/>
                </a:solidFill>
                <a:latin typeface="+mj-lt"/>
                <a:ea typeface="Calibri"/>
                <a:cs typeface="Calibri"/>
                <a:sym typeface="Calibri"/>
              </a:rPr>
              <a:t>3. Value Factors</a:t>
            </a:r>
            <a:endParaRPr sz="1800">
              <a:latin typeface="+mj-lt"/>
            </a:endParaRPr>
          </a:p>
          <a:p>
            <a:pPr marL="0" lvl="0" indent="0" algn="l" rtl="0">
              <a:spcBef>
                <a:spcPts val="0"/>
              </a:spcBef>
              <a:spcAft>
                <a:spcPts val="0"/>
              </a:spcAft>
              <a:buNone/>
            </a:pPr>
            <a:endParaRPr sz="1100">
              <a:solidFill>
                <a:schemeClr val="lt2"/>
              </a:solidFill>
            </a:endParaRPr>
          </a:p>
        </xdr:txBody>
      </xdr:sp>
      <xdr:cxnSp macro="">
        <xdr:nvCxnSpPr>
          <xdr:cNvPr id="10" name="Elbow Connector 9">
            <a:extLst>
              <a:ext uri="{FF2B5EF4-FFF2-40B4-BE49-F238E27FC236}">
                <a16:creationId xmlns:a16="http://schemas.microsoft.com/office/drawing/2014/main" id="{125768ED-1C51-3650-7E77-AAFFC7185738}"/>
              </a:ext>
            </a:extLst>
          </xdr:cNvPr>
          <xdr:cNvCxnSpPr>
            <a:stCxn id="5" idx="3"/>
          </xdr:cNvCxnSpPr>
        </xdr:nvCxnSpPr>
        <xdr:spPr>
          <a:xfrm>
            <a:off x="13219973" y="934670"/>
            <a:ext cx="761147" cy="511077"/>
          </a:xfrm>
          <a:prstGeom prst="bentConnector2">
            <a:avLst/>
          </a:prstGeom>
          <a:ln w="857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Elbow Connector 10">
            <a:extLst>
              <a:ext uri="{FF2B5EF4-FFF2-40B4-BE49-F238E27FC236}">
                <a16:creationId xmlns:a16="http://schemas.microsoft.com/office/drawing/2014/main" id="{0B6E51C6-933D-885D-7309-2D5F11C509C4}"/>
              </a:ext>
            </a:extLst>
          </xdr:cNvPr>
          <xdr:cNvCxnSpPr>
            <a:stCxn id="4" idx="3"/>
            <a:endCxn id="9" idx="0"/>
          </xdr:cNvCxnSpPr>
        </xdr:nvCxnSpPr>
        <xdr:spPr>
          <a:xfrm>
            <a:off x="14747607" y="1642448"/>
            <a:ext cx="1128336" cy="441464"/>
          </a:xfrm>
          <a:prstGeom prst="bentConnector2">
            <a:avLst/>
          </a:prstGeom>
          <a:ln w="857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Shape 6">
            <a:extLst>
              <a:ext uri="{FF2B5EF4-FFF2-40B4-BE49-F238E27FC236}">
                <a16:creationId xmlns:a16="http://schemas.microsoft.com/office/drawing/2014/main" id="{168E4889-C3DB-458F-E24F-7FC9459DE87B}"/>
              </a:ext>
            </a:extLst>
          </xdr:cNvPr>
          <xdr:cNvSpPr txBox="1"/>
        </xdr:nvSpPr>
        <xdr:spPr>
          <a:xfrm>
            <a:off x="11718635" y="634998"/>
            <a:ext cx="4964546" cy="2655456"/>
          </a:xfrm>
          <a:prstGeom prst="rect">
            <a:avLst/>
          </a:prstGeom>
          <a:noFill/>
          <a:ln w="22225">
            <a:solidFill>
              <a:schemeClr val="accent1">
                <a:lumMod val="50000"/>
              </a:schemeClr>
            </a:solidFill>
          </a:ln>
        </xdr:spPr>
        <xdr:txBody>
          <a:bodyPr spcFirstLastPara="1" wrap="square" lIns="91425" tIns="45700" rIns="91425" bIns="45700" anchor="b" anchorCtr="0">
            <a:noAutofit/>
          </a:bodyPr>
          <a:lstStyle/>
          <a:p>
            <a:pPr marL="0" lvl="0" indent="0" algn="l" rtl="0">
              <a:spcBef>
                <a:spcPts val="0"/>
              </a:spcBef>
              <a:spcAft>
                <a:spcPts val="0"/>
              </a:spcAft>
              <a:buNone/>
            </a:pPr>
            <a:r>
              <a:rPr lang="en-US" sz="1300">
                <a:solidFill>
                  <a:sysClr val="windowText" lastClr="000000"/>
                </a:solidFill>
                <a:latin typeface="Calibri"/>
                <a:ea typeface="Calibri"/>
                <a:cs typeface="Calibri"/>
                <a:sym typeface="Calibri"/>
              </a:rPr>
              <a:t>Flow diagram of the major components of the waste</a:t>
            </a:r>
            <a:r>
              <a:rPr lang="en-US" sz="1300" baseline="0">
                <a:solidFill>
                  <a:sysClr val="windowText" lastClr="000000"/>
                </a:solidFill>
                <a:latin typeface="Calibri"/>
                <a:ea typeface="Calibri"/>
                <a:cs typeface="Calibri"/>
                <a:sym typeface="Calibri"/>
              </a:rPr>
              <a:t> model. </a:t>
            </a:r>
            <a:r>
              <a:rPr lang="en-US" sz="1300" baseline="0">
                <a:solidFill>
                  <a:sysClr val="windowText" lastClr="000000"/>
                </a:solidFill>
                <a:latin typeface="+mn-lt"/>
                <a:ea typeface="+mn-ea"/>
                <a:cs typeface="+mn-cs"/>
                <a:sym typeface="Calibri"/>
              </a:rPr>
              <a:t>The </a:t>
            </a:r>
            <a:r>
              <a:rPr lang="en-US" sz="1300" baseline="0">
                <a:solidFill>
                  <a:sysClr val="windowText" lastClr="000000"/>
                </a:solidFill>
                <a:latin typeface="Calibri"/>
                <a:ea typeface="Calibri"/>
                <a:cs typeface="Calibri"/>
                <a:sym typeface="Calibri"/>
              </a:rPr>
              <a:t>(1) input data feeds into the (2) calculations which produce (3) value factors.</a:t>
            </a:r>
            <a:endParaRPr lang="en-US" sz="1300">
              <a:solidFill>
                <a:sysClr val="windowText" lastClr="000000"/>
              </a:solidFill>
              <a:latin typeface="Calibri"/>
              <a:ea typeface="Calibri"/>
              <a:cs typeface="Calibri"/>
              <a:sym typeface="Calibri"/>
            </a:endParaRPr>
          </a:p>
        </xdr:txBody>
      </xdr:sp>
    </xdr:grpSp>
    <xdr:clientData/>
  </xdr:twoCellAnchor>
  <xdr:twoCellAnchor editAs="oneCell">
    <xdr:from>
      <xdr:col>1</xdr:col>
      <xdr:colOff>472872</xdr:colOff>
      <xdr:row>47</xdr:row>
      <xdr:rowOff>135105</xdr:rowOff>
    </xdr:from>
    <xdr:to>
      <xdr:col>11</xdr:col>
      <xdr:colOff>2053617</xdr:colOff>
      <xdr:row>79</xdr:row>
      <xdr:rowOff>49480</xdr:rowOff>
    </xdr:to>
    <xdr:pic>
      <xdr:nvPicPr>
        <xdr:cNvPr id="2" name="Picture 1">
          <a:extLst>
            <a:ext uri="{FF2B5EF4-FFF2-40B4-BE49-F238E27FC236}">
              <a16:creationId xmlns:a16="http://schemas.microsoft.com/office/drawing/2014/main" id="{AD6DA87B-2BCC-1A09-0D70-0F8BAE8F6BA1}"/>
            </a:ext>
          </a:extLst>
        </xdr:cNvPr>
        <xdr:cNvPicPr>
          <a:picLocks noChangeAspect="1"/>
        </xdr:cNvPicPr>
      </xdr:nvPicPr>
      <xdr:blipFill>
        <a:blip xmlns:r="http://schemas.openxmlformats.org/officeDocument/2006/relationships" r:embed="rId1"/>
        <a:stretch>
          <a:fillRect/>
        </a:stretch>
      </xdr:blipFill>
      <xdr:spPr>
        <a:xfrm>
          <a:off x="1148404" y="9862765"/>
          <a:ext cx="10078936" cy="5534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457367</xdr:colOff>
      <xdr:row>19</xdr:row>
      <xdr:rowOff>125329</xdr:rowOff>
    </xdr:from>
    <xdr:to>
      <xdr:col>4</xdr:col>
      <xdr:colOff>313833</xdr:colOff>
      <xdr:row>39</xdr:row>
      <xdr:rowOff>103438</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1071479" y="3496678"/>
          <a:ext cx="4632934" cy="3549984"/>
        </a:xfrm>
        <a:prstGeom prst="rect">
          <a:avLst/>
        </a:prstGeom>
      </xdr:spPr>
    </xdr:pic>
    <xdr:clientData/>
  </xdr:twoCellAnchor>
  <xdr:oneCellAnchor>
    <xdr:from>
      <xdr:col>19</xdr:col>
      <xdr:colOff>592222</xdr:colOff>
      <xdr:row>7</xdr:row>
      <xdr:rowOff>134854</xdr:rowOff>
    </xdr:from>
    <xdr:ext cx="4132679" cy="1219565"/>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17235906" y="1400676"/>
          <a:ext cx="4132679" cy="1219565"/>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200" i="1"/>
            <a:t>In economic terms, the FAT-PET-PEESE range of estimates translates into an average increase of 1.5% to 2.9% in property values per mile of increased distance from a waste site for a house located one mile away from the waste site. For a house located 4.29 miles away from the waste site (the mean distance in this sample), the increase in value is 0.35% to 0.68%. (p.400)</a:t>
          </a:r>
        </a:p>
      </xdr:txBody>
    </xdr:sp>
    <xdr:clientData/>
  </xdr:oneCellAnchor>
  <xdr:twoCellAnchor>
    <xdr:from>
      <xdr:col>18</xdr:col>
      <xdr:colOff>201779</xdr:colOff>
      <xdr:row>17</xdr:row>
      <xdr:rowOff>113631</xdr:rowOff>
    </xdr:from>
    <xdr:to>
      <xdr:col>29</xdr:col>
      <xdr:colOff>275723</xdr:colOff>
      <xdr:row>38</xdr:row>
      <xdr:rowOff>50132</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368300</xdr:colOff>
          <xdr:row>2</xdr:row>
          <xdr:rowOff>38100</xdr:rowOff>
        </xdr:from>
        <xdr:to>
          <xdr:col>10</xdr:col>
          <xdr:colOff>368300</xdr:colOff>
          <xdr:row>5</xdr:row>
          <xdr:rowOff>152400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12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Update coefficients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DFB548-7484-4073-815F-F155EC62CE78}" name="Waste_Assumptions_Sheet__4" displayName="Waste_Assumptions_Sheet__4" ref="B1:I1012" totalsRowShown="0" headerRowDxfId="3">
  <autoFilter ref="B1:I1012" xr:uid="{69DFB548-7484-4073-815F-F155EC62CE7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BBCC967F-A65F-44F8-94E2-C23F9ED617A7}" name="Column1"/>
    <tableColumn id="2" xr3:uid="{481126EA-DAE8-4155-BB6D-14C180A4776B}" name="Column2"/>
    <tableColumn id="3" xr3:uid="{6EFD3FD3-56FF-4D7A-8331-FB4D034A7EB3}" name="Column3"/>
    <tableColumn id="4" xr3:uid="{EC6F1828-66F9-4595-BD7A-6440C7A1C984}" name="Column4"/>
    <tableColumn id="5" xr3:uid="{689B1AD5-65D6-41A2-AB9C-C06571F93A85}" name="Column5"/>
    <tableColumn id="6" xr3:uid="{D7C411BB-D6F7-45A6-B61B-C2317CE94C45}" name="Column6"/>
    <tableColumn id="7" xr3:uid="{74D7DB25-C604-4F36-98E3-3EB725251CC1}" name="Column7"/>
    <tableColumn id="8" xr3:uid="{04A5025A-C75D-418A-ABF8-A9C98EB4C511}" name="Column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6A926D-CF3D-495B-9C97-BCDBBC0B9CF5}" name="Waste_Data_Sheet__3" displayName="Waste_Data_Sheet__3" ref="B1:AM1001" totalsRowShown="0" headerRowDxfId="2">
  <autoFilter ref="B1:AM1001" xr:uid="{836A926D-CF3D-495B-9C97-BCDBBC0B9CF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autoFilter>
  <tableColumns count="38">
    <tableColumn id="1" xr3:uid="{EC94C9BA-079B-48F4-B55A-55E60D537EE9}" name="Column1"/>
    <tableColumn id="2" xr3:uid="{D27E767F-1600-421F-B264-DB96D925B244}" name="Column2"/>
    <tableColumn id="3" xr3:uid="{C124F438-1B5B-4C73-ACD8-AE5559CE9817}" name="Column3"/>
    <tableColumn id="4" xr3:uid="{EE08DA9F-9F2F-4891-A48F-2ACC40D86646}" name="Column4"/>
    <tableColumn id="5" xr3:uid="{EA3BBC36-38F8-44F2-99DD-1373F696DC8B}" name="Column5"/>
    <tableColumn id="6" xr3:uid="{4514F9B7-9E9B-4252-A92C-2172E7494B51}" name="Column6"/>
    <tableColumn id="7" xr3:uid="{A6E4F7AF-2F7A-4E3D-BF45-62E2B05D2A4C}" name="Column7"/>
    <tableColumn id="8" xr3:uid="{83249C27-E42D-4455-9320-FDC0EA3C020C}" name="Column8"/>
    <tableColumn id="9" xr3:uid="{84159790-82F0-49F9-80C2-01A94CACFEE7}" name="Column9"/>
    <tableColumn id="10" xr3:uid="{2F3342B2-D7B8-414E-BDB6-A806E5D8C886}" name="Column10"/>
    <tableColumn id="11" xr3:uid="{664A1AC7-EBD3-4A8D-A0BD-20FC1F810A86}" name="Column11"/>
    <tableColumn id="12" xr3:uid="{8837B707-6F0D-4C80-85D2-6493D1BB1296}" name="Column12"/>
    <tableColumn id="13" xr3:uid="{2D882E6C-D258-4C5B-8F1D-3332857CBF6F}" name="Column13"/>
    <tableColumn id="14" xr3:uid="{EE3098C1-9A9C-4919-BA49-1B504C647848}" name="Column14"/>
    <tableColumn id="15" xr3:uid="{FF752071-D9A4-4A0C-9756-75299A52EE82}" name="Column15"/>
    <tableColumn id="16" xr3:uid="{AC7F51E2-2759-436B-8F43-7DD49CA15F7A}" name="Column16"/>
    <tableColumn id="17" xr3:uid="{ABEB88ED-051A-4AC7-A8C8-658515875298}" name="Column17"/>
    <tableColumn id="18" xr3:uid="{E7000EB6-EBE2-4213-A715-E60C1E43BDD2}" name="Column18"/>
    <tableColumn id="19" xr3:uid="{948031DD-C0A7-40EF-AED3-903BEEBCAEDE}" name="Column19"/>
    <tableColumn id="20" xr3:uid="{E1494FC6-BECE-4BB0-9CA2-CCB672D51147}" name="Column20"/>
    <tableColumn id="21" xr3:uid="{5A66A70A-AB25-4055-BBDC-83DFA8D91318}" name="Column21"/>
    <tableColumn id="22" xr3:uid="{2DA7459D-86DC-4443-89A8-84B5F6CA0B00}" name="Column22"/>
    <tableColumn id="23" xr3:uid="{20B29FA6-AD43-4FB5-ADCD-86B2FD7B7DB0}" name="Column23"/>
    <tableColumn id="24" xr3:uid="{6F3AAE8C-B637-44AD-87A6-062FEF0465F1}" name="Column24"/>
    <tableColumn id="25" xr3:uid="{8BE5B6E4-14BC-4C56-BDDF-5667DB49F739}" name="Column25"/>
    <tableColumn id="26" xr3:uid="{3D026335-ED4A-46AD-B435-9987EA59876E}" name="Column26"/>
    <tableColumn id="27" xr3:uid="{F3CDA060-0DCB-43DA-8878-5D581176D214}" name="Column27"/>
    <tableColumn id="28" xr3:uid="{E9E5EE86-3BAD-4117-879F-E00BEF09BBEC}" name="Column28"/>
    <tableColumn id="29" xr3:uid="{353D0D61-31E6-4D12-8F26-DCA0F2EEE696}" name="Column29"/>
    <tableColumn id="30" xr3:uid="{801BC82E-06F8-424A-8497-4386398AAC33}" name="Column30"/>
    <tableColumn id="31" xr3:uid="{8DFB12B4-95A3-4AB5-81E9-8C1E4B965A2B}" name="Column31"/>
    <tableColumn id="32" xr3:uid="{51F2DEC4-CB44-40A8-8404-2E6337351317}" name="Column32"/>
    <tableColumn id="33" xr3:uid="{AC387BE3-7B1A-4441-8941-AD27812F374D}" name="Column33"/>
    <tableColumn id="34" xr3:uid="{8BA28046-9FD4-4D85-B6DC-E6EC701EF0BC}" name="Column34"/>
    <tableColumn id="35" xr3:uid="{E0E6D744-E5AB-48EC-8D16-683A922BE498}" name="Column35"/>
    <tableColumn id="36" xr3:uid="{4F24C99F-FA5F-4C7F-AA6E-ED0BB64978C1}" name="Column36"/>
    <tableColumn id="37" xr3:uid="{02ED4BD1-8022-4602-A9C6-80FBD4E0072E}" name="Column37"/>
    <tableColumn id="38" xr3:uid="{6537E960-2283-46A3-BD7C-25219E0C2B86}" name="Column38"/>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2AEAD1B-24A2-45C8-BA24-67C00C046C1A}" name="Waste_HARAs_ERQ" displayName="Waste_HARAs_ERQ" ref="A1:M40" totalsRowShown="0" headerRowDxfId="1">
  <autoFilter ref="A1:M40" xr:uid="{02AEAD1B-24A2-45C8-BA24-67C00C046C1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CA5150F7-0FE7-4AED-93AE-E3FDD91A160A}" name="Column1"/>
    <tableColumn id="2" xr3:uid="{8C1CA4F5-AE01-4114-AB66-D242E657F649}" name="Column2"/>
    <tableColumn id="3" xr3:uid="{7B73E1C3-AC39-4EFD-98B4-4ECBE66E9996}" name="Column3"/>
    <tableColumn id="4" xr3:uid="{25D1DEAC-C4D0-4F49-91B0-EEF6E528CE63}" name="Column4"/>
    <tableColumn id="5" xr3:uid="{EAA21EB0-9B25-4312-BFF1-9B009A60DCCA}" name="Column5"/>
    <tableColumn id="6" xr3:uid="{6E931CC7-6902-4FEE-9920-63C970FA9489}" name="Column6"/>
    <tableColumn id="7" xr3:uid="{450EEA65-3F8C-4723-B8DC-5FE2460CA3BA}" name="Column7"/>
    <tableColumn id="8" xr3:uid="{7E620B01-B699-44EF-B938-97F1D049FC62}" name="Column8"/>
    <tableColumn id="9" xr3:uid="{E38B12B9-5A57-44F4-B3D2-DEB05FD75FDB}" name="Column9"/>
    <tableColumn id="10" xr3:uid="{6D6438DF-AB70-4F62-B3EA-5F2FDF459C18}" name="Column10"/>
    <tableColumn id="11" xr3:uid="{21A82A8D-008B-40F7-972B-16E940B0EC3D}" name="Column11"/>
    <tableColumn id="12" xr3:uid="{86DBB567-5C5E-4AAD-9029-0A7A0C2FF89B}" name="Column12"/>
    <tableColumn id="13" xr3:uid="{91F1B800-C0AD-477D-8CE2-1FF3396D85A0}" name="Column13"/>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50BE67-1EEC-4684-A280-81698534AE68}" name="Waste_MGR" displayName="Waste_MGR" ref="A1:I18" totalsRowShown="0" headerRowDxfId="0">
  <tableColumns count="9">
    <tableColumn id="1" xr3:uid="{CD43EDA2-66CA-4ADA-B3A0-7EC79B2D91A0}" name="Column1"/>
    <tableColumn id="2" xr3:uid="{9FFB9778-EBCB-4D87-9EE1-742EEC2545D2}" name="Column2"/>
    <tableColumn id="3" xr3:uid="{05351CAA-386F-4EDB-B761-D92AA2C811D5}" name="Column3"/>
    <tableColumn id="4" xr3:uid="{8513BD54-11F2-42BA-948D-654FF34751ED}" name="Column4"/>
    <tableColumn id="5" xr3:uid="{3CF86058-BC00-4751-A323-A38C3BEE4A49}" name="Column5"/>
    <tableColumn id="6" xr3:uid="{69D826B3-F0E3-4B40-AEC2-31C242AD3C42}" name="Column6"/>
    <tableColumn id="7" xr3:uid="{CC04F40D-8325-4973-B2CA-B3D228F1051D}" name="Column7"/>
    <tableColumn id="8" xr3:uid="{CD8A4930-959B-4DAF-8D88-CC378FE11B97}" name="Column8"/>
    <tableColumn id="9" xr3:uid="{E63A3962-8BFD-4003-973E-AA0E34A67F14}" name="Column9"/>
  </tableColumns>
  <tableStyleInfo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C1203E"/>
      </a:accent1>
      <a:accent2>
        <a:srgbClr val="7DABA0"/>
      </a:accent2>
      <a:accent3>
        <a:srgbClr val="ED4C43"/>
      </a:accent3>
      <a:accent4>
        <a:srgbClr val="B0CCC5"/>
      </a:accent4>
      <a:accent5>
        <a:srgbClr val="6F0E1C"/>
      </a:accent5>
      <a:accent6>
        <a:srgbClr val="57877A"/>
      </a:accent6>
      <a:hlink>
        <a:srgbClr val="C1203E"/>
      </a:hlink>
      <a:folHlink>
        <a:srgbClr val="C1203E"/>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ifvi.org/wp-content/uploads/2024/09/Content-Terms_Sept-2024.pdf" TargetMode="External"/><Relationship Id="rId1" Type="http://schemas.openxmlformats.org/officeDocument/2006/relationships/hyperlink" Target="https://ifvi.org/wp-content/uploads/2024/10/IFVI_Environmental-Methodology_Interim-Waste-Topic-Methodology.pdf" TargetMode="External"/><Relationship Id="rId4"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oecd.org/en/data/indicators/inflation-forecast.html" TargetMode="External"/><Relationship Id="rId1" Type="http://schemas.openxmlformats.org/officeDocument/2006/relationships/hyperlink" Target="https://www.oecd.org/en/data/indicators/inflation-cpi.html"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hyperlink" Target="https://databank.worldbank.org/home" TargetMode="External"/><Relationship Id="rId2" Type="http://schemas.openxmlformats.org/officeDocument/2006/relationships/hyperlink" Target="https://databank.worldbank.org/home" TargetMode="External"/><Relationship Id="rId1" Type="http://schemas.openxmlformats.org/officeDocument/2006/relationships/hyperlink" Target="https://databank.worldbank.org/home" TargetMode="External"/><Relationship Id="rId6" Type="http://schemas.openxmlformats.org/officeDocument/2006/relationships/hyperlink" Target="https://www.hbs.edu/ris/Publication%20Files/GCR_20012002_Environment_5d282a24-bb10-4a9a-88bd-6ee05e8c6678.pdf" TargetMode="External"/><Relationship Id="rId5" Type="http://schemas.openxmlformats.org/officeDocument/2006/relationships/hyperlink" Target="https://datatopics.worldbank.org/what-a-waste/" TargetMode="External"/><Relationship Id="rId4" Type="http://schemas.openxmlformats.org/officeDocument/2006/relationships/hyperlink" Target="https://databank.worldbank.org/home"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bank.worldbank.org/home"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s://efdb.apps.eea.europa.eu/?source=%7B%22query%22%3A%7B%22match_all%22%3A%7B%7D%7D%2C%22display_type%22%3A%22tabular%22%7D" TargetMode="External"/><Relationship Id="rId2" Type="http://schemas.openxmlformats.org/officeDocument/2006/relationships/hyperlink" Target="https://efdb.apps.eea.europa.eu/?source=%7B%22query%22%3A%7B%22match_all%22%3A%7B%7D%7D%2C%22display_type%22%3A%22tabular%22%7D" TargetMode="External"/><Relationship Id="rId1" Type="http://schemas.openxmlformats.org/officeDocument/2006/relationships/hyperlink" Target="https://databank.worldbank.org/home" TargetMode="External"/><Relationship Id="rId5" Type="http://schemas.openxmlformats.org/officeDocument/2006/relationships/printerSettings" Target="../printerSettings/printerSettings4.bin"/><Relationship Id="rId4" Type="http://schemas.openxmlformats.org/officeDocument/2006/relationships/hyperlink" Target="https://efdb.apps.eea.europa.eu/?source=%7B%22query%22%3A%7B%22match_all%22%3A%7B%7D%7D%2C%22display_type%22%3A%22tabular%22%7D"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www.un.org/development/desa/pd/data/household-size-and-composition" TargetMode="External"/><Relationship Id="rId2" Type="http://schemas.openxmlformats.org/officeDocument/2006/relationships/hyperlink" Target="https://databank.worldbank.org/home" TargetMode="External"/><Relationship Id="rId1" Type="http://schemas.openxmlformats.org/officeDocument/2006/relationships/hyperlink" Target="https://databank.worldbank.org/home"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databank.worldbank.org/home"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s://databank.worldbank.org/home"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databank.worldbank.org/home"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databank.worldbank.org/home"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F7F7F"/>
  </sheetPr>
  <dimension ref="A1:Z1019"/>
  <sheetViews>
    <sheetView showGridLines="0" tabSelected="1" zoomScale="94" workbookViewId="0"/>
  </sheetViews>
  <sheetFormatPr baseColWidth="10" defaultColWidth="14.5" defaultRowHeight="15" customHeight="1" x14ac:dyDescent="0.2"/>
  <cols>
    <col min="1" max="1" width="8.83203125" customWidth="1"/>
    <col min="2" max="2" width="24.5" customWidth="1"/>
    <col min="3" max="10" width="8.83203125" customWidth="1"/>
    <col min="11" max="11" width="16.1640625" customWidth="1"/>
    <col min="12" max="12" width="31.33203125" customWidth="1"/>
    <col min="13" max="15" width="8.83203125" customWidth="1"/>
    <col min="16" max="16" width="11.33203125" customWidth="1"/>
    <col min="17" max="26" width="8.5" customWidth="1"/>
  </cols>
  <sheetData>
    <row r="1" spans="1:26" ht="14.25" customHeight="1" x14ac:dyDescent="0.2">
      <c r="A1" s="10"/>
      <c r="B1" s="10"/>
      <c r="C1" s="10"/>
      <c r="D1" s="10"/>
      <c r="E1" s="10"/>
      <c r="F1" s="10"/>
      <c r="G1" s="10"/>
      <c r="H1" s="10"/>
      <c r="I1" s="10"/>
      <c r="J1" s="10"/>
      <c r="K1" s="10"/>
      <c r="L1" s="10"/>
      <c r="M1" s="10"/>
      <c r="N1" s="10"/>
      <c r="O1" s="10"/>
      <c r="P1" s="10"/>
      <c r="Q1" s="10"/>
      <c r="R1" s="10"/>
      <c r="S1" s="10"/>
      <c r="T1" s="10"/>
      <c r="U1" s="10"/>
      <c r="V1" s="10"/>
      <c r="W1" s="10"/>
      <c r="X1" s="10"/>
      <c r="Y1" s="10"/>
      <c r="Z1" s="10"/>
    </row>
    <row r="2" spans="1:26" ht="21" x14ac:dyDescent="0.25">
      <c r="A2" s="10"/>
      <c r="B2" s="1" t="s">
        <v>822</v>
      </c>
      <c r="C2" s="10"/>
      <c r="D2" s="10"/>
      <c r="E2" s="10"/>
      <c r="F2" s="10"/>
      <c r="G2" s="10"/>
      <c r="H2" s="10"/>
      <c r="I2" s="10"/>
      <c r="J2" s="10"/>
      <c r="K2" s="10"/>
      <c r="L2" s="10"/>
      <c r="M2" s="10"/>
      <c r="N2" s="10"/>
      <c r="O2" s="10"/>
      <c r="P2" s="10"/>
      <c r="Q2" s="10"/>
      <c r="R2" s="10"/>
      <c r="S2" s="10"/>
      <c r="T2" s="10"/>
      <c r="Y2" s="10"/>
      <c r="Z2" s="10"/>
    </row>
    <row r="3" spans="1:26" ht="14.25" customHeight="1" x14ac:dyDescent="0.2">
      <c r="A3" s="10"/>
      <c r="B3" s="3"/>
      <c r="C3" s="10"/>
      <c r="D3" s="10"/>
      <c r="E3" s="10"/>
      <c r="F3" s="10"/>
      <c r="G3" s="10"/>
      <c r="H3" s="10"/>
      <c r="I3" s="10"/>
      <c r="J3" s="10"/>
      <c r="K3" s="10"/>
      <c r="L3" s="10"/>
      <c r="M3" s="10"/>
      <c r="N3" s="10"/>
      <c r="O3" s="10"/>
      <c r="P3" s="10"/>
      <c r="Q3" s="10"/>
      <c r="R3" s="10"/>
      <c r="S3" s="10"/>
      <c r="Y3" s="10"/>
      <c r="Z3" s="10"/>
    </row>
    <row r="4" spans="1:26" ht="14.25" customHeight="1" x14ac:dyDescent="0.2">
      <c r="A4" s="10"/>
      <c r="B4" s="3" t="s">
        <v>799</v>
      </c>
      <c r="C4" s="10"/>
      <c r="D4" s="10"/>
      <c r="E4" s="10"/>
      <c r="F4" s="10"/>
      <c r="G4" s="10"/>
      <c r="H4" s="10"/>
      <c r="I4" s="10"/>
      <c r="J4" s="10"/>
      <c r="K4" s="10"/>
      <c r="L4" s="10"/>
      <c r="M4" s="10"/>
      <c r="N4" s="10"/>
      <c r="O4" s="10"/>
      <c r="P4" s="10"/>
      <c r="Q4" s="10"/>
      <c r="R4" s="10"/>
      <c r="S4" s="10"/>
      <c r="X4" s="10"/>
      <c r="Y4" s="10"/>
      <c r="Z4" s="10"/>
    </row>
    <row r="5" spans="1:26" ht="14.25" customHeight="1" x14ac:dyDescent="0.2">
      <c r="A5" s="10"/>
      <c r="B5" s="10"/>
      <c r="C5" s="10"/>
      <c r="D5" s="10"/>
      <c r="E5" s="10"/>
      <c r="F5" s="10"/>
      <c r="G5" s="10"/>
      <c r="H5" s="10"/>
      <c r="I5" s="10"/>
      <c r="J5" s="10"/>
      <c r="K5" s="10"/>
      <c r="L5" s="10"/>
      <c r="M5" s="10"/>
      <c r="N5" s="10"/>
      <c r="O5" s="10"/>
      <c r="P5" s="10"/>
      <c r="Q5" s="10"/>
      <c r="R5" s="10"/>
      <c r="S5" s="10"/>
      <c r="X5" s="10"/>
      <c r="Y5" s="10"/>
      <c r="Z5" s="10"/>
    </row>
    <row r="6" spans="1:26" ht="14.25" customHeight="1" x14ac:dyDescent="0.2">
      <c r="A6" s="10"/>
      <c r="B6" s="10"/>
      <c r="C6" s="10"/>
      <c r="D6" s="10"/>
      <c r="E6" s="10"/>
      <c r="F6" s="10"/>
      <c r="G6" s="10"/>
      <c r="H6" s="10"/>
      <c r="I6" s="10"/>
      <c r="J6" s="10"/>
      <c r="K6" s="10"/>
      <c r="L6" s="10"/>
      <c r="M6" s="10"/>
      <c r="N6" s="290"/>
      <c r="O6" s="10"/>
      <c r="P6" s="10"/>
      <c r="Q6" s="10"/>
      <c r="R6" s="10"/>
      <c r="S6" s="10"/>
      <c r="X6" s="10"/>
      <c r="Y6" s="10"/>
      <c r="Z6" s="10"/>
    </row>
    <row r="7" spans="1:26" ht="14.25" customHeight="1" x14ac:dyDescent="0.2">
      <c r="A7" s="10"/>
      <c r="B7" s="10"/>
      <c r="C7" s="10"/>
      <c r="D7" s="10"/>
      <c r="E7" s="10"/>
      <c r="F7" s="10"/>
      <c r="G7" s="10"/>
      <c r="H7" s="10"/>
      <c r="I7" s="10"/>
      <c r="J7" s="10"/>
      <c r="K7" s="10"/>
      <c r="L7" s="10"/>
      <c r="M7" s="10"/>
      <c r="N7" s="10"/>
      <c r="O7" s="10"/>
      <c r="P7" s="10"/>
      <c r="Q7" s="10"/>
      <c r="R7" s="10"/>
      <c r="S7" s="10"/>
      <c r="X7" s="10"/>
      <c r="Y7" s="10"/>
      <c r="Z7" s="10"/>
    </row>
    <row r="8" spans="1:26" ht="14.25" customHeight="1" x14ac:dyDescent="0.2">
      <c r="A8" s="10"/>
      <c r="B8" s="10"/>
      <c r="C8" s="10"/>
      <c r="D8" s="10"/>
      <c r="E8" s="10"/>
      <c r="F8" s="10"/>
      <c r="G8" s="10"/>
      <c r="H8" s="10"/>
      <c r="I8" s="10"/>
      <c r="J8" s="10"/>
      <c r="K8" s="10"/>
      <c r="L8" s="10"/>
      <c r="M8" s="10"/>
      <c r="N8" s="10"/>
      <c r="O8" s="10"/>
      <c r="P8" s="10"/>
      <c r="Q8" s="10"/>
      <c r="R8" s="10"/>
      <c r="S8" s="10"/>
      <c r="X8" s="10"/>
      <c r="Y8" s="10"/>
      <c r="Z8" s="10"/>
    </row>
    <row r="9" spans="1:26" ht="14.25" customHeight="1" x14ac:dyDescent="0.2">
      <c r="A9" s="10"/>
      <c r="B9" s="10"/>
      <c r="C9" s="10"/>
      <c r="D9" s="10"/>
      <c r="E9" s="10"/>
      <c r="F9" s="10"/>
      <c r="G9" s="10"/>
      <c r="H9" s="10"/>
      <c r="I9" s="10"/>
      <c r="J9" s="10"/>
      <c r="K9" s="10"/>
      <c r="L9" s="10"/>
      <c r="M9" s="10"/>
      <c r="N9" s="10"/>
      <c r="O9" s="10"/>
      <c r="P9" s="10"/>
      <c r="Q9" s="10"/>
      <c r="R9" s="10"/>
      <c r="S9" s="10"/>
      <c r="T9" s="10"/>
      <c r="U9" s="291"/>
      <c r="V9" s="291"/>
      <c r="X9" s="10"/>
      <c r="Y9" s="10"/>
      <c r="Z9" s="10"/>
    </row>
    <row r="10" spans="1:26" ht="14.25" customHeight="1" x14ac:dyDescent="0.2">
      <c r="A10" s="10"/>
      <c r="B10" s="10"/>
      <c r="C10" s="10"/>
      <c r="D10" s="10"/>
      <c r="E10" s="10"/>
      <c r="F10" s="10"/>
      <c r="G10" s="10"/>
      <c r="H10" s="10"/>
      <c r="I10" s="10"/>
      <c r="J10" s="10"/>
      <c r="K10" s="10"/>
      <c r="L10" s="10"/>
      <c r="M10" s="10"/>
      <c r="N10" s="10"/>
      <c r="O10" s="10"/>
      <c r="P10" s="10"/>
      <c r="Q10" s="10"/>
      <c r="R10" s="10"/>
      <c r="S10" s="10"/>
      <c r="T10" s="10"/>
      <c r="U10" s="291"/>
      <c r="V10" s="291"/>
      <c r="X10" s="10"/>
      <c r="Y10" s="10"/>
      <c r="Z10" s="10"/>
    </row>
    <row r="11" spans="1:26" ht="14.25" customHeight="1" x14ac:dyDescent="0.2">
      <c r="A11" s="10"/>
      <c r="B11" s="10"/>
      <c r="C11" s="10"/>
      <c r="D11" s="10"/>
      <c r="E11" s="10"/>
      <c r="F11" s="10"/>
      <c r="G11" s="10"/>
      <c r="H11" s="10"/>
      <c r="I11" s="10"/>
      <c r="J11" s="10"/>
      <c r="K11" s="10"/>
      <c r="L11" s="10"/>
      <c r="M11" s="10"/>
      <c r="N11" s="10"/>
      <c r="O11" s="10"/>
      <c r="P11" s="10"/>
      <c r="Q11" s="10"/>
      <c r="R11" s="10"/>
      <c r="S11" s="10"/>
      <c r="T11" s="10"/>
      <c r="U11" s="291"/>
      <c r="V11" s="291"/>
      <c r="X11" s="10"/>
      <c r="Y11" s="10"/>
      <c r="Z11" s="10"/>
    </row>
    <row r="12" spans="1:26" ht="14.25" customHeight="1" x14ac:dyDescent="0.2">
      <c r="A12" s="10"/>
      <c r="B12" s="10"/>
      <c r="C12" s="10"/>
      <c r="D12" s="10"/>
      <c r="E12" s="10"/>
      <c r="F12" s="10"/>
      <c r="G12" s="10"/>
      <c r="H12" s="10"/>
      <c r="I12" s="10"/>
      <c r="J12" s="10"/>
      <c r="K12" s="10"/>
      <c r="L12" s="10"/>
      <c r="M12" s="10"/>
      <c r="N12" s="10"/>
      <c r="O12" s="10"/>
      <c r="P12" s="10"/>
      <c r="Q12" s="10"/>
      <c r="R12" s="10"/>
      <c r="S12" s="10"/>
      <c r="T12" s="10"/>
      <c r="U12" s="291"/>
      <c r="V12" s="291"/>
      <c r="X12" s="10"/>
      <c r="Y12" s="10"/>
      <c r="Z12" s="10"/>
    </row>
    <row r="13" spans="1:26" ht="14.25" customHeight="1" x14ac:dyDescent="0.2">
      <c r="A13" s="10"/>
      <c r="B13" s="10"/>
      <c r="C13" s="10"/>
      <c r="D13" s="10"/>
      <c r="E13" s="10"/>
      <c r="F13" s="10"/>
      <c r="G13" s="10"/>
      <c r="H13" s="10"/>
      <c r="I13" s="10"/>
      <c r="J13" s="10"/>
      <c r="K13" s="10"/>
      <c r="L13" s="10"/>
      <c r="M13" s="10"/>
      <c r="N13" s="10"/>
      <c r="O13" s="10"/>
      <c r="P13" s="10"/>
      <c r="Q13" s="10"/>
      <c r="R13" s="10"/>
      <c r="S13" s="10"/>
      <c r="T13" s="10"/>
      <c r="U13" s="291"/>
      <c r="V13" s="291"/>
      <c r="X13" s="10"/>
      <c r="Y13" s="10"/>
      <c r="Z13" s="10"/>
    </row>
    <row r="14" spans="1:26" ht="14.25" customHeight="1" x14ac:dyDescent="0.2">
      <c r="A14" s="10"/>
      <c r="B14" s="10"/>
      <c r="C14" s="10"/>
      <c r="D14" s="10"/>
      <c r="E14" s="10"/>
      <c r="F14" s="10"/>
      <c r="G14" s="10"/>
      <c r="H14" s="10"/>
      <c r="I14" s="10"/>
      <c r="J14" s="10"/>
      <c r="K14" s="10"/>
      <c r="L14" s="10"/>
      <c r="M14" s="10"/>
      <c r="N14" s="10"/>
      <c r="O14" s="10"/>
      <c r="P14" s="10"/>
      <c r="Q14" s="10"/>
      <c r="R14" s="10"/>
      <c r="S14" s="10"/>
      <c r="T14" s="10"/>
      <c r="U14" s="291"/>
      <c r="V14" s="291"/>
      <c r="X14" s="10"/>
      <c r="Y14" s="10"/>
      <c r="Z14" s="10"/>
    </row>
    <row r="15" spans="1:26" ht="19" customHeight="1" x14ac:dyDescent="0.2">
      <c r="A15" s="10"/>
      <c r="B15" s="327" t="s">
        <v>865</v>
      </c>
      <c r="C15" s="10"/>
      <c r="D15" s="10"/>
      <c r="E15" s="10"/>
      <c r="F15" s="10"/>
      <c r="G15" s="10"/>
      <c r="H15" s="10"/>
      <c r="I15" s="10"/>
      <c r="J15" s="10"/>
      <c r="K15" s="10"/>
      <c r="L15" s="10"/>
      <c r="M15" s="10"/>
      <c r="N15" s="10"/>
      <c r="O15" s="10"/>
      <c r="P15" s="10"/>
      <c r="Q15" s="10"/>
      <c r="R15" s="10"/>
      <c r="S15" s="10"/>
      <c r="T15" s="10"/>
      <c r="U15" s="291"/>
      <c r="V15" s="291"/>
      <c r="X15" s="10"/>
      <c r="Y15" s="10"/>
      <c r="Z15" s="10"/>
    </row>
    <row r="16" spans="1:26" ht="14.25" customHeight="1" x14ac:dyDescent="0.2">
      <c r="A16" s="10"/>
      <c r="B16" s="10"/>
      <c r="C16" s="10"/>
      <c r="D16" s="10"/>
      <c r="E16" s="10"/>
      <c r="F16" s="10"/>
      <c r="G16" s="10"/>
      <c r="H16" s="10"/>
      <c r="I16" s="10"/>
      <c r="J16" s="10"/>
      <c r="K16" s="10"/>
      <c r="L16" s="10"/>
      <c r="M16" s="10"/>
      <c r="N16" s="10"/>
      <c r="O16" s="10"/>
      <c r="P16" s="10"/>
      <c r="Q16" s="10"/>
      <c r="R16" s="10"/>
      <c r="S16" s="10"/>
      <c r="T16" s="10"/>
      <c r="U16" s="291"/>
      <c r="V16" s="291"/>
      <c r="X16" s="10"/>
      <c r="Y16" s="10"/>
      <c r="Z16" s="10"/>
    </row>
    <row r="17" spans="1:26" ht="14.25" customHeight="1" x14ac:dyDescent="0.2">
      <c r="A17" s="10"/>
      <c r="B17" s="3" t="s">
        <v>11</v>
      </c>
      <c r="C17" s="10"/>
      <c r="D17" s="10"/>
      <c r="E17" s="10"/>
      <c r="F17" s="10"/>
      <c r="G17" s="10"/>
      <c r="H17" s="10"/>
      <c r="I17" s="10"/>
      <c r="J17" s="10"/>
      <c r="K17" s="10"/>
      <c r="M17" s="10"/>
      <c r="N17" s="10"/>
      <c r="O17" s="10"/>
      <c r="P17" s="10"/>
      <c r="Q17" s="10"/>
      <c r="R17" s="10"/>
      <c r="S17" s="10"/>
      <c r="T17" s="10"/>
      <c r="U17" s="291"/>
      <c r="V17" s="291"/>
      <c r="X17" s="10"/>
      <c r="Y17" s="10"/>
      <c r="Z17" s="10"/>
    </row>
    <row r="18" spans="1:26" ht="14.25" customHeight="1" x14ac:dyDescent="0.2">
      <c r="A18" s="10"/>
      <c r="B18" s="292" t="s">
        <v>870</v>
      </c>
      <c r="C18" s="292" t="s">
        <v>12</v>
      </c>
      <c r="D18" s="293"/>
      <c r="E18" s="293"/>
      <c r="F18" s="293"/>
      <c r="G18" s="293"/>
      <c r="H18" s="293"/>
      <c r="I18" s="293"/>
      <c r="J18" s="293"/>
      <c r="K18" s="293"/>
      <c r="L18" s="293"/>
      <c r="M18" s="10"/>
      <c r="N18" s="10"/>
      <c r="O18" s="10"/>
      <c r="P18" s="10"/>
      <c r="Q18" s="10"/>
      <c r="R18" s="10"/>
      <c r="S18" s="10"/>
      <c r="T18" s="10"/>
      <c r="U18" s="291"/>
      <c r="V18" s="291"/>
      <c r="X18" s="10"/>
      <c r="Y18" s="10"/>
      <c r="Z18" s="10"/>
    </row>
    <row r="19" spans="1:26" ht="14.25" customHeight="1" x14ac:dyDescent="0.2">
      <c r="A19" s="10"/>
      <c r="B19" s="303" t="s">
        <v>13</v>
      </c>
      <c r="C19" s="331" t="s">
        <v>815</v>
      </c>
      <c r="D19" s="331"/>
      <c r="E19" s="331"/>
      <c r="F19" s="331"/>
      <c r="G19" s="331"/>
      <c r="H19" s="331"/>
      <c r="I19" s="331"/>
      <c r="J19" s="331"/>
      <c r="K19" s="331"/>
      <c r="L19" s="331"/>
      <c r="M19" s="10"/>
      <c r="N19" s="10"/>
      <c r="O19" s="10"/>
      <c r="P19" s="10"/>
      <c r="Q19" s="10"/>
      <c r="R19" s="10"/>
      <c r="S19" s="10"/>
      <c r="T19" s="10"/>
      <c r="U19" s="291"/>
      <c r="V19" s="291"/>
      <c r="X19" s="10"/>
      <c r="Y19" s="10"/>
      <c r="Z19" s="10"/>
    </row>
    <row r="20" spans="1:26" ht="14.25" customHeight="1" x14ac:dyDescent="0.2">
      <c r="A20" s="10"/>
      <c r="B20" s="335" t="s">
        <v>803</v>
      </c>
      <c r="C20" s="336"/>
      <c r="D20" s="336"/>
      <c r="E20" s="336"/>
      <c r="F20" s="336"/>
      <c r="G20" s="336"/>
      <c r="H20" s="336"/>
      <c r="I20" s="336"/>
      <c r="J20" s="336"/>
      <c r="K20" s="336"/>
      <c r="L20" s="337"/>
      <c r="M20" s="10"/>
      <c r="N20" s="10"/>
      <c r="O20" s="10"/>
      <c r="P20" s="10"/>
      <c r="Q20" s="10"/>
      <c r="R20" s="10"/>
      <c r="S20" s="10"/>
      <c r="T20" s="10"/>
      <c r="U20" s="291"/>
      <c r="V20" s="291"/>
      <c r="X20" s="10"/>
      <c r="Y20" s="10"/>
      <c r="Z20" s="10"/>
    </row>
    <row r="21" spans="1:26" ht="14.25" customHeight="1" x14ac:dyDescent="0.2">
      <c r="A21" s="10"/>
      <c r="B21" s="332" t="s">
        <v>816</v>
      </c>
      <c r="C21" s="333"/>
      <c r="D21" s="333"/>
      <c r="E21" s="333"/>
      <c r="F21" s="333"/>
      <c r="G21" s="333"/>
      <c r="H21" s="333"/>
      <c r="I21" s="333"/>
      <c r="J21" s="333"/>
      <c r="K21" s="333"/>
      <c r="L21" s="334"/>
      <c r="M21" s="10"/>
      <c r="N21" s="10"/>
      <c r="O21" s="10"/>
      <c r="P21" s="10"/>
      <c r="Q21" s="10"/>
      <c r="R21" s="10"/>
      <c r="S21" s="10"/>
      <c r="T21" s="10"/>
      <c r="U21" s="291"/>
      <c r="V21" s="291"/>
      <c r="X21" s="10"/>
      <c r="Y21" s="10"/>
      <c r="Z21" s="10"/>
    </row>
    <row r="22" spans="1:26" ht="31" customHeight="1" x14ac:dyDescent="0.2">
      <c r="A22" s="10"/>
      <c r="B22" s="313" t="s">
        <v>812</v>
      </c>
      <c r="C22" s="338" t="s">
        <v>862</v>
      </c>
      <c r="D22" s="338"/>
      <c r="E22" s="338"/>
      <c r="F22" s="338"/>
      <c r="G22" s="338"/>
      <c r="H22" s="338"/>
      <c r="I22" s="338"/>
      <c r="J22" s="338"/>
      <c r="K22" s="338"/>
      <c r="L22" s="338"/>
      <c r="M22" s="10"/>
      <c r="N22" s="10"/>
      <c r="O22" s="10"/>
      <c r="P22" s="10"/>
      <c r="Q22" s="10"/>
      <c r="R22" s="10"/>
      <c r="S22" s="10"/>
      <c r="T22" s="10"/>
      <c r="U22" s="291"/>
      <c r="V22" s="291"/>
      <c r="X22" s="10"/>
      <c r="Y22" s="10"/>
      <c r="Z22" s="10"/>
    </row>
    <row r="23" spans="1:26" ht="14.25" customHeight="1" x14ac:dyDescent="0.2">
      <c r="A23" s="10"/>
      <c r="B23" s="300" t="s">
        <v>817</v>
      </c>
      <c r="C23" s="339"/>
      <c r="D23" s="339"/>
      <c r="E23" s="339"/>
      <c r="F23" s="339"/>
      <c r="G23" s="339"/>
      <c r="H23" s="339"/>
      <c r="I23" s="339"/>
      <c r="J23" s="339"/>
      <c r="K23" s="339"/>
      <c r="L23" s="340"/>
      <c r="M23" s="10"/>
      <c r="N23" s="10"/>
      <c r="O23" s="10"/>
      <c r="P23" s="10"/>
      <c r="Q23" s="10"/>
      <c r="R23" s="10"/>
      <c r="S23" s="10"/>
      <c r="T23" s="10"/>
      <c r="U23" s="291"/>
      <c r="V23" s="291"/>
      <c r="X23" s="10"/>
      <c r="Y23" s="10"/>
      <c r="Z23" s="10"/>
    </row>
    <row r="24" spans="1:26" ht="14.25" customHeight="1" thickBot="1" x14ac:dyDescent="0.25">
      <c r="A24" s="10"/>
      <c r="B24" s="297" t="s">
        <v>818</v>
      </c>
      <c r="C24" s="301"/>
      <c r="D24" s="301"/>
      <c r="E24" s="301"/>
      <c r="F24" s="301"/>
      <c r="G24" s="301"/>
      <c r="H24" s="301"/>
      <c r="I24" s="301"/>
      <c r="J24" s="301"/>
      <c r="K24" s="301"/>
      <c r="L24" s="302"/>
      <c r="M24" s="10"/>
      <c r="N24" s="10"/>
      <c r="R24" s="10"/>
      <c r="S24" s="10"/>
      <c r="T24" s="10"/>
      <c r="U24" s="291"/>
      <c r="V24" s="291"/>
      <c r="X24" s="10"/>
      <c r="Y24" s="10"/>
      <c r="Z24" s="10"/>
    </row>
    <row r="25" spans="1:26" ht="14.25" customHeight="1" x14ac:dyDescent="0.2">
      <c r="A25" s="10"/>
      <c r="B25" s="314" t="s">
        <v>856</v>
      </c>
      <c r="C25" s="330" t="s">
        <v>826</v>
      </c>
      <c r="D25" s="330"/>
      <c r="E25" s="330"/>
      <c r="F25" s="330"/>
      <c r="G25" s="330"/>
      <c r="H25" s="330"/>
      <c r="I25" s="330"/>
      <c r="J25" s="330"/>
      <c r="K25" s="330"/>
      <c r="L25" s="330"/>
      <c r="M25" s="10"/>
      <c r="N25" s="10"/>
      <c r="O25" s="202" t="s">
        <v>4</v>
      </c>
      <c r="P25" s="203"/>
      <c r="R25" s="10"/>
      <c r="S25" s="10"/>
      <c r="T25" s="10"/>
      <c r="U25" s="291"/>
      <c r="V25" s="291"/>
      <c r="X25" s="10"/>
      <c r="Y25" s="10"/>
      <c r="Z25" s="10"/>
    </row>
    <row r="26" spans="1:26" ht="14.25" customHeight="1" x14ac:dyDescent="0.2">
      <c r="A26" s="10"/>
      <c r="B26" s="314" t="s">
        <v>857</v>
      </c>
      <c r="C26" s="344" t="s">
        <v>828</v>
      </c>
      <c r="D26" s="344"/>
      <c r="E26" s="344"/>
      <c r="F26" s="344"/>
      <c r="G26" s="344"/>
      <c r="H26" s="344"/>
      <c r="I26" s="344"/>
      <c r="J26" s="344"/>
      <c r="K26" s="344"/>
      <c r="L26" s="344"/>
      <c r="M26" s="10"/>
      <c r="N26" s="10"/>
      <c r="O26" s="204"/>
      <c r="P26" s="309" t="s">
        <v>802</v>
      </c>
      <c r="R26" s="10"/>
      <c r="S26" s="10"/>
      <c r="T26" s="10"/>
      <c r="U26" s="291"/>
      <c r="V26" s="291"/>
      <c r="X26" s="10"/>
      <c r="Y26" s="10"/>
      <c r="Z26" s="10"/>
    </row>
    <row r="27" spans="1:26" ht="33" customHeight="1" x14ac:dyDescent="0.2">
      <c r="A27" s="10"/>
      <c r="B27" s="315" t="s">
        <v>858</v>
      </c>
      <c r="C27" s="345" t="s">
        <v>829</v>
      </c>
      <c r="D27" s="345"/>
      <c r="E27" s="345"/>
      <c r="F27" s="345"/>
      <c r="G27" s="345"/>
      <c r="H27" s="345"/>
      <c r="I27" s="345"/>
      <c r="J27" s="345"/>
      <c r="K27" s="345"/>
      <c r="L27" s="345"/>
      <c r="M27" s="10"/>
      <c r="N27" s="10"/>
      <c r="O27" s="205"/>
      <c r="P27" s="309" t="s">
        <v>803</v>
      </c>
      <c r="R27" s="10"/>
      <c r="S27" s="10"/>
      <c r="T27" s="10"/>
      <c r="U27" s="291"/>
      <c r="V27" s="291"/>
      <c r="X27" s="10"/>
      <c r="Y27" s="10"/>
      <c r="Z27" s="10"/>
    </row>
    <row r="28" spans="1:26" ht="14.25" customHeight="1" x14ac:dyDescent="0.2">
      <c r="A28" s="10"/>
      <c r="B28" s="314" t="s">
        <v>859</v>
      </c>
      <c r="C28" s="330" t="s">
        <v>831</v>
      </c>
      <c r="D28" s="330"/>
      <c r="E28" s="330"/>
      <c r="F28" s="330"/>
      <c r="G28" s="330"/>
      <c r="H28" s="330"/>
      <c r="I28" s="330"/>
      <c r="J28" s="330"/>
      <c r="K28" s="330"/>
      <c r="L28" s="330"/>
      <c r="M28" s="10"/>
      <c r="N28" s="10"/>
      <c r="O28" s="206"/>
      <c r="P28" s="309" t="s">
        <v>5</v>
      </c>
      <c r="R28" s="10"/>
      <c r="S28" s="10"/>
      <c r="T28" s="10"/>
      <c r="U28" s="291"/>
      <c r="V28" s="291"/>
      <c r="X28" s="10"/>
      <c r="Y28" s="10"/>
      <c r="Z28" s="10"/>
    </row>
    <row r="29" spans="1:26" ht="19" customHeight="1" thickBot="1" x14ac:dyDescent="0.25">
      <c r="A29" s="10"/>
      <c r="B29" s="314" t="s">
        <v>860</v>
      </c>
      <c r="C29" s="345" t="s">
        <v>864</v>
      </c>
      <c r="D29" s="345"/>
      <c r="E29" s="345"/>
      <c r="F29" s="345"/>
      <c r="G29" s="345"/>
      <c r="H29" s="345"/>
      <c r="I29" s="345"/>
      <c r="J29" s="345"/>
      <c r="K29" s="345"/>
      <c r="L29" s="345"/>
      <c r="M29" s="10"/>
      <c r="N29" s="10"/>
      <c r="O29" s="207"/>
      <c r="P29" s="310" t="s">
        <v>804</v>
      </c>
      <c r="R29" s="10"/>
      <c r="S29" s="10"/>
      <c r="T29" s="10"/>
      <c r="U29" s="291"/>
      <c r="V29" s="291"/>
      <c r="X29" s="10"/>
      <c r="Y29" s="10"/>
      <c r="Z29" s="10"/>
    </row>
    <row r="30" spans="1:26" ht="14.25" customHeight="1" x14ac:dyDescent="0.2">
      <c r="A30" s="10"/>
      <c r="B30" s="314" t="s">
        <v>861</v>
      </c>
      <c r="C30" s="330" t="s">
        <v>836</v>
      </c>
      <c r="D30" s="330"/>
      <c r="E30" s="330"/>
      <c r="F30" s="330"/>
      <c r="G30" s="330"/>
      <c r="H30" s="330"/>
      <c r="I30" s="330"/>
      <c r="J30" s="330"/>
      <c r="K30" s="330"/>
      <c r="L30" s="330"/>
      <c r="M30" s="10"/>
      <c r="N30" s="10"/>
      <c r="O30" s="10"/>
      <c r="P30" s="10"/>
      <c r="Q30" s="10"/>
      <c r="R30" s="10"/>
      <c r="S30" s="10"/>
      <c r="T30" s="10"/>
      <c r="U30" s="291"/>
      <c r="V30" s="291"/>
      <c r="X30" s="10"/>
      <c r="Y30" s="10"/>
      <c r="Z30" s="10"/>
    </row>
    <row r="31" spans="1:26" ht="14.25" customHeight="1" x14ac:dyDescent="0.2">
      <c r="A31" s="10"/>
      <c r="B31" s="298" t="s">
        <v>804</v>
      </c>
      <c r="C31" s="304"/>
      <c r="D31" s="304"/>
      <c r="E31" s="304"/>
      <c r="F31" s="304"/>
      <c r="G31" s="304"/>
      <c r="H31" s="304"/>
      <c r="I31" s="304"/>
      <c r="J31" s="304"/>
      <c r="K31" s="304"/>
      <c r="L31" s="305"/>
      <c r="M31" s="10"/>
      <c r="N31" s="10"/>
      <c r="O31" s="10"/>
      <c r="P31" s="10"/>
      <c r="Q31" s="10"/>
      <c r="R31" s="10"/>
      <c r="S31" s="10"/>
      <c r="T31" s="10"/>
      <c r="U31" s="291"/>
      <c r="V31" s="291"/>
      <c r="X31" s="10"/>
      <c r="Y31" s="10"/>
      <c r="Z31" s="10"/>
    </row>
    <row r="32" spans="1:26" ht="14.25" customHeight="1" x14ac:dyDescent="0.2">
      <c r="A32" s="10"/>
      <c r="B32" s="299" t="s">
        <v>819</v>
      </c>
      <c r="C32" s="306"/>
      <c r="D32" s="306"/>
      <c r="E32" s="306"/>
      <c r="F32" s="306"/>
      <c r="G32" s="306"/>
      <c r="H32" s="306"/>
      <c r="I32" s="306"/>
      <c r="J32" s="306"/>
      <c r="K32" s="306"/>
      <c r="L32" s="307"/>
      <c r="M32" s="10"/>
      <c r="N32" s="10"/>
      <c r="O32" s="10"/>
      <c r="P32" s="10"/>
      <c r="Q32" s="10"/>
      <c r="R32" s="10"/>
      <c r="S32" s="10"/>
      <c r="T32" s="10"/>
      <c r="U32" s="291"/>
      <c r="V32" s="291"/>
      <c r="X32" s="10"/>
      <c r="Y32" s="10"/>
      <c r="Z32" s="10"/>
    </row>
    <row r="33" spans="1:26" ht="14.25" customHeight="1" x14ac:dyDescent="0.2">
      <c r="A33" s="10"/>
      <c r="B33" s="316" t="s">
        <v>592</v>
      </c>
      <c r="C33" s="330" t="s">
        <v>837</v>
      </c>
      <c r="D33" s="330"/>
      <c r="E33" s="330"/>
      <c r="F33" s="330"/>
      <c r="G33" s="330"/>
      <c r="H33" s="330"/>
      <c r="I33" s="330"/>
      <c r="J33" s="330"/>
      <c r="K33" s="330"/>
      <c r="L33" s="330"/>
      <c r="M33" s="10"/>
      <c r="O33" s="10"/>
      <c r="P33" s="10"/>
      <c r="Q33" s="10"/>
      <c r="R33" s="10"/>
      <c r="S33" s="10"/>
      <c r="T33" s="10"/>
      <c r="U33" s="291"/>
      <c r="V33" s="291"/>
      <c r="X33" s="10"/>
      <c r="Y33" s="10"/>
      <c r="Z33" s="10"/>
    </row>
    <row r="34" spans="1:26" ht="14.25" customHeight="1" x14ac:dyDescent="0.2">
      <c r="A34" s="10"/>
      <c r="B34" s="317" t="s">
        <v>593</v>
      </c>
      <c r="C34" s="330" t="s">
        <v>840</v>
      </c>
      <c r="D34" s="330"/>
      <c r="E34" s="330"/>
      <c r="F34" s="330"/>
      <c r="G34" s="330"/>
      <c r="H34" s="330"/>
      <c r="I34" s="330"/>
      <c r="J34" s="330"/>
      <c r="K34" s="330"/>
      <c r="L34" s="330"/>
      <c r="M34" s="10"/>
      <c r="N34" s="10"/>
      <c r="O34" s="10"/>
      <c r="P34" s="10"/>
      <c r="Q34" s="10"/>
      <c r="R34" s="10"/>
      <c r="S34" s="10"/>
      <c r="T34" s="10"/>
      <c r="U34" s="291"/>
      <c r="V34" s="291"/>
      <c r="X34" s="10"/>
      <c r="Y34" s="10"/>
      <c r="Z34" s="10"/>
    </row>
    <row r="35" spans="1:26" ht="14.25" customHeight="1" x14ac:dyDescent="0.2">
      <c r="A35" s="10"/>
      <c r="B35" s="318" t="s">
        <v>594</v>
      </c>
      <c r="C35" s="330" t="s">
        <v>841</v>
      </c>
      <c r="D35" s="330"/>
      <c r="E35" s="330"/>
      <c r="F35" s="330"/>
      <c r="G35" s="330"/>
      <c r="H35" s="330"/>
      <c r="I35" s="330"/>
      <c r="J35" s="330"/>
      <c r="K35" s="330"/>
      <c r="L35" s="330"/>
      <c r="M35" s="10"/>
      <c r="N35" s="10"/>
      <c r="O35" s="10"/>
      <c r="P35" s="10"/>
      <c r="Q35" s="10"/>
      <c r="R35" s="10"/>
      <c r="S35" s="10"/>
      <c r="T35" s="10"/>
      <c r="U35" s="291"/>
      <c r="V35" s="291"/>
      <c r="X35" s="10"/>
      <c r="Y35" s="10"/>
      <c r="Z35" s="10"/>
    </row>
    <row r="36" spans="1:26" ht="14.25" customHeight="1" x14ac:dyDescent="0.2">
      <c r="A36" s="10"/>
      <c r="B36" s="319" t="s">
        <v>595</v>
      </c>
      <c r="C36" s="330" t="s">
        <v>843</v>
      </c>
      <c r="D36" s="330"/>
      <c r="E36" s="330"/>
      <c r="F36" s="330"/>
      <c r="G36" s="330"/>
      <c r="H36" s="330"/>
      <c r="I36" s="330"/>
      <c r="J36" s="330"/>
      <c r="K36" s="330"/>
      <c r="L36" s="330"/>
      <c r="M36" s="10"/>
      <c r="N36" s="10"/>
      <c r="O36" s="10"/>
      <c r="P36" s="10"/>
      <c r="Q36" s="10"/>
      <c r="R36" s="10"/>
      <c r="S36" s="10"/>
      <c r="T36" s="10"/>
      <c r="U36" s="291"/>
      <c r="V36" s="291"/>
      <c r="X36" s="10"/>
      <c r="Y36" s="10"/>
      <c r="Z36" s="10"/>
    </row>
    <row r="37" spans="1:26" ht="14.25" customHeight="1" x14ac:dyDescent="0.2">
      <c r="A37" s="10"/>
      <c r="B37" s="320" t="s">
        <v>661</v>
      </c>
      <c r="C37" s="330" t="s">
        <v>844</v>
      </c>
      <c r="D37" s="330"/>
      <c r="E37" s="330"/>
      <c r="F37" s="330"/>
      <c r="G37" s="330"/>
      <c r="H37" s="330"/>
      <c r="I37" s="330"/>
      <c r="J37" s="330"/>
      <c r="K37" s="330"/>
      <c r="L37" s="330"/>
      <c r="M37" s="10"/>
      <c r="N37" s="10"/>
      <c r="O37" s="10"/>
      <c r="P37" s="10"/>
      <c r="Q37" s="10"/>
      <c r="R37" s="10"/>
      <c r="S37" s="10"/>
      <c r="T37" s="10"/>
      <c r="U37" s="291"/>
      <c r="V37" s="291"/>
      <c r="X37" s="10"/>
      <c r="Y37" s="10"/>
      <c r="Z37" s="10"/>
    </row>
    <row r="38" spans="1:26" ht="14.25" customHeight="1" x14ac:dyDescent="0.2">
      <c r="A38" s="10"/>
      <c r="B38" s="320" t="s">
        <v>662</v>
      </c>
      <c r="C38" s="330" t="s">
        <v>846</v>
      </c>
      <c r="D38" s="330"/>
      <c r="E38" s="330"/>
      <c r="F38" s="330"/>
      <c r="G38" s="330"/>
      <c r="H38" s="330"/>
      <c r="I38" s="330"/>
      <c r="J38" s="330"/>
      <c r="K38" s="330"/>
      <c r="L38" s="330"/>
      <c r="M38" s="10"/>
      <c r="N38" s="10"/>
      <c r="O38" s="10"/>
      <c r="P38" s="10"/>
      <c r="Q38" s="10"/>
      <c r="R38" s="10"/>
      <c r="S38" s="10"/>
      <c r="T38" s="10"/>
      <c r="U38" s="291"/>
      <c r="V38" s="291"/>
      <c r="X38" s="10"/>
      <c r="Y38" s="10"/>
      <c r="Z38" s="10"/>
    </row>
    <row r="39" spans="1:26" ht="14.25" customHeight="1" x14ac:dyDescent="0.2">
      <c r="A39" s="10"/>
      <c r="B39" s="320" t="s">
        <v>820</v>
      </c>
      <c r="C39" s="330" t="s">
        <v>847</v>
      </c>
      <c r="D39" s="330"/>
      <c r="E39" s="330"/>
      <c r="F39" s="330"/>
      <c r="G39" s="330"/>
      <c r="H39" s="330"/>
      <c r="I39" s="330"/>
      <c r="J39" s="330"/>
      <c r="K39" s="330"/>
      <c r="L39" s="330"/>
      <c r="M39" s="188"/>
      <c r="N39" s="10"/>
      <c r="O39" s="10"/>
      <c r="P39" s="10"/>
      <c r="Q39" s="10"/>
      <c r="R39" s="10"/>
      <c r="S39" s="10"/>
      <c r="T39" s="10"/>
      <c r="U39" s="291"/>
      <c r="V39" s="291"/>
      <c r="X39" s="10"/>
      <c r="Y39" s="10"/>
      <c r="Z39" s="10"/>
    </row>
    <row r="40" spans="1:26" ht="14.25" customHeight="1" x14ac:dyDescent="0.2">
      <c r="A40" s="10"/>
      <c r="B40" s="320" t="s">
        <v>596</v>
      </c>
      <c r="C40" s="330" t="s">
        <v>848</v>
      </c>
      <c r="D40" s="330"/>
      <c r="E40" s="330"/>
      <c r="F40" s="330"/>
      <c r="G40" s="330"/>
      <c r="H40" s="330"/>
      <c r="I40" s="330"/>
      <c r="J40" s="330"/>
      <c r="K40" s="330"/>
      <c r="L40" s="330"/>
      <c r="M40" s="10"/>
      <c r="N40" s="10"/>
      <c r="O40" s="10"/>
      <c r="P40" s="10"/>
      <c r="Q40" s="10"/>
      <c r="R40" s="10"/>
      <c r="S40" s="10"/>
      <c r="T40" s="10"/>
      <c r="U40" s="291"/>
      <c r="V40" s="291"/>
      <c r="X40" s="10"/>
      <c r="Y40" s="10"/>
      <c r="Z40" s="10"/>
    </row>
    <row r="41" spans="1:26" ht="30" customHeight="1" x14ac:dyDescent="0.2">
      <c r="A41" s="10"/>
      <c r="B41" s="320" t="s">
        <v>663</v>
      </c>
      <c r="C41" s="345" t="s">
        <v>849</v>
      </c>
      <c r="D41" s="345"/>
      <c r="E41" s="345"/>
      <c r="F41" s="345"/>
      <c r="G41" s="345"/>
      <c r="H41" s="345"/>
      <c r="I41" s="345"/>
      <c r="J41" s="345"/>
      <c r="K41" s="345"/>
      <c r="L41" s="345"/>
      <c r="M41" s="10"/>
      <c r="N41" s="10"/>
      <c r="O41" s="10"/>
      <c r="P41" s="10"/>
      <c r="Q41" s="10"/>
      <c r="R41" s="10"/>
      <c r="S41" s="10"/>
      <c r="T41" s="10"/>
      <c r="U41" s="291"/>
      <c r="V41" s="291"/>
      <c r="X41" s="10"/>
      <c r="Y41" s="10"/>
      <c r="Z41" s="10"/>
    </row>
    <row r="42" spans="1:26" ht="14.25" customHeight="1" x14ac:dyDescent="0.2">
      <c r="A42" s="10"/>
      <c r="B42" s="321" t="s">
        <v>597</v>
      </c>
      <c r="C42" s="330" t="s">
        <v>608</v>
      </c>
      <c r="D42" s="330"/>
      <c r="E42" s="330"/>
      <c r="F42" s="330"/>
      <c r="G42" s="330"/>
      <c r="H42" s="330"/>
      <c r="I42" s="330"/>
      <c r="J42" s="330"/>
      <c r="K42" s="330"/>
      <c r="L42" s="330"/>
      <c r="M42" s="10"/>
      <c r="N42" s="10"/>
      <c r="O42" s="10"/>
      <c r="P42" s="10"/>
      <c r="Q42" s="10"/>
      <c r="R42" s="10"/>
      <c r="S42" s="10"/>
      <c r="T42" s="10"/>
      <c r="U42" s="291"/>
      <c r="V42" s="291"/>
      <c r="X42" s="10"/>
      <c r="Y42" s="10"/>
      <c r="Z42" s="10"/>
    </row>
    <row r="43" spans="1:26" ht="65" customHeight="1" x14ac:dyDescent="0.2">
      <c r="A43" s="10"/>
      <c r="B43" s="322" t="s">
        <v>852</v>
      </c>
      <c r="C43" s="345" t="s">
        <v>850</v>
      </c>
      <c r="D43" s="345"/>
      <c r="E43" s="345"/>
      <c r="F43" s="345"/>
      <c r="G43" s="345"/>
      <c r="H43" s="345"/>
      <c r="I43" s="345"/>
      <c r="J43" s="345"/>
      <c r="K43" s="345"/>
      <c r="L43" s="345"/>
      <c r="M43" s="10"/>
      <c r="N43" s="10"/>
      <c r="O43" s="10"/>
      <c r="P43" s="10"/>
      <c r="Q43" s="10"/>
      <c r="R43" s="10"/>
      <c r="S43" s="10"/>
      <c r="T43" s="10"/>
      <c r="U43" s="291"/>
      <c r="V43" s="291"/>
      <c r="X43" s="10"/>
      <c r="Y43" s="10"/>
      <c r="Z43" s="10"/>
    </row>
    <row r="44" spans="1:26" ht="14.25" customHeight="1" x14ac:dyDescent="0.2">
      <c r="A44" s="10"/>
      <c r="B44" s="296" t="s">
        <v>821</v>
      </c>
      <c r="C44" s="330" t="s">
        <v>851</v>
      </c>
      <c r="D44" s="330"/>
      <c r="E44" s="330"/>
      <c r="F44" s="330"/>
      <c r="G44" s="330"/>
      <c r="H44" s="330"/>
      <c r="I44" s="330"/>
      <c r="J44" s="330"/>
      <c r="K44" s="330"/>
      <c r="L44" s="330"/>
      <c r="M44" s="10"/>
      <c r="N44" s="10"/>
      <c r="O44" s="10"/>
      <c r="P44" s="10"/>
      <c r="Q44" s="10"/>
      <c r="R44" s="10"/>
      <c r="S44" s="10"/>
      <c r="T44" s="10"/>
      <c r="U44" s="291"/>
      <c r="V44" s="291"/>
      <c r="X44" s="10"/>
      <c r="Y44" s="10"/>
      <c r="Z44" s="10"/>
    </row>
    <row r="45" spans="1:26" ht="14.25" customHeight="1" x14ac:dyDescent="0.2">
      <c r="A45" s="10"/>
      <c r="B45" s="10"/>
      <c r="C45" s="10"/>
      <c r="D45" s="10"/>
      <c r="E45" s="10"/>
      <c r="F45" s="10"/>
      <c r="G45" s="10"/>
      <c r="H45" s="10"/>
      <c r="I45" s="10"/>
      <c r="J45" s="10"/>
      <c r="K45" s="10"/>
      <c r="L45" s="10"/>
      <c r="M45" s="10"/>
      <c r="N45" s="10"/>
      <c r="O45" s="10"/>
      <c r="P45" s="10"/>
      <c r="Q45" s="10"/>
      <c r="R45" s="10"/>
      <c r="S45" s="10"/>
      <c r="T45" s="10"/>
      <c r="U45" s="291"/>
      <c r="V45" s="291"/>
      <c r="X45" s="10"/>
      <c r="Y45" s="10"/>
      <c r="Z45" s="10"/>
    </row>
    <row r="46" spans="1:26" ht="14.25" customHeight="1" x14ac:dyDescent="0.2">
      <c r="A46" s="10"/>
      <c r="B46" s="308" t="s">
        <v>869</v>
      </c>
      <c r="C46" s="10"/>
      <c r="D46" s="10"/>
      <c r="E46" s="10"/>
      <c r="F46" s="10"/>
      <c r="G46" s="10"/>
      <c r="H46" s="10"/>
      <c r="I46" s="10"/>
      <c r="J46" s="10"/>
      <c r="K46" s="10"/>
      <c r="L46" s="10"/>
      <c r="M46" s="10"/>
      <c r="N46" s="10"/>
      <c r="O46" s="10"/>
      <c r="P46" s="10"/>
      <c r="Q46" s="10"/>
      <c r="R46" s="10"/>
      <c r="S46" s="10"/>
      <c r="T46" s="10"/>
      <c r="U46" s="291"/>
      <c r="V46" s="291"/>
      <c r="X46" s="10"/>
      <c r="Y46" s="10"/>
      <c r="Z46" s="10"/>
    </row>
    <row r="47" spans="1:26" ht="14.25" customHeight="1" x14ac:dyDescent="0.2">
      <c r="A47" s="10"/>
      <c r="B47" s="10"/>
      <c r="C47" s="10"/>
      <c r="D47" s="10"/>
      <c r="E47" s="10"/>
      <c r="F47" s="10"/>
      <c r="G47" s="10"/>
      <c r="H47" s="10"/>
      <c r="I47" s="10"/>
      <c r="J47" s="10"/>
      <c r="K47" s="10"/>
      <c r="L47" s="10"/>
      <c r="M47" s="10"/>
      <c r="N47" s="10"/>
      <c r="O47" s="10"/>
      <c r="P47" s="10"/>
      <c r="Q47" s="10"/>
      <c r="R47" s="10"/>
      <c r="S47" s="10"/>
      <c r="T47" s="10"/>
      <c r="U47" s="291"/>
      <c r="V47" s="291"/>
      <c r="X47" s="10"/>
      <c r="Y47" s="10"/>
      <c r="Z47" s="10"/>
    </row>
    <row r="48" spans="1:26" ht="14.25" customHeight="1" x14ac:dyDescent="0.2">
      <c r="A48" s="10"/>
      <c r="B48" s="10"/>
      <c r="C48" s="10"/>
      <c r="D48" s="10"/>
      <c r="E48" s="10"/>
      <c r="F48" s="10"/>
      <c r="G48" s="10"/>
      <c r="H48" s="10"/>
      <c r="I48" s="10"/>
      <c r="J48" s="10"/>
      <c r="K48" s="10"/>
      <c r="L48" s="10"/>
      <c r="M48" s="10"/>
      <c r="N48" s="10"/>
      <c r="O48" s="10"/>
      <c r="P48" s="10"/>
      <c r="Q48" s="10"/>
      <c r="R48" s="10"/>
      <c r="S48" s="10"/>
      <c r="T48" s="10"/>
      <c r="U48" s="291"/>
      <c r="V48" s="291"/>
      <c r="X48" s="10"/>
      <c r="Y48" s="10"/>
      <c r="Z48" s="10"/>
    </row>
    <row r="49" spans="1:26" ht="14.25" customHeight="1" x14ac:dyDescent="0.2">
      <c r="A49" s="10"/>
      <c r="B49" s="10"/>
      <c r="C49" s="10"/>
      <c r="D49" s="10"/>
      <c r="E49" s="10"/>
      <c r="F49" s="10"/>
      <c r="G49" s="10"/>
      <c r="H49" s="10"/>
      <c r="I49" s="10"/>
      <c r="J49" s="10"/>
      <c r="K49" s="10"/>
      <c r="L49" s="10"/>
      <c r="M49" s="10"/>
      <c r="N49" s="10"/>
      <c r="O49" s="10"/>
      <c r="P49" s="10"/>
      <c r="Q49" s="10"/>
      <c r="R49" s="10"/>
      <c r="S49" s="10"/>
      <c r="T49" s="10"/>
      <c r="U49" s="291"/>
      <c r="V49" s="291"/>
      <c r="X49" s="10"/>
      <c r="Y49" s="10"/>
      <c r="Z49" s="10"/>
    </row>
    <row r="50" spans="1:26" ht="14.25" customHeight="1" x14ac:dyDescent="0.2">
      <c r="A50" s="10"/>
      <c r="B50" s="10"/>
      <c r="C50" s="10"/>
      <c r="D50" s="10"/>
      <c r="E50" s="10"/>
      <c r="F50" s="10"/>
      <c r="G50" s="10"/>
      <c r="H50" s="10"/>
      <c r="I50" s="10"/>
      <c r="J50" s="10"/>
      <c r="K50" s="10"/>
      <c r="L50" s="10"/>
      <c r="M50" s="10"/>
      <c r="N50" s="10"/>
      <c r="O50" s="10"/>
      <c r="P50" s="10"/>
      <c r="Q50" s="10"/>
      <c r="R50" s="10"/>
      <c r="S50" s="10"/>
      <c r="T50" s="10"/>
      <c r="U50" s="291"/>
      <c r="V50" s="291"/>
      <c r="X50" s="10"/>
      <c r="Y50" s="10"/>
      <c r="Z50" s="10"/>
    </row>
    <row r="51" spans="1:26" ht="14.25" customHeight="1" x14ac:dyDescent="0.2">
      <c r="A51" s="10"/>
      <c r="B51" s="10"/>
      <c r="C51" s="10"/>
      <c r="D51" s="10"/>
      <c r="E51" s="10"/>
      <c r="F51" s="10"/>
      <c r="G51" s="10"/>
      <c r="H51" s="10"/>
      <c r="I51" s="10"/>
      <c r="J51" s="10"/>
      <c r="K51" s="10"/>
      <c r="L51" s="10"/>
      <c r="M51" s="10"/>
      <c r="N51" s="10"/>
      <c r="O51" s="10"/>
      <c r="P51" s="10"/>
      <c r="Q51" s="10"/>
      <c r="R51" s="10"/>
      <c r="S51" s="10"/>
      <c r="T51" s="10"/>
      <c r="U51" s="291"/>
      <c r="V51" s="291"/>
      <c r="X51" s="10"/>
      <c r="Y51" s="10"/>
      <c r="Z51" s="10"/>
    </row>
    <row r="52" spans="1:26" ht="14.25" customHeight="1" x14ac:dyDescent="0.2">
      <c r="A52" s="10"/>
      <c r="B52" s="10"/>
      <c r="C52" s="10"/>
      <c r="D52" s="10"/>
      <c r="E52" s="10"/>
      <c r="F52" s="10"/>
      <c r="G52" s="10"/>
      <c r="H52" s="10"/>
      <c r="I52" s="10"/>
      <c r="J52" s="10"/>
      <c r="K52" s="10"/>
      <c r="L52" s="10"/>
      <c r="M52" s="10"/>
      <c r="N52" s="10"/>
      <c r="O52" s="10"/>
      <c r="P52" s="10"/>
      <c r="Q52" s="10"/>
      <c r="R52" s="10"/>
      <c r="S52" s="10"/>
      <c r="T52" s="10"/>
      <c r="U52" s="291"/>
      <c r="V52" s="291"/>
      <c r="X52" s="10"/>
      <c r="Y52" s="10"/>
      <c r="Z52" s="10"/>
    </row>
    <row r="53" spans="1:26" ht="14.25" customHeight="1" x14ac:dyDescent="0.2">
      <c r="A53" s="10"/>
      <c r="B53" s="10"/>
      <c r="C53" s="10"/>
      <c r="D53" s="10"/>
      <c r="E53" s="10"/>
      <c r="F53" s="10"/>
      <c r="G53" s="10"/>
      <c r="H53" s="10"/>
      <c r="I53" s="10"/>
      <c r="J53" s="10"/>
      <c r="K53" s="10"/>
      <c r="L53" s="10"/>
      <c r="M53" s="10"/>
      <c r="N53" s="10"/>
      <c r="O53" s="10"/>
      <c r="P53" s="10"/>
      <c r="Q53" s="10"/>
      <c r="R53" s="10"/>
      <c r="S53" s="10"/>
      <c r="T53" s="10"/>
      <c r="U53" s="291"/>
      <c r="V53" s="291"/>
      <c r="X53" s="10"/>
      <c r="Y53" s="10"/>
      <c r="Z53" s="10"/>
    </row>
    <row r="54" spans="1:26" ht="14.25" customHeight="1" x14ac:dyDescent="0.2">
      <c r="A54" s="10"/>
      <c r="B54" s="10"/>
      <c r="C54" s="10"/>
      <c r="D54" s="10"/>
      <c r="E54" s="10"/>
      <c r="F54" s="10"/>
      <c r="G54" s="10"/>
      <c r="H54" s="10"/>
      <c r="I54" s="10"/>
      <c r="J54" s="10"/>
      <c r="K54" s="10"/>
      <c r="L54" s="10"/>
      <c r="M54" s="10"/>
      <c r="N54" s="10"/>
      <c r="O54" s="10"/>
      <c r="P54" s="10"/>
      <c r="Q54" s="10"/>
      <c r="R54" s="10"/>
      <c r="S54" s="10"/>
      <c r="T54" s="10"/>
      <c r="U54" s="291"/>
      <c r="V54" s="291"/>
      <c r="X54" s="10"/>
      <c r="Y54" s="10"/>
      <c r="Z54" s="10"/>
    </row>
    <row r="55" spans="1:26" ht="14.25" customHeight="1" x14ac:dyDescent="0.2">
      <c r="A55" s="10"/>
      <c r="B55" s="10"/>
      <c r="C55" s="10"/>
      <c r="D55" s="10"/>
      <c r="E55" s="10"/>
      <c r="F55" s="10"/>
      <c r="G55" s="10"/>
      <c r="H55" s="10"/>
      <c r="I55" s="10"/>
      <c r="J55" s="10"/>
      <c r="K55" s="10"/>
      <c r="L55" s="10"/>
      <c r="M55" s="10"/>
      <c r="N55" s="10"/>
      <c r="O55" s="10"/>
      <c r="P55" s="10"/>
      <c r="Q55" s="10"/>
      <c r="R55" s="10"/>
      <c r="S55" s="10"/>
      <c r="T55" s="10"/>
      <c r="U55" s="291"/>
      <c r="V55" s="291"/>
      <c r="X55" s="10"/>
      <c r="Y55" s="10"/>
      <c r="Z55" s="10"/>
    </row>
    <row r="56" spans="1:26" ht="14.25" customHeight="1" x14ac:dyDescent="0.2">
      <c r="A56" s="10"/>
      <c r="B56" s="10"/>
      <c r="C56" s="10"/>
      <c r="D56" s="10"/>
      <c r="E56" s="10"/>
      <c r="F56" s="10"/>
      <c r="G56" s="10"/>
      <c r="H56" s="10"/>
      <c r="I56" s="10"/>
      <c r="J56" s="10"/>
      <c r="K56" s="10"/>
      <c r="L56" s="10"/>
      <c r="M56" s="10"/>
      <c r="N56" s="10"/>
      <c r="O56" s="10"/>
      <c r="P56" s="10"/>
      <c r="Q56" s="10"/>
      <c r="R56" s="10"/>
      <c r="S56" s="10"/>
      <c r="T56" s="10"/>
      <c r="U56" s="291"/>
      <c r="V56" s="291"/>
      <c r="X56" s="10"/>
      <c r="Y56" s="10"/>
      <c r="Z56" s="10"/>
    </row>
    <row r="57" spans="1:26" ht="14.25" customHeight="1" x14ac:dyDescent="0.2">
      <c r="A57" s="10"/>
      <c r="B57" s="10"/>
      <c r="C57" s="10"/>
      <c r="D57" s="10"/>
      <c r="E57" s="10"/>
      <c r="F57" s="10"/>
      <c r="G57" s="10"/>
      <c r="H57" s="10"/>
      <c r="I57" s="10"/>
      <c r="J57" s="10"/>
      <c r="K57" s="10"/>
      <c r="L57" s="10"/>
      <c r="M57" s="10"/>
      <c r="N57" s="10"/>
      <c r="O57" s="10"/>
      <c r="P57" s="10"/>
      <c r="Q57" s="10"/>
      <c r="R57" s="10"/>
      <c r="S57" s="10"/>
      <c r="T57" s="10"/>
      <c r="U57" s="291"/>
      <c r="V57" s="291"/>
      <c r="X57" s="10"/>
      <c r="Y57" s="10"/>
      <c r="Z57" s="10"/>
    </row>
    <row r="58" spans="1:26" ht="14.25" customHeight="1" x14ac:dyDescent="0.2">
      <c r="A58" s="10"/>
      <c r="B58" s="10"/>
      <c r="C58" s="10"/>
      <c r="D58" s="10"/>
      <c r="E58" s="10"/>
      <c r="F58" s="10"/>
      <c r="G58" s="10"/>
      <c r="H58" s="10"/>
      <c r="I58" s="10"/>
      <c r="J58" s="10"/>
      <c r="K58" s="10"/>
      <c r="L58" s="10"/>
      <c r="M58" s="10"/>
      <c r="N58" s="10"/>
      <c r="O58" s="10"/>
      <c r="P58" s="10"/>
      <c r="Q58" s="10"/>
      <c r="R58" s="10"/>
      <c r="S58" s="10"/>
      <c r="T58" s="10"/>
      <c r="U58" s="291"/>
      <c r="V58" s="291"/>
      <c r="X58" s="10"/>
      <c r="Y58" s="10"/>
      <c r="Z58" s="10"/>
    </row>
    <row r="59" spans="1:26" ht="14.25" customHeight="1" x14ac:dyDescent="0.2">
      <c r="A59" s="10"/>
      <c r="B59" s="10"/>
      <c r="C59" s="10"/>
      <c r="D59" s="10"/>
      <c r="E59" s="10"/>
      <c r="F59" s="10"/>
      <c r="G59" s="10"/>
      <c r="H59" s="10"/>
      <c r="I59" s="10"/>
      <c r="J59" s="10"/>
      <c r="K59" s="10"/>
      <c r="L59" s="10"/>
      <c r="M59" s="10"/>
      <c r="N59" s="10"/>
      <c r="O59" s="10"/>
      <c r="P59" s="10"/>
      <c r="Q59" s="10"/>
      <c r="R59" s="10"/>
      <c r="S59" s="10"/>
      <c r="T59" s="10"/>
      <c r="U59" s="291"/>
      <c r="V59" s="291"/>
      <c r="X59" s="10"/>
      <c r="Y59" s="10"/>
      <c r="Z59" s="10"/>
    </row>
    <row r="60" spans="1:26" ht="14.25" customHeight="1" x14ac:dyDescent="0.2">
      <c r="A60" s="10"/>
      <c r="B60" s="10"/>
      <c r="C60" s="10"/>
      <c r="D60" s="10"/>
      <c r="E60" s="10"/>
      <c r="F60" s="10"/>
      <c r="G60" s="10"/>
      <c r="H60" s="10"/>
      <c r="I60" s="10"/>
      <c r="J60" s="10"/>
      <c r="K60" s="10"/>
      <c r="L60" s="10"/>
      <c r="M60" s="10"/>
      <c r="N60" s="10"/>
      <c r="O60" s="10"/>
      <c r="P60" s="10"/>
      <c r="Q60" s="10"/>
      <c r="R60" s="10"/>
      <c r="S60" s="10"/>
      <c r="T60" s="10"/>
      <c r="U60" s="291"/>
      <c r="V60" s="291"/>
      <c r="X60" s="10"/>
      <c r="Y60" s="10"/>
      <c r="Z60" s="10"/>
    </row>
    <row r="61" spans="1:26" ht="14.25" customHeight="1" x14ac:dyDescent="0.2">
      <c r="A61" s="10"/>
      <c r="B61" s="10"/>
      <c r="C61" s="10"/>
      <c r="D61" s="10"/>
      <c r="E61" s="10"/>
      <c r="F61" s="10"/>
      <c r="G61" s="10"/>
      <c r="H61" s="10"/>
      <c r="I61" s="10"/>
      <c r="J61" s="10"/>
      <c r="K61" s="10"/>
      <c r="L61" s="10"/>
      <c r="M61" s="10"/>
      <c r="N61" s="10"/>
      <c r="O61" s="10"/>
      <c r="P61" s="10"/>
      <c r="Q61" s="10"/>
      <c r="R61" s="10"/>
      <c r="S61" s="10"/>
      <c r="T61" s="10"/>
      <c r="U61" s="291"/>
      <c r="V61" s="291"/>
      <c r="X61" s="10"/>
      <c r="Y61" s="10"/>
      <c r="Z61" s="10"/>
    </row>
    <row r="62" spans="1:26" ht="14.25" customHeight="1" x14ac:dyDescent="0.2">
      <c r="A62" s="10"/>
      <c r="B62" s="10"/>
      <c r="C62" s="10"/>
      <c r="D62" s="10"/>
      <c r="E62" s="10"/>
      <c r="F62" s="10"/>
      <c r="G62" s="10"/>
      <c r="H62" s="10"/>
      <c r="I62" s="10"/>
      <c r="J62" s="10"/>
      <c r="K62" s="10"/>
      <c r="L62" s="10"/>
      <c r="M62" s="10"/>
      <c r="N62" s="10"/>
      <c r="O62" s="10"/>
      <c r="P62" s="10"/>
      <c r="Q62" s="10"/>
      <c r="R62" s="10"/>
      <c r="S62" s="10"/>
      <c r="T62" s="10"/>
      <c r="U62" s="291"/>
      <c r="V62" s="291"/>
      <c r="X62" s="10"/>
      <c r="Y62" s="10"/>
      <c r="Z62" s="10"/>
    </row>
    <row r="63" spans="1:26" ht="14.25" customHeight="1" x14ac:dyDescent="0.2">
      <c r="A63" s="10"/>
      <c r="B63" s="10"/>
      <c r="C63" s="10"/>
      <c r="D63" s="10"/>
      <c r="E63" s="10"/>
      <c r="F63" s="10"/>
      <c r="G63" s="10"/>
      <c r="H63" s="10"/>
      <c r="I63" s="10"/>
      <c r="J63" s="10"/>
      <c r="K63" s="10"/>
      <c r="L63" s="10"/>
      <c r="M63" s="10"/>
      <c r="N63" s="10"/>
      <c r="O63" s="10"/>
      <c r="P63" s="10"/>
      <c r="Q63" s="10"/>
      <c r="R63" s="10"/>
      <c r="S63" s="10"/>
      <c r="T63" s="10"/>
      <c r="U63" s="291"/>
      <c r="V63" s="291"/>
      <c r="X63" s="10"/>
      <c r="Y63" s="10"/>
      <c r="Z63" s="10"/>
    </row>
    <row r="64" spans="1:26" ht="14.25" customHeight="1" x14ac:dyDescent="0.2">
      <c r="A64" s="10"/>
      <c r="B64" s="10"/>
      <c r="C64" s="10"/>
      <c r="D64" s="10"/>
      <c r="E64" s="10"/>
      <c r="F64" s="10"/>
      <c r="G64" s="10"/>
      <c r="H64" s="10"/>
      <c r="I64" s="10"/>
      <c r="J64" s="10"/>
      <c r="K64" s="10"/>
      <c r="L64" s="10"/>
      <c r="M64" s="10"/>
      <c r="N64" s="10"/>
      <c r="O64" s="10"/>
      <c r="P64" s="10"/>
      <c r="Q64" s="10"/>
      <c r="R64" s="10"/>
      <c r="S64" s="10"/>
      <c r="T64" s="10"/>
      <c r="U64" s="291"/>
      <c r="V64" s="291"/>
      <c r="X64" s="10"/>
      <c r="Y64" s="10"/>
      <c r="Z64" s="10"/>
    </row>
    <row r="65" spans="1:26" ht="14.25" customHeight="1" x14ac:dyDescent="0.2">
      <c r="A65" s="10"/>
      <c r="B65" s="10"/>
      <c r="C65" s="10"/>
      <c r="D65" s="10"/>
      <c r="E65" s="10"/>
      <c r="F65" s="10"/>
      <c r="G65" s="10"/>
      <c r="H65" s="10"/>
      <c r="I65" s="10"/>
      <c r="J65" s="10"/>
      <c r="K65" s="10"/>
      <c r="L65" s="10"/>
      <c r="M65" s="10"/>
      <c r="N65" s="10"/>
      <c r="O65" s="10"/>
      <c r="P65" s="10"/>
      <c r="Q65" s="10"/>
      <c r="R65" s="10"/>
      <c r="S65" s="10"/>
      <c r="T65" s="10"/>
      <c r="U65" s="291"/>
      <c r="V65" s="291"/>
      <c r="X65" s="10"/>
      <c r="Y65" s="10"/>
      <c r="Z65" s="10"/>
    </row>
    <row r="66" spans="1:26" ht="14.25" customHeight="1" x14ac:dyDescent="0.2">
      <c r="A66" s="10"/>
      <c r="B66" s="10"/>
      <c r="C66" s="10"/>
      <c r="D66" s="10"/>
      <c r="E66" s="10"/>
      <c r="F66" s="10"/>
      <c r="G66" s="10"/>
      <c r="H66" s="10"/>
      <c r="I66" s="10"/>
      <c r="J66" s="10"/>
      <c r="K66" s="10"/>
      <c r="L66" s="10"/>
      <c r="M66" s="10"/>
      <c r="N66" s="10"/>
      <c r="O66" s="10"/>
      <c r="P66" s="10"/>
      <c r="Q66" s="10"/>
      <c r="R66" s="10"/>
      <c r="S66" s="10"/>
      <c r="T66" s="10"/>
      <c r="U66" s="291"/>
      <c r="V66" s="291"/>
      <c r="X66" s="10"/>
      <c r="Y66" s="10"/>
      <c r="Z66" s="10"/>
    </row>
    <row r="67" spans="1:26" ht="14.25" customHeight="1" x14ac:dyDescent="0.2">
      <c r="A67" s="10"/>
      <c r="B67" s="10"/>
      <c r="C67" s="10"/>
      <c r="D67" s="10"/>
      <c r="E67" s="10"/>
      <c r="F67" s="10"/>
      <c r="G67" s="10"/>
      <c r="H67" s="10"/>
      <c r="I67" s="10"/>
      <c r="J67" s="10"/>
      <c r="K67" s="10"/>
      <c r="L67" s="10"/>
      <c r="M67" s="10"/>
      <c r="N67" s="10"/>
      <c r="O67" s="10"/>
      <c r="P67" s="10"/>
      <c r="Q67" s="10"/>
      <c r="R67" s="10"/>
      <c r="S67" s="10"/>
      <c r="T67" s="10"/>
      <c r="U67" s="291"/>
      <c r="V67" s="291"/>
      <c r="X67" s="10"/>
      <c r="Y67" s="10"/>
      <c r="Z67" s="10"/>
    </row>
    <row r="68" spans="1:26" ht="14.25" customHeight="1" x14ac:dyDescent="0.2">
      <c r="A68" s="10"/>
      <c r="B68" s="10"/>
      <c r="C68" s="10"/>
      <c r="D68" s="10"/>
      <c r="E68" s="10"/>
      <c r="F68" s="10"/>
      <c r="G68" s="10"/>
      <c r="H68" s="10"/>
      <c r="I68" s="10"/>
      <c r="J68" s="10"/>
      <c r="K68" s="10"/>
      <c r="L68" s="10"/>
      <c r="M68" s="10"/>
      <c r="N68" s="10"/>
      <c r="O68" s="10"/>
      <c r="P68" s="10"/>
      <c r="Q68" s="10"/>
      <c r="R68" s="10"/>
      <c r="S68" s="10"/>
      <c r="T68" s="10"/>
      <c r="U68" s="291"/>
      <c r="V68" s="291"/>
      <c r="X68" s="10"/>
      <c r="Y68" s="10"/>
      <c r="Z68" s="10"/>
    </row>
    <row r="69" spans="1:26" ht="14.25" customHeight="1" x14ac:dyDescent="0.2">
      <c r="A69" s="10"/>
      <c r="B69" s="10"/>
      <c r="C69" s="10"/>
      <c r="D69" s="10"/>
      <c r="E69" s="10"/>
      <c r="F69" s="10"/>
      <c r="G69" s="10"/>
      <c r="H69" s="10"/>
      <c r="I69" s="10"/>
      <c r="J69" s="10"/>
      <c r="K69" s="10"/>
      <c r="L69" s="10"/>
      <c r="M69" s="10"/>
      <c r="N69" s="10"/>
      <c r="O69" s="10"/>
      <c r="P69" s="10"/>
      <c r="Q69" s="10"/>
      <c r="R69" s="10"/>
      <c r="S69" s="10"/>
      <c r="T69" s="10"/>
      <c r="U69" s="291"/>
      <c r="V69" s="291"/>
      <c r="X69" s="10"/>
      <c r="Y69" s="10"/>
      <c r="Z69" s="10"/>
    </row>
    <row r="70" spans="1:26" ht="14.25" customHeight="1" x14ac:dyDescent="0.2">
      <c r="A70" s="10"/>
      <c r="B70" s="10"/>
      <c r="C70" s="10"/>
      <c r="D70" s="10"/>
      <c r="E70" s="10"/>
      <c r="F70" s="10"/>
      <c r="G70" s="10"/>
      <c r="H70" s="10"/>
      <c r="I70" s="10"/>
      <c r="J70" s="10"/>
      <c r="K70" s="10"/>
      <c r="L70" s="10"/>
      <c r="M70" s="10"/>
      <c r="N70" s="10"/>
      <c r="O70" s="10"/>
      <c r="P70" s="10"/>
      <c r="Q70" s="10"/>
      <c r="R70" s="10"/>
      <c r="S70" s="10"/>
      <c r="T70" s="10"/>
      <c r="U70" s="291"/>
      <c r="V70" s="291"/>
      <c r="X70" s="10"/>
      <c r="Y70" s="10"/>
      <c r="Z70" s="10"/>
    </row>
    <row r="71" spans="1:26" ht="14.25" customHeight="1" x14ac:dyDescent="0.2">
      <c r="A71" s="10"/>
      <c r="B71" s="10"/>
      <c r="C71" s="10"/>
      <c r="D71" s="10"/>
      <c r="E71" s="10"/>
      <c r="F71" s="10"/>
      <c r="G71" s="10"/>
      <c r="H71" s="10"/>
      <c r="I71" s="10"/>
      <c r="J71" s="10"/>
      <c r="K71" s="10"/>
      <c r="L71" s="10"/>
      <c r="M71" s="10"/>
      <c r="N71" s="10"/>
      <c r="O71" s="10"/>
      <c r="P71" s="10"/>
      <c r="Q71" s="10"/>
      <c r="R71" s="10"/>
      <c r="S71" s="10"/>
      <c r="T71" s="10"/>
      <c r="U71" s="291"/>
      <c r="V71" s="291"/>
      <c r="X71" s="10"/>
      <c r="Y71" s="10"/>
      <c r="Z71" s="10"/>
    </row>
    <row r="72" spans="1:26" ht="14.25" customHeight="1" x14ac:dyDescent="0.2">
      <c r="A72" s="10"/>
      <c r="B72" s="10"/>
      <c r="C72" s="10"/>
      <c r="D72" s="10"/>
      <c r="E72" s="10"/>
      <c r="F72" s="10"/>
      <c r="G72" s="10"/>
      <c r="H72" s="10"/>
      <c r="I72" s="10"/>
      <c r="J72" s="10"/>
      <c r="K72" s="10"/>
      <c r="L72" s="10"/>
      <c r="M72" s="10"/>
      <c r="N72" s="10"/>
      <c r="O72" s="10"/>
      <c r="P72" s="10"/>
      <c r="Q72" s="10"/>
      <c r="R72" s="10"/>
      <c r="S72" s="10"/>
      <c r="T72" s="10"/>
      <c r="U72" s="291"/>
      <c r="V72" s="291"/>
      <c r="X72" s="10"/>
      <c r="Y72" s="10"/>
      <c r="Z72" s="10"/>
    </row>
    <row r="73" spans="1:26" ht="14.25" customHeight="1" x14ac:dyDescent="0.2">
      <c r="A73" s="10"/>
      <c r="B73" s="10"/>
      <c r="C73" s="10"/>
      <c r="D73" s="10"/>
      <c r="E73" s="10"/>
      <c r="F73" s="10"/>
      <c r="G73" s="10"/>
      <c r="H73" s="10"/>
      <c r="I73" s="10"/>
      <c r="J73" s="10"/>
      <c r="K73" s="10"/>
      <c r="L73" s="10"/>
      <c r="M73" s="10"/>
      <c r="N73" s="10"/>
      <c r="O73" s="10"/>
      <c r="P73" s="10"/>
      <c r="Q73" s="10"/>
      <c r="R73" s="10"/>
      <c r="S73" s="10"/>
      <c r="T73" s="10"/>
      <c r="U73" s="291"/>
      <c r="V73" s="291"/>
      <c r="X73" s="10"/>
      <c r="Y73" s="10"/>
      <c r="Z73" s="10"/>
    </row>
    <row r="74" spans="1:26" ht="14.25" customHeight="1" x14ac:dyDescent="0.2">
      <c r="A74" s="10"/>
      <c r="B74" s="10"/>
      <c r="C74" s="10"/>
      <c r="D74" s="10"/>
      <c r="E74" s="10"/>
      <c r="F74" s="10"/>
      <c r="G74" s="10"/>
      <c r="H74" s="10"/>
      <c r="I74" s="10"/>
      <c r="J74" s="10"/>
      <c r="K74" s="10"/>
      <c r="L74" s="10"/>
      <c r="M74" s="10"/>
      <c r="N74" s="10"/>
      <c r="O74" s="10"/>
      <c r="P74" s="10"/>
      <c r="Q74" s="10"/>
      <c r="R74" s="10"/>
      <c r="S74" s="10"/>
      <c r="T74" s="10"/>
      <c r="U74" s="291"/>
      <c r="V74" s="291"/>
      <c r="X74" s="10"/>
      <c r="Y74" s="10"/>
      <c r="Z74" s="10"/>
    </row>
    <row r="75" spans="1:26" ht="14.25" customHeight="1" x14ac:dyDescent="0.2">
      <c r="A75" s="10"/>
      <c r="B75" s="10"/>
      <c r="C75" s="10"/>
      <c r="D75" s="10"/>
      <c r="E75" s="10"/>
      <c r="F75" s="10"/>
      <c r="G75" s="10"/>
      <c r="H75" s="10"/>
      <c r="I75" s="10"/>
      <c r="J75" s="10"/>
      <c r="K75" s="10"/>
      <c r="L75" s="10"/>
      <c r="M75" s="10"/>
      <c r="N75" s="10"/>
      <c r="O75" s="10"/>
      <c r="P75" s="10"/>
      <c r="Q75" s="10"/>
      <c r="R75" s="10"/>
      <c r="S75" s="10"/>
      <c r="T75" s="10"/>
      <c r="U75" s="291"/>
      <c r="V75" s="291"/>
      <c r="X75" s="10"/>
      <c r="Y75" s="10"/>
      <c r="Z75" s="10"/>
    </row>
    <row r="76" spans="1:26" ht="14.25" customHeight="1" x14ac:dyDescent="0.2">
      <c r="A76" s="10"/>
      <c r="B76" s="10"/>
      <c r="C76" s="10"/>
      <c r="D76" s="10"/>
      <c r="E76" s="10"/>
      <c r="F76" s="10"/>
      <c r="G76" s="10"/>
      <c r="H76" s="10"/>
      <c r="I76" s="10"/>
      <c r="J76" s="10"/>
      <c r="K76" s="10"/>
      <c r="L76" s="10"/>
      <c r="M76" s="10"/>
      <c r="N76" s="10"/>
      <c r="O76" s="10"/>
      <c r="P76" s="10"/>
      <c r="Q76" s="10"/>
      <c r="R76" s="10"/>
      <c r="S76" s="10"/>
      <c r="T76" s="10"/>
      <c r="U76" s="291"/>
      <c r="V76" s="291"/>
      <c r="X76" s="10"/>
      <c r="Y76" s="10"/>
      <c r="Z76" s="10"/>
    </row>
    <row r="77" spans="1:26" ht="14.25" customHeight="1" x14ac:dyDescent="0.2">
      <c r="A77" s="10"/>
      <c r="B77" s="10"/>
      <c r="C77" s="10"/>
      <c r="D77" s="10"/>
      <c r="E77" s="10"/>
      <c r="F77" s="10"/>
      <c r="G77" s="10"/>
      <c r="H77" s="10"/>
      <c r="I77" s="10"/>
      <c r="J77" s="10"/>
      <c r="K77" s="10"/>
      <c r="L77" s="10"/>
      <c r="M77" s="10"/>
      <c r="N77" s="10"/>
      <c r="O77" s="10"/>
      <c r="P77" s="10"/>
      <c r="Q77" s="10"/>
      <c r="R77" s="10"/>
      <c r="S77" s="10"/>
      <c r="T77" s="10"/>
      <c r="U77" s="291"/>
      <c r="V77" s="291"/>
      <c r="X77" s="10"/>
      <c r="Y77" s="10"/>
      <c r="Z77" s="10"/>
    </row>
    <row r="78" spans="1:26" ht="14.25" customHeight="1" x14ac:dyDescent="0.2">
      <c r="A78" s="10"/>
      <c r="B78" s="10"/>
      <c r="C78" s="10"/>
      <c r="D78" s="10"/>
      <c r="E78" s="10"/>
      <c r="F78" s="10"/>
      <c r="G78" s="10"/>
      <c r="H78" s="10"/>
      <c r="I78" s="10"/>
      <c r="J78" s="10"/>
      <c r="K78" s="10"/>
      <c r="L78" s="10"/>
      <c r="M78" s="10"/>
      <c r="N78" s="10"/>
      <c r="O78" s="10"/>
      <c r="P78" s="10"/>
      <c r="Q78" s="10"/>
      <c r="R78" s="10"/>
      <c r="S78" s="10"/>
      <c r="T78" s="10"/>
      <c r="U78" s="291"/>
      <c r="V78" s="291"/>
      <c r="X78" s="10"/>
      <c r="Y78" s="10"/>
      <c r="Z78" s="10"/>
    </row>
    <row r="79" spans="1:26" ht="14.25" customHeight="1" x14ac:dyDescent="0.2">
      <c r="A79" s="10"/>
      <c r="B79" s="10"/>
      <c r="C79" s="10"/>
      <c r="D79" s="10"/>
      <c r="E79" s="10"/>
      <c r="F79" s="10"/>
      <c r="G79" s="10"/>
      <c r="H79" s="10"/>
      <c r="I79" s="10"/>
      <c r="J79" s="10"/>
      <c r="K79" s="10"/>
      <c r="L79" s="10"/>
      <c r="M79" s="10"/>
      <c r="N79" s="10"/>
      <c r="O79" s="10"/>
      <c r="P79" s="10"/>
      <c r="Q79" s="10"/>
      <c r="R79" s="10"/>
      <c r="S79" s="10"/>
      <c r="T79" s="10"/>
      <c r="U79" s="291"/>
      <c r="V79" s="291"/>
      <c r="X79" s="10"/>
      <c r="Y79" s="10"/>
      <c r="Z79" s="10"/>
    </row>
    <row r="80" spans="1:26" ht="14.25" customHeight="1" x14ac:dyDescent="0.2">
      <c r="A80" s="10"/>
      <c r="B80" s="10"/>
      <c r="C80" s="10"/>
      <c r="D80" s="10"/>
      <c r="E80" s="10"/>
      <c r="F80" s="10"/>
      <c r="G80" s="10"/>
      <c r="H80" s="10"/>
      <c r="I80" s="10"/>
      <c r="J80" s="10"/>
      <c r="K80" s="10"/>
      <c r="L80" s="10"/>
      <c r="M80" s="10"/>
      <c r="N80" s="10"/>
      <c r="O80" s="10"/>
      <c r="P80" s="10"/>
      <c r="Q80" s="10"/>
      <c r="R80" s="10"/>
      <c r="S80" s="10"/>
      <c r="T80" s="10"/>
      <c r="U80" s="291"/>
      <c r="V80" s="291"/>
      <c r="X80" s="10"/>
      <c r="Y80" s="10"/>
      <c r="Z80" s="10"/>
    </row>
    <row r="81" spans="1:26" ht="14.25" customHeight="1" x14ac:dyDescent="0.2">
      <c r="A81" s="10"/>
      <c r="B81" s="10"/>
      <c r="C81" s="10"/>
      <c r="D81" s="10"/>
      <c r="E81" s="10"/>
      <c r="F81" s="10"/>
      <c r="G81" s="10"/>
      <c r="H81" s="10"/>
      <c r="I81" s="10"/>
      <c r="J81" s="10"/>
      <c r="K81" s="10"/>
      <c r="L81" s="10"/>
      <c r="M81" s="10"/>
      <c r="N81" s="10"/>
      <c r="O81" s="10"/>
      <c r="P81" s="10"/>
      <c r="Q81" s="10"/>
      <c r="R81" s="10"/>
      <c r="S81" s="10"/>
      <c r="T81" s="10"/>
      <c r="U81" s="291"/>
      <c r="V81" s="291"/>
      <c r="X81" s="10"/>
      <c r="Y81" s="10"/>
      <c r="Z81" s="10"/>
    </row>
    <row r="82" spans="1:26" ht="14.25" customHeight="1" x14ac:dyDescent="0.2">
      <c r="A82" s="10"/>
      <c r="B82" s="10"/>
      <c r="C82" s="10"/>
      <c r="D82" s="10"/>
      <c r="E82" s="10"/>
      <c r="F82" s="10"/>
      <c r="G82" s="10"/>
      <c r="H82" s="10"/>
      <c r="I82" s="10"/>
      <c r="J82" s="10"/>
      <c r="K82" s="10"/>
      <c r="L82" s="10"/>
      <c r="M82" s="10"/>
      <c r="N82" s="10"/>
      <c r="O82" s="10"/>
      <c r="P82" s="10"/>
      <c r="Q82" s="10"/>
      <c r="R82" s="10"/>
      <c r="S82" s="10"/>
      <c r="T82" s="10"/>
      <c r="U82" s="291"/>
      <c r="V82" s="291"/>
      <c r="X82" s="10"/>
      <c r="Y82" s="10"/>
      <c r="Z82" s="10"/>
    </row>
    <row r="83" spans="1:26" ht="14.25" customHeight="1" x14ac:dyDescent="0.2">
      <c r="A83" s="10"/>
      <c r="B83" s="3" t="s">
        <v>866</v>
      </c>
      <c r="C83" s="10"/>
      <c r="D83" s="10"/>
      <c r="E83" s="10"/>
      <c r="F83" s="10"/>
      <c r="G83" s="10"/>
      <c r="H83" s="10"/>
      <c r="I83" s="10"/>
      <c r="J83" s="10"/>
      <c r="K83" s="10"/>
      <c r="L83" s="10"/>
      <c r="M83" s="10"/>
      <c r="N83" s="10"/>
      <c r="O83" s="10"/>
      <c r="P83" s="10"/>
      <c r="Q83" s="10"/>
      <c r="R83" s="10"/>
      <c r="S83" s="10"/>
      <c r="T83" s="10"/>
      <c r="U83" s="10"/>
      <c r="V83" s="10"/>
      <c r="W83" s="10"/>
      <c r="X83" s="10"/>
      <c r="Y83" s="10"/>
      <c r="Z83" s="10"/>
    </row>
    <row r="84" spans="1:26" ht="14.25" customHeight="1" x14ac:dyDescent="0.2">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ht="95" customHeight="1" x14ac:dyDescent="0.2">
      <c r="A85" s="10"/>
      <c r="B85" s="341" t="s">
        <v>867</v>
      </c>
      <c r="C85" s="342"/>
      <c r="D85" s="342"/>
      <c r="E85" s="342"/>
      <c r="F85" s="342"/>
      <c r="G85" s="342"/>
      <c r="H85" s="342"/>
      <c r="I85" s="342"/>
      <c r="J85" s="342"/>
      <c r="K85" s="342"/>
      <c r="L85" s="343"/>
      <c r="M85" s="10"/>
      <c r="N85" s="10"/>
      <c r="O85" s="10"/>
      <c r="P85" s="10"/>
      <c r="Q85" s="10"/>
      <c r="R85" s="10"/>
      <c r="S85" s="10"/>
      <c r="T85" s="10"/>
      <c r="U85" s="10"/>
      <c r="V85" s="10"/>
      <c r="W85" s="10"/>
      <c r="X85" s="10"/>
      <c r="Y85" s="10"/>
      <c r="Z85" s="10"/>
    </row>
    <row r="86" spans="1:26" ht="14.25" customHeight="1" x14ac:dyDescent="0.2">
      <c r="A86" s="10"/>
      <c r="B86" s="328" t="s">
        <v>868</v>
      </c>
      <c r="C86" s="306"/>
      <c r="D86" s="306"/>
      <c r="E86" s="306"/>
      <c r="F86" s="306"/>
      <c r="G86" s="306"/>
      <c r="H86" s="306"/>
      <c r="I86" s="306"/>
      <c r="J86" s="306"/>
      <c r="K86" s="306"/>
      <c r="L86" s="307"/>
      <c r="M86" s="10"/>
      <c r="N86" s="10"/>
      <c r="O86" s="10"/>
      <c r="P86" s="10"/>
      <c r="Q86" s="10"/>
      <c r="R86" s="10"/>
      <c r="S86" s="10"/>
      <c r="T86" s="10"/>
      <c r="U86" s="10"/>
      <c r="V86" s="10"/>
      <c r="W86" s="10"/>
      <c r="X86" s="10"/>
      <c r="Y86" s="10"/>
      <c r="Z86" s="10"/>
    </row>
    <row r="87" spans="1:26" ht="14.25" customHeight="1" x14ac:dyDescent="0.2">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row>
    <row r="88" spans="1:26" ht="14.25" customHeight="1" x14ac:dyDescent="0.2">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row>
    <row r="89" spans="1:26" ht="14.25" customHeight="1" x14ac:dyDescent="0.2">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row>
    <row r="90" spans="1:26" ht="14.25" customHeight="1" x14ac:dyDescent="0.2">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row>
    <row r="91" spans="1:26" ht="14.25" customHeight="1" x14ac:dyDescent="0.2">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row>
    <row r="92" spans="1:26" ht="14.25" customHeight="1" x14ac:dyDescent="0.2">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row>
    <row r="93" spans="1:26" ht="14.25" customHeight="1" x14ac:dyDescent="0.2">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row>
    <row r="94" spans="1:26" ht="14.25" customHeight="1" x14ac:dyDescent="0.2">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row>
    <row r="95" spans="1:26" ht="14.25" customHeight="1" x14ac:dyDescent="0.2">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row>
    <row r="96" spans="1:26" ht="14.25" customHeight="1" x14ac:dyDescent="0.2">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row>
    <row r="97" spans="1:26" ht="14.25" customHeight="1" x14ac:dyDescent="0.2">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row>
    <row r="98" spans="1:26" ht="14.25" customHeight="1" x14ac:dyDescent="0.2">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row>
    <row r="99" spans="1:26" ht="14.25" customHeight="1" x14ac:dyDescent="0.2">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row>
    <row r="100" spans="1:26" ht="14.25" customHeight="1" x14ac:dyDescent="0.2">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row>
    <row r="101" spans="1:26" ht="14.25" customHeight="1" x14ac:dyDescent="0.2">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row>
    <row r="102" spans="1:26" ht="14.25" customHeight="1" x14ac:dyDescent="0.2">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row>
    <row r="103" spans="1:26" ht="14.25" customHeight="1" x14ac:dyDescent="0.2">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row>
    <row r="104" spans="1:26" ht="14.25" customHeight="1" x14ac:dyDescent="0.2">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row>
    <row r="105" spans="1:26" ht="14.25" customHeight="1" x14ac:dyDescent="0.2">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spans="1:26" ht="14.25" customHeight="1" x14ac:dyDescent="0.2">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row>
    <row r="107" spans="1:26" ht="14.25" customHeight="1" x14ac:dyDescent="0.2">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row>
    <row r="108" spans="1:26" ht="14.25" customHeight="1" x14ac:dyDescent="0.2">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row>
    <row r="109" spans="1:26" ht="14.25" customHeight="1" x14ac:dyDescent="0.2">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row>
    <row r="110" spans="1:26" ht="14.25" customHeight="1" x14ac:dyDescent="0.2">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row>
    <row r="111" spans="1:26" ht="14.25" customHeight="1" x14ac:dyDescent="0.2">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row>
    <row r="112" spans="1:26" ht="14.25" customHeight="1" x14ac:dyDescent="0.2">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spans="1:26" ht="14.25" customHeight="1" x14ac:dyDescent="0.2">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spans="1:26" ht="14.25" customHeight="1" x14ac:dyDescent="0.2">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spans="1:26" ht="14.25" customHeight="1" x14ac:dyDescent="0.2">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spans="1:26" ht="14.25" customHeight="1" x14ac:dyDescent="0.2">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spans="1:26" ht="14.25" customHeight="1" x14ac:dyDescent="0.2">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spans="1:26" ht="14.25" customHeight="1" x14ac:dyDescent="0.2">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spans="1:26" ht="14.25" customHeight="1" x14ac:dyDescent="0.2">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spans="1:26" ht="14.25" customHeight="1" x14ac:dyDescent="0.2">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spans="1:26" ht="14.25" customHeight="1" x14ac:dyDescent="0.2">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spans="1:26" ht="14.25" customHeight="1" x14ac:dyDescent="0.2">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spans="1:26" ht="14.25" customHeight="1" x14ac:dyDescent="0.2">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row>
    <row r="124" spans="1:26" ht="14.25" customHeight="1" x14ac:dyDescent="0.2">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row>
    <row r="125" spans="1:26" ht="14.25" customHeight="1" x14ac:dyDescent="0.2">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row>
    <row r="126" spans="1:26" ht="14.25" customHeight="1" x14ac:dyDescent="0.2">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row>
    <row r="127" spans="1:26" ht="14.25" customHeight="1" x14ac:dyDescent="0.2">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row>
    <row r="128" spans="1:26" ht="14.25" customHeight="1" x14ac:dyDescent="0.2">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row>
    <row r="129" spans="1:26" ht="14.25" customHeight="1" x14ac:dyDescent="0.2">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row>
    <row r="130" spans="1:26" ht="14.25" customHeight="1" x14ac:dyDescent="0.2">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row>
    <row r="131" spans="1:26" ht="14.25" customHeight="1" x14ac:dyDescent="0.2">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row>
    <row r="132" spans="1:26" ht="14.25" customHeight="1" x14ac:dyDescent="0.2">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row>
    <row r="133" spans="1:26" ht="14.25" customHeight="1" x14ac:dyDescent="0.2">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row>
    <row r="134" spans="1:26" ht="14.25" customHeight="1" x14ac:dyDescent="0.2">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row>
    <row r="135" spans="1:26" ht="14.25" customHeight="1" x14ac:dyDescent="0.2">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row>
    <row r="136" spans="1:26" ht="14.25" customHeight="1" x14ac:dyDescent="0.2">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row>
    <row r="137" spans="1:26" ht="14.25" customHeight="1" x14ac:dyDescent="0.2">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row>
    <row r="138" spans="1:26" ht="14.25" customHeight="1" x14ac:dyDescent="0.2">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row>
    <row r="139" spans="1:26" ht="14.25" customHeight="1" x14ac:dyDescent="0.2">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row>
    <row r="140" spans="1:26" ht="14.25" customHeight="1" x14ac:dyDescent="0.2">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row>
    <row r="141" spans="1:26" ht="14.25" customHeight="1" x14ac:dyDescent="0.2">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row>
    <row r="142" spans="1:26" ht="14.25" customHeight="1" x14ac:dyDescent="0.2">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row>
    <row r="143" spans="1:26" ht="14.25" customHeight="1" x14ac:dyDescent="0.2">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row>
    <row r="144" spans="1:26" ht="14.25" customHeight="1" x14ac:dyDescent="0.2">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row>
    <row r="145" spans="1:26" ht="14.25" customHeight="1" x14ac:dyDescent="0.2">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row>
    <row r="146" spans="1:26" ht="14.25" customHeight="1" x14ac:dyDescent="0.2">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row>
    <row r="147" spans="1:26" ht="14.25" customHeight="1" x14ac:dyDescent="0.2">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row>
    <row r="148" spans="1:26" ht="14.25" customHeight="1" x14ac:dyDescent="0.2">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row>
    <row r="149" spans="1:26" ht="14.25" customHeight="1" x14ac:dyDescent="0.2">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row>
    <row r="150" spans="1:26" ht="14.25" customHeight="1" x14ac:dyDescent="0.2">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row>
    <row r="151" spans="1:26" ht="14.25" customHeight="1" x14ac:dyDescent="0.2">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row>
    <row r="152" spans="1:26" ht="14.25" customHeight="1" x14ac:dyDescent="0.2">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row>
    <row r="153" spans="1:26" ht="14.25" customHeight="1" x14ac:dyDescent="0.2">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row>
    <row r="154" spans="1:26" ht="14.25" customHeight="1" x14ac:dyDescent="0.2">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row>
    <row r="155" spans="1:26" ht="14.25" customHeight="1" x14ac:dyDescent="0.2">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row>
    <row r="156" spans="1:26" ht="14.25" customHeight="1" x14ac:dyDescent="0.2">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row>
    <row r="157" spans="1:26" ht="14.25" customHeight="1" x14ac:dyDescent="0.2">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row>
    <row r="158" spans="1:26" ht="14.25" customHeight="1" x14ac:dyDescent="0.2">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row>
    <row r="159" spans="1:26" ht="14.25" customHeight="1" x14ac:dyDescent="0.2">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row>
    <row r="160" spans="1:26" ht="14.25" customHeight="1" x14ac:dyDescent="0.2">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row>
    <row r="161" spans="1:26" ht="14.25" customHeight="1" x14ac:dyDescent="0.2">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row>
    <row r="162" spans="1:26" ht="14.25" customHeight="1" x14ac:dyDescent="0.2">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row>
    <row r="163" spans="1:26" ht="14.25" customHeight="1" x14ac:dyDescent="0.2">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row>
    <row r="164" spans="1:26" ht="14.25" customHeight="1" x14ac:dyDescent="0.2">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row>
    <row r="165" spans="1:26" ht="14.25" customHeight="1" x14ac:dyDescent="0.2">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row>
    <row r="166" spans="1:26" ht="14.25" customHeight="1" x14ac:dyDescent="0.2">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row>
    <row r="167" spans="1:26" ht="14.25" customHeight="1" x14ac:dyDescent="0.2">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row>
    <row r="168" spans="1:26" ht="14.25" customHeight="1" x14ac:dyDescent="0.2">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row>
    <row r="169" spans="1:26" ht="14.25" customHeight="1" x14ac:dyDescent="0.2">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row>
    <row r="170" spans="1:26" ht="14.25" customHeight="1" x14ac:dyDescent="0.2">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row>
    <row r="171" spans="1:26" ht="14.25" customHeight="1" x14ac:dyDescent="0.2">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row>
    <row r="172" spans="1:26" ht="14.25" customHeight="1" x14ac:dyDescent="0.2">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row>
    <row r="173" spans="1:26" ht="14.25" customHeight="1" x14ac:dyDescent="0.2">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row>
    <row r="174" spans="1:26" ht="14.25" customHeight="1" x14ac:dyDescent="0.2">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row>
    <row r="175" spans="1:26" ht="14.25" customHeight="1" x14ac:dyDescent="0.2">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row>
    <row r="176" spans="1:26" ht="14.25" customHeight="1" x14ac:dyDescent="0.2">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row>
    <row r="177" spans="1:26" ht="14.25" customHeight="1" x14ac:dyDescent="0.2">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row>
    <row r="178" spans="1:26" ht="14.25" customHeight="1" x14ac:dyDescent="0.2">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row>
    <row r="179" spans="1:26" ht="14.25" customHeight="1" x14ac:dyDescent="0.2">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row>
    <row r="180" spans="1:26" ht="14.25" customHeight="1" x14ac:dyDescent="0.2">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row>
    <row r="181" spans="1:26" ht="14.25" customHeight="1" x14ac:dyDescent="0.2">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row>
    <row r="182" spans="1:26" ht="14.25" customHeight="1" x14ac:dyDescent="0.2">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row>
    <row r="183" spans="1:26" ht="14.25" customHeight="1" x14ac:dyDescent="0.2">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row>
    <row r="184" spans="1:26" ht="14.25" customHeight="1" x14ac:dyDescent="0.2">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row>
    <row r="185" spans="1:26" ht="14.25" customHeight="1" x14ac:dyDescent="0.2">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row>
    <row r="186" spans="1:26" ht="14.25" customHeight="1" x14ac:dyDescent="0.2">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row>
    <row r="187" spans="1:26" ht="14.25" customHeight="1" x14ac:dyDescent="0.2">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row>
    <row r="188" spans="1:26" ht="14.25" customHeight="1" x14ac:dyDescent="0.2">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row>
    <row r="189" spans="1:26" ht="14.25" customHeight="1" x14ac:dyDescent="0.2">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row>
    <row r="190" spans="1:26" ht="14.25" customHeight="1" x14ac:dyDescent="0.2">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row>
    <row r="191" spans="1:26" ht="14.25" customHeight="1" x14ac:dyDescent="0.2">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row>
    <row r="192" spans="1:26" ht="14.25" customHeight="1" x14ac:dyDescent="0.2">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row>
    <row r="193" spans="1:26" ht="14.25" customHeight="1" x14ac:dyDescent="0.2">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row>
    <row r="194" spans="1:26" ht="14.25" customHeight="1" x14ac:dyDescent="0.2">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row>
    <row r="195" spans="1:26" ht="14.25" customHeight="1" x14ac:dyDescent="0.2">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row>
    <row r="196" spans="1:26" ht="14.25" customHeight="1" x14ac:dyDescent="0.2">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row>
    <row r="197" spans="1:26" ht="14.25" customHeight="1" x14ac:dyDescent="0.2">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row>
    <row r="198" spans="1:26" ht="14.25" customHeight="1" x14ac:dyDescent="0.2">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row>
    <row r="199" spans="1:26" ht="14.25" customHeight="1" x14ac:dyDescent="0.2">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row>
    <row r="200" spans="1:26" ht="14.25" customHeight="1" x14ac:dyDescent="0.2">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row>
    <row r="201" spans="1:26" ht="14.25" customHeight="1" x14ac:dyDescent="0.2">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row>
    <row r="202" spans="1:26" ht="14.25" customHeight="1" x14ac:dyDescent="0.2">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row>
    <row r="203" spans="1:26" ht="14.25" customHeight="1" x14ac:dyDescent="0.2">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row>
    <row r="204" spans="1:26" ht="14.25" customHeight="1" x14ac:dyDescent="0.2">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row>
    <row r="205" spans="1:26" ht="14.25" customHeight="1" x14ac:dyDescent="0.2">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row>
    <row r="206" spans="1:26" ht="14.25" customHeight="1" x14ac:dyDescent="0.2">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row>
    <row r="207" spans="1:26" ht="14.25" customHeight="1" x14ac:dyDescent="0.2">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row>
    <row r="208" spans="1:26" ht="14.25" customHeight="1" x14ac:dyDescent="0.2">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row>
    <row r="209" spans="1:26" ht="14.25" customHeight="1" x14ac:dyDescent="0.2">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row>
    <row r="210" spans="1:26" ht="14.25" customHeight="1" x14ac:dyDescent="0.2">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row>
    <row r="211" spans="1:26" ht="14.25" customHeight="1" x14ac:dyDescent="0.2">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row>
    <row r="212" spans="1:26" ht="14.25" customHeight="1" x14ac:dyDescent="0.2">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row>
    <row r="213" spans="1:26" ht="14.25" customHeight="1" x14ac:dyDescent="0.2">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row>
    <row r="214" spans="1:26" ht="14.25" customHeight="1" x14ac:dyDescent="0.2">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row>
    <row r="215" spans="1:26" ht="14.25" customHeight="1" x14ac:dyDescent="0.2">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row>
    <row r="216" spans="1:26" ht="14.25" customHeight="1" x14ac:dyDescent="0.2">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row>
    <row r="217" spans="1:26" ht="14.25" customHeight="1" x14ac:dyDescent="0.2">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row>
    <row r="218" spans="1:26" ht="14.25" customHeight="1" x14ac:dyDescent="0.2">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row>
    <row r="219" spans="1:26" ht="14.25" customHeight="1" x14ac:dyDescent="0.2">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row>
    <row r="220" spans="1:26" ht="14.25" customHeight="1" x14ac:dyDescent="0.2">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row>
    <row r="221" spans="1:26" ht="14.25" customHeight="1" x14ac:dyDescent="0.2">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spans="1:26" ht="14.25" customHeight="1" x14ac:dyDescent="0.2">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spans="1:26" ht="14.25" customHeight="1" x14ac:dyDescent="0.2">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spans="1:26" ht="14.25" customHeight="1" x14ac:dyDescent="0.2">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spans="1:26" ht="14.25" customHeight="1" x14ac:dyDescent="0.2">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spans="1:26" ht="14.25" customHeight="1" x14ac:dyDescent="0.2">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spans="1:26" ht="14.25" customHeight="1" x14ac:dyDescent="0.2">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spans="1:26" ht="14.25" customHeight="1" x14ac:dyDescent="0.2">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spans="1:26" ht="14.25" customHeight="1" x14ac:dyDescent="0.2">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spans="1:26" ht="14.25" customHeight="1" x14ac:dyDescent="0.2">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spans="1:26" ht="14.25" customHeight="1" x14ac:dyDescent="0.2">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spans="1:26" ht="14.25" customHeight="1" x14ac:dyDescent="0.2">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spans="1:26" ht="14.25" customHeight="1" x14ac:dyDescent="0.2">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spans="1:26" ht="14.25" customHeight="1" x14ac:dyDescent="0.2">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spans="1:26" ht="14.25" customHeight="1" x14ac:dyDescent="0.2">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spans="1:26" ht="14.25" customHeight="1" x14ac:dyDescent="0.2">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spans="1:26" ht="14.25" customHeight="1" x14ac:dyDescent="0.2">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spans="1:26" ht="14.25" customHeight="1" x14ac:dyDescent="0.2">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spans="1:26" ht="14.25" customHeight="1" x14ac:dyDescent="0.2">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spans="1:26" ht="14.25" customHeight="1" x14ac:dyDescent="0.2">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spans="1:26" ht="14.25" customHeight="1" x14ac:dyDescent="0.2">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spans="1:26" ht="14.25" customHeight="1" x14ac:dyDescent="0.2">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spans="1:26" ht="14.25" customHeight="1" x14ac:dyDescent="0.2">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spans="1:26" ht="14.25" customHeight="1" x14ac:dyDescent="0.2">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spans="1:26" ht="14.25" customHeight="1" x14ac:dyDescent="0.2">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spans="1:26" ht="14.25" customHeight="1" x14ac:dyDescent="0.2">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spans="1:26" ht="14.25" customHeight="1" x14ac:dyDescent="0.2">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spans="1:26" ht="14.25" customHeight="1" x14ac:dyDescent="0.2">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spans="1:26" ht="14.25" customHeight="1" x14ac:dyDescent="0.2">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spans="1:26" ht="14.25" customHeight="1" x14ac:dyDescent="0.2">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spans="1:26" ht="14.25" customHeight="1" x14ac:dyDescent="0.2">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spans="1:26" ht="14.25" customHeight="1" x14ac:dyDescent="0.2">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spans="1:26" ht="14.25" customHeight="1" x14ac:dyDescent="0.2">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spans="1:26" ht="14.25" customHeight="1" x14ac:dyDescent="0.2">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spans="1:26" ht="14.25" customHeight="1" x14ac:dyDescent="0.2">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spans="1:26" ht="14.25" customHeight="1" x14ac:dyDescent="0.2">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spans="1:26" ht="14.25" customHeight="1" x14ac:dyDescent="0.2">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spans="1:26" ht="14.25" customHeight="1" x14ac:dyDescent="0.2">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spans="1:26" ht="14.25" customHeight="1" x14ac:dyDescent="0.2">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spans="1:26" ht="14.25" customHeight="1" x14ac:dyDescent="0.2">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spans="1:26" ht="14.25" customHeight="1" x14ac:dyDescent="0.2">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spans="1:26" ht="14.25" customHeight="1" x14ac:dyDescent="0.2">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spans="1:26" ht="14.25" customHeight="1" x14ac:dyDescent="0.2">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spans="1:26" ht="14.25" customHeight="1" x14ac:dyDescent="0.2">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spans="1:26" ht="14.25" customHeight="1" x14ac:dyDescent="0.2">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spans="1:26" ht="14.25" customHeight="1" x14ac:dyDescent="0.2">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spans="1:26" ht="14.25" customHeight="1" x14ac:dyDescent="0.2">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spans="1:26" ht="14.25" customHeight="1" x14ac:dyDescent="0.2">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spans="1:26" ht="14.25" customHeight="1" x14ac:dyDescent="0.2">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spans="1:26" ht="14.25" customHeight="1" x14ac:dyDescent="0.2">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spans="1:26" ht="14.25" customHeight="1" x14ac:dyDescent="0.2">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spans="1:26" ht="14.25" customHeight="1" x14ac:dyDescent="0.2">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spans="1:26" ht="14.25" customHeight="1" x14ac:dyDescent="0.2">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spans="1:26" ht="14.25" customHeight="1" x14ac:dyDescent="0.2">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spans="1:26" ht="14.25" customHeight="1" x14ac:dyDescent="0.2">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spans="1:26" ht="14.25" customHeight="1" x14ac:dyDescent="0.2">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spans="1:26" ht="14.25" customHeight="1" x14ac:dyDescent="0.2">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spans="1:26" ht="14.25" customHeight="1" x14ac:dyDescent="0.2">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spans="1:26" ht="14.25" customHeight="1" x14ac:dyDescent="0.2">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spans="1:26" ht="14.25" customHeight="1" x14ac:dyDescent="0.2">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spans="1:26" ht="14.25" customHeight="1" x14ac:dyDescent="0.2">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spans="1:26" ht="14.25" customHeight="1" x14ac:dyDescent="0.2">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spans="1:26" ht="14.25" customHeight="1" x14ac:dyDescent="0.2">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spans="1:26" ht="14.25" customHeight="1" x14ac:dyDescent="0.2">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spans="1:26" ht="14.25" customHeight="1" x14ac:dyDescent="0.2">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spans="1:26" ht="14.25" customHeight="1" x14ac:dyDescent="0.2">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spans="1:26" ht="14.25" customHeight="1" x14ac:dyDescent="0.2">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spans="1:26" ht="14.25" customHeight="1" x14ac:dyDescent="0.2">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spans="1:26" ht="14.25" customHeight="1" x14ac:dyDescent="0.2">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spans="1:26" ht="14.25" customHeight="1" x14ac:dyDescent="0.2">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spans="1:26" ht="14.25" customHeight="1" x14ac:dyDescent="0.2">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spans="1:26" ht="14.25" customHeight="1" x14ac:dyDescent="0.2">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spans="1:26" ht="14.25" customHeight="1" x14ac:dyDescent="0.2">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spans="1:26" ht="14.25" customHeight="1" x14ac:dyDescent="0.2">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spans="1:26" ht="14.25" customHeight="1" x14ac:dyDescent="0.2">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spans="1:26" ht="14.25" customHeight="1" x14ac:dyDescent="0.2">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spans="1:26" ht="14.25" customHeight="1" x14ac:dyDescent="0.2">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spans="1:26" ht="14.25" customHeight="1" x14ac:dyDescent="0.2">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spans="1:26" ht="14.25" customHeight="1" x14ac:dyDescent="0.2">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spans="1:26" ht="14.25" customHeight="1" x14ac:dyDescent="0.2">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spans="1:26" ht="14.25" customHeight="1" x14ac:dyDescent="0.2">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spans="1:26" ht="14.25" customHeight="1" x14ac:dyDescent="0.2">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spans="1:26" ht="14.25" customHeight="1" x14ac:dyDescent="0.2">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spans="1:26" ht="14.25" customHeight="1" x14ac:dyDescent="0.2">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spans="1:26" ht="14.25" customHeight="1" x14ac:dyDescent="0.2">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spans="1:26" ht="14.25" customHeight="1" x14ac:dyDescent="0.2">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spans="1:26" ht="14.25" customHeight="1" x14ac:dyDescent="0.2">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spans="1:26" ht="14.25" customHeight="1" x14ac:dyDescent="0.2">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spans="1:26" ht="14.25" customHeight="1" x14ac:dyDescent="0.2">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spans="1:26" ht="14.25" customHeight="1" x14ac:dyDescent="0.2">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spans="1:26" ht="14.25" customHeight="1" x14ac:dyDescent="0.2">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spans="1:26" ht="14.25" customHeight="1" x14ac:dyDescent="0.2">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spans="1:26" ht="14.25" customHeight="1" x14ac:dyDescent="0.2">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spans="1:26" ht="14.25" customHeight="1" x14ac:dyDescent="0.2">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spans="1:26" ht="14.25" customHeight="1" x14ac:dyDescent="0.2">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spans="1:26" ht="14.25" customHeight="1" x14ac:dyDescent="0.2">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spans="1:26" ht="14.25" customHeight="1" x14ac:dyDescent="0.2">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spans="1:26" ht="14.25" customHeight="1" x14ac:dyDescent="0.2">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spans="1:26" ht="14.25" customHeight="1" x14ac:dyDescent="0.2">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spans="1:26" ht="14.25" customHeight="1" x14ac:dyDescent="0.2">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spans="1:26" ht="14.25" customHeight="1" x14ac:dyDescent="0.2">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spans="1:26" ht="14.25" customHeight="1" x14ac:dyDescent="0.2">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spans="1:26" ht="14.25" customHeight="1" x14ac:dyDescent="0.2">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spans="1:26" ht="14.25" customHeight="1" x14ac:dyDescent="0.2">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spans="1:26" ht="14.25" customHeight="1" x14ac:dyDescent="0.2">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spans="1:26" ht="14.25" customHeight="1" x14ac:dyDescent="0.2">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spans="1:26" ht="14.25" customHeight="1" x14ac:dyDescent="0.2">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spans="1:26" ht="14.25" customHeight="1" x14ac:dyDescent="0.2">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spans="1:26" ht="14.25" customHeight="1" x14ac:dyDescent="0.2">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spans="1:26" ht="14.25" customHeight="1" x14ac:dyDescent="0.2">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spans="1:26" ht="14.25" customHeight="1" x14ac:dyDescent="0.2">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spans="1:26" ht="14.25" customHeight="1" x14ac:dyDescent="0.2">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spans="1:26" ht="14.25" customHeight="1" x14ac:dyDescent="0.2">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spans="1:26" ht="14.25" customHeight="1" x14ac:dyDescent="0.2">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spans="1:26" ht="14.25" customHeight="1" x14ac:dyDescent="0.2">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spans="1:26" ht="14.25" customHeight="1" x14ac:dyDescent="0.2">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spans="1:26" ht="14.25" customHeight="1" x14ac:dyDescent="0.2">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spans="1:26" ht="14.25" customHeight="1" x14ac:dyDescent="0.2">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spans="1:26" ht="14.25" customHeight="1" x14ac:dyDescent="0.2">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spans="1:26" ht="14.25" customHeight="1" x14ac:dyDescent="0.2">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spans="1:26" ht="14.25" customHeight="1" x14ac:dyDescent="0.2">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spans="1:26" ht="14.25" customHeight="1" x14ac:dyDescent="0.2">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spans="1:26" ht="14.25" customHeight="1" x14ac:dyDescent="0.2">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spans="1:26" ht="14.25" customHeight="1" x14ac:dyDescent="0.2">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spans="1:26" ht="14.25" customHeight="1" x14ac:dyDescent="0.2">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spans="1:26" ht="14.25" customHeight="1" x14ac:dyDescent="0.2">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spans="1:26" ht="14.25" customHeight="1" x14ac:dyDescent="0.2">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spans="1:26" ht="14.25" customHeight="1" x14ac:dyDescent="0.2">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spans="1:26" ht="14.25" customHeight="1" x14ac:dyDescent="0.2">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spans="1:26" ht="14.25" customHeight="1" x14ac:dyDescent="0.2">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spans="1:26" ht="14.25" customHeight="1" x14ac:dyDescent="0.2">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spans="1:26" ht="14.25" customHeight="1" x14ac:dyDescent="0.2">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spans="1:26" ht="14.25" customHeight="1" x14ac:dyDescent="0.2">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spans="1:26" ht="14.25" customHeight="1" x14ac:dyDescent="0.2">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spans="1:26" ht="14.25" customHeight="1" x14ac:dyDescent="0.2">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spans="1:26" ht="14.25" customHeight="1" x14ac:dyDescent="0.2">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spans="1:26" ht="14.25" customHeight="1" x14ac:dyDescent="0.2">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spans="1:26" ht="14.25" customHeight="1" x14ac:dyDescent="0.2">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spans="1:26" ht="14.25" customHeight="1" x14ac:dyDescent="0.2">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spans="1:26" ht="14.25" customHeight="1" x14ac:dyDescent="0.2">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spans="1:26" ht="14.25" customHeight="1" x14ac:dyDescent="0.2">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spans="1:26" ht="14.25" customHeight="1" x14ac:dyDescent="0.2">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spans="1:26" ht="14.25" customHeight="1" x14ac:dyDescent="0.2">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spans="1:26" ht="14.25" customHeight="1" x14ac:dyDescent="0.2">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spans="1:26" ht="14.25" customHeight="1" x14ac:dyDescent="0.2">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spans="1:26" ht="14.25" customHeight="1" x14ac:dyDescent="0.2">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spans="1:26" ht="14.25" customHeight="1" x14ac:dyDescent="0.2">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spans="1:26" ht="14.25" customHeight="1" x14ac:dyDescent="0.2">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spans="1:26" ht="14.25" customHeight="1" x14ac:dyDescent="0.2">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spans="1:26" ht="14.25" customHeight="1" x14ac:dyDescent="0.2">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spans="1:26" ht="14.25" customHeight="1" x14ac:dyDescent="0.2">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spans="1:26" ht="14.25" customHeight="1" x14ac:dyDescent="0.2">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spans="1:26" ht="14.25" customHeight="1" x14ac:dyDescent="0.2">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spans="1:26" ht="14.25" customHeight="1" x14ac:dyDescent="0.2">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spans="1:26" ht="14.25" customHeight="1" x14ac:dyDescent="0.2">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spans="1:26" ht="14.25" customHeight="1" x14ac:dyDescent="0.2">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spans="1:26" ht="14.25" customHeight="1" x14ac:dyDescent="0.2">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spans="1:26" ht="14.25" customHeight="1" x14ac:dyDescent="0.2">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spans="1:26" ht="14.25" customHeight="1" x14ac:dyDescent="0.2">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spans="1:26" ht="14.25" customHeight="1" x14ac:dyDescent="0.2">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spans="1:26" ht="14.25" customHeight="1" x14ac:dyDescent="0.2">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spans="1:26" ht="14.25" customHeight="1" x14ac:dyDescent="0.2">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spans="1:26" ht="14.25" customHeight="1" x14ac:dyDescent="0.2">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spans="1:26" ht="14.25" customHeight="1" x14ac:dyDescent="0.2">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spans="1:26" ht="14.25" customHeight="1" x14ac:dyDescent="0.2">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spans="1:26" ht="14.25" customHeight="1" x14ac:dyDescent="0.2">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spans="1:26" ht="14.25" customHeight="1" x14ac:dyDescent="0.2">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spans="1:26" ht="14.25" customHeight="1" x14ac:dyDescent="0.2">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spans="1:26" ht="14.25" customHeight="1" x14ac:dyDescent="0.2">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spans="1:26" ht="14.25" customHeight="1" x14ac:dyDescent="0.2">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spans="1:26" ht="14.25" customHeight="1" x14ac:dyDescent="0.2">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spans="1:26" ht="14.25" customHeight="1" x14ac:dyDescent="0.2">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spans="1:26" ht="14.25" customHeight="1" x14ac:dyDescent="0.2">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spans="1:26" ht="14.25" customHeight="1" x14ac:dyDescent="0.2">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spans="1:26" ht="14.25" customHeight="1" x14ac:dyDescent="0.2">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spans="1:26" ht="14.25" customHeight="1" x14ac:dyDescent="0.2">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spans="1:26" ht="14.25" customHeight="1" x14ac:dyDescent="0.2">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spans="1:26" ht="14.25" customHeight="1" x14ac:dyDescent="0.2">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spans="1:26" ht="14.25" customHeight="1" x14ac:dyDescent="0.2">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spans="1:26" ht="14.25" customHeight="1" x14ac:dyDescent="0.2">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spans="1:26" ht="14.25" customHeight="1" x14ac:dyDescent="0.2">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spans="1:26" ht="14.25" customHeight="1" x14ac:dyDescent="0.2">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spans="1:26" ht="14.25" customHeight="1" x14ac:dyDescent="0.2">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spans="1:26" ht="14.25" customHeight="1" x14ac:dyDescent="0.2">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spans="1:26" ht="14.25" customHeight="1" x14ac:dyDescent="0.2">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spans="1:26" ht="14.25" customHeight="1" x14ac:dyDescent="0.2">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spans="1:26" ht="14.25" customHeight="1" x14ac:dyDescent="0.2">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spans="1:26" ht="14.25" customHeight="1" x14ac:dyDescent="0.2">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spans="1:26" ht="14.25" customHeight="1" x14ac:dyDescent="0.2">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spans="1:26" ht="14.25" customHeight="1" x14ac:dyDescent="0.2">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spans="1:26" ht="14.25" customHeight="1" x14ac:dyDescent="0.2">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spans="1:26" ht="14.25" customHeight="1" x14ac:dyDescent="0.2">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spans="1:26" ht="14.25" customHeight="1" x14ac:dyDescent="0.2">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spans="1:26" ht="14.25" customHeight="1" x14ac:dyDescent="0.2">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spans="1:26" ht="14.25" customHeight="1" x14ac:dyDescent="0.2">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spans="1:26" ht="14.25" customHeight="1" x14ac:dyDescent="0.2">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spans="1:26" ht="14.25" customHeight="1" x14ac:dyDescent="0.2">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spans="1:26" ht="14.25" customHeight="1" x14ac:dyDescent="0.2">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spans="1:26" ht="14.25" customHeight="1" x14ac:dyDescent="0.2">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spans="1:26" ht="14.25" customHeight="1" x14ac:dyDescent="0.2">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spans="1:26" ht="14.25" customHeight="1" x14ac:dyDescent="0.2">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spans="1:26" ht="14.25" customHeight="1" x14ac:dyDescent="0.2">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spans="1:26" ht="14.25" customHeight="1" x14ac:dyDescent="0.2">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spans="1:26" ht="14.25" customHeight="1" x14ac:dyDescent="0.2">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spans="1:26" ht="14.25" customHeight="1" x14ac:dyDescent="0.2">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spans="1:26" ht="14.25" customHeight="1" x14ac:dyDescent="0.2">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spans="1:26" ht="14.25" customHeight="1" x14ac:dyDescent="0.2">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spans="1:26" ht="14.25" customHeight="1" x14ac:dyDescent="0.2">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spans="1:26" ht="14.25" customHeight="1" x14ac:dyDescent="0.2">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spans="1:26" ht="14.25" customHeight="1" x14ac:dyDescent="0.2">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spans="1:26" ht="14.25" customHeight="1" x14ac:dyDescent="0.2">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spans="1:26" ht="14.25" customHeight="1" x14ac:dyDescent="0.2">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spans="1:26" ht="14.25" customHeight="1" x14ac:dyDescent="0.2">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spans="1:26" ht="14.25" customHeight="1" x14ac:dyDescent="0.2">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spans="1:26" ht="14.25" customHeight="1" x14ac:dyDescent="0.2">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spans="1:26" ht="14.25" customHeight="1" x14ac:dyDescent="0.2">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spans="1:26" ht="14.25" customHeight="1" x14ac:dyDescent="0.2">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spans="1:26" ht="14.25" customHeight="1" x14ac:dyDescent="0.2">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spans="1:26" ht="14.25" customHeight="1" x14ac:dyDescent="0.2">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spans="1:26" ht="14.25" customHeight="1" x14ac:dyDescent="0.2">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spans="1:26" ht="14.25" customHeight="1" x14ac:dyDescent="0.2">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spans="1:26" ht="14.25" customHeight="1" x14ac:dyDescent="0.2">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spans="1:26" ht="14.25" customHeight="1" x14ac:dyDescent="0.2">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spans="1:26" ht="14.25" customHeight="1" x14ac:dyDescent="0.2">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spans="1:26" ht="14.25" customHeight="1" x14ac:dyDescent="0.2">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spans="1:26" ht="14.25" customHeight="1" x14ac:dyDescent="0.2">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spans="1:26" ht="14.25" customHeight="1" x14ac:dyDescent="0.2">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spans="1:26" ht="14.25" customHeight="1" x14ac:dyDescent="0.2">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spans="1:26" ht="14.25" customHeight="1" x14ac:dyDescent="0.2">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spans="1:26" ht="14.25" customHeight="1" x14ac:dyDescent="0.2">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spans="1:26" ht="14.25" customHeight="1" x14ac:dyDescent="0.2">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spans="1:26" ht="14.25" customHeight="1" x14ac:dyDescent="0.2">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26" ht="14.25" customHeight="1" x14ac:dyDescent="0.2">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spans="1:26" ht="14.25" customHeight="1" x14ac:dyDescent="0.2">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spans="1:26" ht="14.25" customHeight="1" x14ac:dyDescent="0.2">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spans="1:26" ht="14.25" customHeight="1" x14ac:dyDescent="0.2">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spans="1:26" ht="14.25" customHeight="1" x14ac:dyDescent="0.2">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spans="1:26" ht="14.25" customHeight="1" x14ac:dyDescent="0.2">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spans="1:26" ht="14.25" customHeight="1" x14ac:dyDescent="0.2">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spans="1:26" ht="14.25" customHeight="1" x14ac:dyDescent="0.2">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spans="1:26" ht="14.25" customHeight="1" x14ac:dyDescent="0.2">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spans="1:26" ht="14.25" customHeight="1" x14ac:dyDescent="0.2">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spans="1:26" ht="14.25" customHeight="1" x14ac:dyDescent="0.2">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spans="1:26" ht="14.25" customHeight="1" x14ac:dyDescent="0.2">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spans="1:26" ht="14.25" customHeight="1" x14ac:dyDescent="0.2">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spans="1:26" ht="14.25" customHeight="1" x14ac:dyDescent="0.2">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spans="1:26" ht="14.25" customHeight="1" x14ac:dyDescent="0.2">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spans="1:26" ht="14.25" customHeight="1" x14ac:dyDescent="0.2">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spans="1:26" ht="14.25" customHeight="1" x14ac:dyDescent="0.2">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spans="1:26" ht="14.25" customHeight="1" x14ac:dyDescent="0.2">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spans="1:26" ht="14.25" customHeight="1" x14ac:dyDescent="0.2">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spans="1:26" ht="14.25" customHeight="1" x14ac:dyDescent="0.2">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spans="1:26" ht="14.25" customHeight="1" x14ac:dyDescent="0.2">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spans="1:26" ht="14.25" customHeight="1" x14ac:dyDescent="0.2">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spans="1:26" ht="14.25" customHeight="1" x14ac:dyDescent="0.2">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spans="1:26" ht="14.25" customHeight="1" x14ac:dyDescent="0.2">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spans="1:26" ht="14.25" customHeight="1" x14ac:dyDescent="0.2">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spans="1:26" ht="14.25" customHeight="1" x14ac:dyDescent="0.2">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spans="1:26" ht="14.25" customHeight="1" x14ac:dyDescent="0.2">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spans="1:26" ht="14.25" customHeight="1" x14ac:dyDescent="0.2">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spans="1:26" ht="14.25" customHeight="1" x14ac:dyDescent="0.2">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spans="1:26" ht="14.25" customHeight="1" x14ac:dyDescent="0.2">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spans="1:26" ht="14.25" customHeight="1" x14ac:dyDescent="0.2">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spans="1:26" ht="14.25" customHeight="1" x14ac:dyDescent="0.2">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spans="1:26" ht="14.25" customHeight="1" x14ac:dyDescent="0.2">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spans="1:26" ht="14.25" customHeight="1" x14ac:dyDescent="0.2">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spans="1:26" ht="14.25" customHeight="1" x14ac:dyDescent="0.2">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spans="1:26" ht="14.25" customHeight="1" x14ac:dyDescent="0.2">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spans="1:26" ht="14.25" customHeight="1" x14ac:dyDescent="0.2">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spans="1:26" ht="14.25" customHeight="1" x14ac:dyDescent="0.2">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spans="1:26" ht="14.25" customHeight="1" x14ac:dyDescent="0.2">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spans="1:26" ht="14.25" customHeight="1" x14ac:dyDescent="0.2">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spans="1:26" ht="14.25" customHeight="1" x14ac:dyDescent="0.2">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spans="1:26" ht="14.25" customHeight="1" x14ac:dyDescent="0.2">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spans="1:26" ht="14.25" customHeight="1" x14ac:dyDescent="0.2">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spans="1:26" ht="14.25" customHeight="1" x14ac:dyDescent="0.2">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spans="1:26" ht="14.25" customHeight="1" x14ac:dyDescent="0.2">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spans="1:26" ht="14.25" customHeight="1" x14ac:dyDescent="0.2">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spans="1:26" ht="14.25" customHeight="1" x14ac:dyDescent="0.2">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spans="1:26" ht="14.25" customHeight="1" x14ac:dyDescent="0.2">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spans="1:26" ht="14.25" customHeight="1" x14ac:dyDescent="0.2">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spans="1:26" ht="14.25" customHeight="1" x14ac:dyDescent="0.2">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spans="1:26" ht="14.25" customHeight="1" x14ac:dyDescent="0.2">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spans="1:26" ht="14.25" customHeight="1" x14ac:dyDescent="0.2">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spans="1:26" ht="14.25" customHeight="1" x14ac:dyDescent="0.2">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spans="1:26" ht="14.25" customHeight="1" x14ac:dyDescent="0.2">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spans="1:26" ht="14.25" customHeight="1" x14ac:dyDescent="0.2">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spans="1:26" ht="14.25" customHeight="1" x14ac:dyDescent="0.2">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spans="1:26" ht="14.25" customHeight="1" x14ac:dyDescent="0.2">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spans="1:26" ht="14.25" customHeight="1" x14ac:dyDescent="0.2">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spans="1:26" ht="14.25" customHeight="1" x14ac:dyDescent="0.2">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spans="1:26" ht="14.25" customHeight="1" x14ac:dyDescent="0.2">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spans="1:26" ht="14.25" customHeight="1" x14ac:dyDescent="0.2">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spans="1:26" ht="14.25" customHeight="1" x14ac:dyDescent="0.2">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spans="1:26" ht="14.25" customHeight="1" x14ac:dyDescent="0.2">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spans="1:26" ht="14.25" customHeight="1" x14ac:dyDescent="0.2">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spans="1:26" ht="14.25" customHeight="1" x14ac:dyDescent="0.2">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spans="1:26" ht="14.25" customHeight="1" x14ac:dyDescent="0.2">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spans="1:26" ht="14.25" customHeight="1" x14ac:dyDescent="0.2">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spans="1:26" ht="14.25" customHeight="1" x14ac:dyDescent="0.2">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spans="1:26" ht="14.25" customHeight="1" x14ac:dyDescent="0.2">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spans="1:26" ht="14.25" customHeight="1" x14ac:dyDescent="0.2">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spans="1:26" ht="14.25" customHeight="1" x14ac:dyDescent="0.2">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spans="1:26" ht="14.25" customHeight="1" x14ac:dyDescent="0.2">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spans="1:26" ht="14.25" customHeight="1" x14ac:dyDescent="0.2">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spans="1:26" ht="14.25" customHeight="1" x14ac:dyDescent="0.2">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spans="1:26" ht="14.25" customHeight="1" x14ac:dyDescent="0.2">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spans="1:26" ht="14.25" customHeight="1" x14ac:dyDescent="0.2">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spans="1:26" ht="14.25" customHeight="1" x14ac:dyDescent="0.2">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spans="1:26" ht="14.25" customHeight="1" x14ac:dyDescent="0.2">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spans="1:26" ht="14.25" customHeight="1" x14ac:dyDescent="0.2">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spans="1:26" ht="14.25" customHeight="1" x14ac:dyDescent="0.2">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spans="1:26" ht="14.25" customHeight="1" x14ac:dyDescent="0.2">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spans="1:26" ht="14.25" customHeight="1" x14ac:dyDescent="0.2">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spans="1:26" ht="14.25" customHeight="1" x14ac:dyDescent="0.2">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spans="1:26" ht="14.25" customHeight="1" x14ac:dyDescent="0.2">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4.25" customHeight="1" x14ac:dyDescent="0.2">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spans="1:26" ht="14.25" customHeight="1" x14ac:dyDescent="0.2">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spans="1:26" ht="14.25" customHeight="1" x14ac:dyDescent="0.2">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spans="1:26" ht="14.25" customHeight="1" x14ac:dyDescent="0.2">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spans="1:26" ht="14.25" customHeight="1" x14ac:dyDescent="0.2">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spans="1:26" ht="14.25" customHeight="1" x14ac:dyDescent="0.2">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spans="1:26" ht="14.25" customHeight="1" x14ac:dyDescent="0.2">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spans="1:26" ht="14.25" customHeight="1" x14ac:dyDescent="0.2">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spans="1:26" ht="14.25" customHeight="1" x14ac:dyDescent="0.2">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spans="1:26" ht="14.25" customHeight="1" x14ac:dyDescent="0.2">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spans="1:26" ht="14.25" customHeight="1" x14ac:dyDescent="0.2">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spans="1:26" ht="14.25" customHeight="1" x14ac:dyDescent="0.2">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spans="1:26" ht="14.25" customHeight="1" x14ac:dyDescent="0.2">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spans="1:26" ht="14.25" customHeight="1" x14ac:dyDescent="0.2">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spans="1:26" ht="14.25" customHeight="1" x14ac:dyDescent="0.2">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spans="1:26" ht="14.25" customHeight="1" x14ac:dyDescent="0.2">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spans="1:26" ht="14.25" customHeight="1" x14ac:dyDescent="0.2">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spans="1:26" ht="14.25" customHeight="1" x14ac:dyDescent="0.2">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spans="1:26" ht="14.25" customHeight="1" x14ac:dyDescent="0.2">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spans="1:26" ht="14.25" customHeight="1" x14ac:dyDescent="0.2">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spans="1:26" ht="14.25" customHeight="1" x14ac:dyDescent="0.2">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spans="1:26" ht="14.25" customHeight="1" x14ac:dyDescent="0.2">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4.25" customHeight="1" x14ac:dyDescent="0.2">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spans="1:26" ht="14.25" customHeight="1" x14ac:dyDescent="0.2">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spans="1:26" ht="14.25" customHeight="1" x14ac:dyDescent="0.2">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spans="1:26" ht="14.25" customHeight="1" x14ac:dyDescent="0.2">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spans="1:26" ht="14.25" customHeight="1" x14ac:dyDescent="0.2">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spans="1:26" ht="14.25" customHeight="1" x14ac:dyDescent="0.2">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spans="1:26" ht="14.25" customHeight="1" x14ac:dyDescent="0.2">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spans="1:26" ht="14.25" customHeight="1" x14ac:dyDescent="0.2">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spans="1:26" ht="14.25" customHeight="1" x14ac:dyDescent="0.2">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spans="1:26" ht="14.25" customHeight="1" x14ac:dyDescent="0.2">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spans="1:26" ht="14.25" customHeight="1" x14ac:dyDescent="0.2">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spans="1:26" ht="14.25" customHeight="1" x14ac:dyDescent="0.2">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spans="1:26" ht="14.25" customHeight="1" x14ac:dyDescent="0.2">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spans="1:26" ht="14.25" customHeight="1" x14ac:dyDescent="0.2">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spans="1:26" ht="14.25" customHeight="1" x14ac:dyDescent="0.2">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spans="1:26" ht="14.25" customHeight="1" x14ac:dyDescent="0.2">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spans="1:26" ht="14.25" customHeight="1" x14ac:dyDescent="0.2">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spans="1:26" ht="14.25" customHeight="1" x14ac:dyDescent="0.2">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spans="1:26" ht="14.25" customHeight="1" x14ac:dyDescent="0.2">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spans="1:26" ht="14.25" customHeight="1" x14ac:dyDescent="0.2">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spans="1:26" ht="14.25" customHeight="1" x14ac:dyDescent="0.2">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spans="1:26" ht="14.25" customHeight="1" x14ac:dyDescent="0.2">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spans="1:26" ht="14.25" customHeight="1" x14ac:dyDescent="0.2">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spans="1:26" ht="14.25" customHeight="1" x14ac:dyDescent="0.2">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spans="1:26" ht="14.25" customHeight="1" x14ac:dyDescent="0.2">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spans="1:26" ht="14.25" customHeight="1" x14ac:dyDescent="0.2">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spans="1:26" ht="14.25" customHeight="1" x14ac:dyDescent="0.2">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spans="1:26" ht="14.25" customHeight="1" x14ac:dyDescent="0.2">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spans="1:26" ht="14.25" customHeight="1" x14ac:dyDescent="0.2">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spans="1:26" ht="14.25" customHeight="1" x14ac:dyDescent="0.2">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spans="1:26" ht="14.25" customHeight="1" x14ac:dyDescent="0.2">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spans="1:26" ht="14.25" customHeight="1" x14ac:dyDescent="0.2">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spans="1:26" ht="14.25" customHeight="1" x14ac:dyDescent="0.2">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spans="1:26" ht="14.25" customHeight="1" x14ac:dyDescent="0.2">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spans="1:26" ht="14.25" customHeight="1" x14ac:dyDescent="0.2">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spans="1:26" ht="14.25" customHeight="1" x14ac:dyDescent="0.2">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spans="1:26" ht="14.25" customHeight="1" x14ac:dyDescent="0.2">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spans="1:26" ht="14.25" customHeight="1" x14ac:dyDescent="0.2">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spans="1:26" ht="14.25" customHeight="1" x14ac:dyDescent="0.2">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spans="1:26" ht="14.25" customHeight="1" x14ac:dyDescent="0.2">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spans="1:26" ht="14.25" customHeight="1" x14ac:dyDescent="0.2">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spans="1:26" ht="14.25" customHeight="1" x14ac:dyDescent="0.2">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spans="1:26" ht="14.25" customHeight="1" x14ac:dyDescent="0.2">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spans="1:26" ht="14.25" customHeight="1" x14ac:dyDescent="0.2">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spans="1:26" ht="14.25" customHeight="1" x14ac:dyDescent="0.2">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spans="1:26" ht="14.25" customHeight="1" x14ac:dyDescent="0.2">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spans="1:26" ht="14.25" customHeight="1" x14ac:dyDescent="0.2">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spans="1:26" ht="14.25" customHeight="1" x14ac:dyDescent="0.2">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spans="1:26" ht="14.25" customHeight="1" x14ac:dyDescent="0.2">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spans="1:26" ht="14.25" customHeight="1" x14ac:dyDescent="0.2">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spans="1:26" ht="14.25" customHeight="1" x14ac:dyDescent="0.2">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spans="1:26" ht="14.25" customHeight="1" x14ac:dyDescent="0.2">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spans="1:26" ht="14.25" customHeight="1" x14ac:dyDescent="0.2">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spans="1:26" ht="14.25" customHeight="1" x14ac:dyDescent="0.2">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spans="1:26" ht="14.25" customHeight="1" x14ac:dyDescent="0.2">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spans="1:26" ht="14.25" customHeight="1" x14ac:dyDescent="0.2">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spans="1:26" ht="14.25" customHeight="1" x14ac:dyDescent="0.2">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spans="1:26" ht="14.25" customHeight="1" x14ac:dyDescent="0.2">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spans="1:26" ht="14.25" customHeight="1" x14ac:dyDescent="0.2">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spans="1:26" ht="14.25" customHeight="1" x14ac:dyDescent="0.2">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spans="1:26" ht="14.25" customHeight="1" x14ac:dyDescent="0.2">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spans="1:26" ht="14.25" customHeight="1" x14ac:dyDescent="0.2">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spans="1:26" ht="14.25" customHeight="1" x14ac:dyDescent="0.2">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spans="1:26" ht="14.25" customHeight="1" x14ac:dyDescent="0.2">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spans="1:26" ht="14.25" customHeight="1" x14ac:dyDescent="0.2">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spans="1:26" ht="14.25" customHeight="1" x14ac:dyDescent="0.2">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spans="1:26" ht="14.25" customHeight="1" x14ac:dyDescent="0.2">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spans="1:26" ht="14.25" customHeight="1" x14ac:dyDescent="0.2">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26" ht="14.25" customHeight="1" x14ac:dyDescent="0.2">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spans="1:26" ht="14.25" customHeight="1" x14ac:dyDescent="0.2">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spans="1:26" ht="14.25" customHeight="1" x14ac:dyDescent="0.2">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spans="1:26" ht="14.25" customHeight="1" x14ac:dyDescent="0.2">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spans="1:26" ht="14.25" customHeight="1" x14ac:dyDescent="0.2">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spans="1:26" ht="14.25" customHeight="1" x14ac:dyDescent="0.2">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spans="1:26" ht="14.25" customHeight="1" x14ac:dyDescent="0.2">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spans="1:26" ht="14.25" customHeight="1" x14ac:dyDescent="0.2">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spans="1:26" ht="14.25" customHeight="1" x14ac:dyDescent="0.2">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spans="1:26" ht="14.25" customHeight="1" x14ac:dyDescent="0.2">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spans="1:26" ht="14.25" customHeight="1" x14ac:dyDescent="0.2">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spans="1:26" ht="14.25" customHeight="1" x14ac:dyDescent="0.2">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spans="1:26" ht="14.25" customHeight="1" x14ac:dyDescent="0.2">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spans="1:26" ht="14.25" customHeight="1" x14ac:dyDescent="0.2">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spans="1:26" ht="14.25" customHeight="1" x14ac:dyDescent="0.2">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spans="1:26" ht="14.25" customHeight="1" x14ac:dyDescent="0.2">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spans="1:26" ht="14.25" customHeight="1" x14ac:dyDescent="0.2">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spans="1:26" ht="14.25" customHeight="1" x14ac:dyDescent="0.2">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spans="1:26" ht="14.25" customHeight="1" x14ac:dyDescent="0.2">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spans="1:26" ht="14.25" customHeight="1" x14ac:dyDescent="0.2">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spans="1:26" ht="14.25" customHeight="1" x14ac:dyDescent="0.2">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spans="1:26" ht="14.25" customHeight="1" x14ac:dyDescent="0.2">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spans="1:26" ht="14.25" customHeight="1" x14ac:dyDescent="0.2">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spans="1:26" ht="14.25" customHeight="1" x14ac:dyDescent="0.2">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spans="1:26" ht="14.25" customHeight="1" x14ac:dyDescent="0.2">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spans="1:26" ht="14.25" customHeight="1" x14ac:dyDescent="0.2">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spans="1:26" ht="14.25" customHeight="1" x14ac:dyDescent="0.2">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spans="1:26" ht="14.25" customHeight="1" x14ac:dyDescent="0.2">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spans="1:26" ht="14.25" customHeight="1" x14ac:dyDescent="0.2">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spans="1:26" ht="14.25" customHeight="1" x14ac:dyDescent="0.2">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spans="1:26" ht="14.25" customHeight="1" x14ac:dyDescent="0.2">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spans="1:26" ht="14.25" customHeight="1" x14ac:dyDescent="0.2">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spans="1:26" ht="14.25" customHeight="1" x14ac:dyDescent="0.2">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spans="1:26" ht="14.25" customHeight="1" x14ac:dyDescent="0.2">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spans="1:26" ht="14.25" customHeight="1" x14ac:dyDescent="0.2">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spans="1:26" ht="14.25" customHeight="1" x14ac:dyDescent="0.2">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spans="1:26" ht="14.25" customHeight="1" x14ac:dyDescent="0.2">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spans="1:26" ht="14.25" customHeight="1" x14ac:dyDescent="0.2">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spans="1:26" ht="14.25" customHeight="1" x14ac:dyDescent="0.2">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spans="1:26" ht="14.25" customHeight="1" x14ac:dyDescent="0.2">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spans="1:26" ht="14.25" customHeight="1" x14ac:dyDescent="0.2">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spans="1:26" ht="14.25" customHeight="1" x14ac:dyDescent="0.2">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spans="1:26" ht="14.25" customHeight="1" x14ac:dyDescent="0.2">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spans="1:26" ht="14.25" customHeight="1" x14ac:dyDescent="0.2">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spans="1:26" ht="14.25" customHeight="1" x14ac:dyDescent="0.2">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spans="1:26" ht="14.25" customHeight="1" x14ac:dyDescent="0.2">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spans="1:26" ht="14.25" customHeight="1" x14ac:dyDescent="0.2">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spans="1:26" ht="14.25" customHeight="1" x14ac:dyDescent="0.2">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spans="1:26" ht="14.25" customHeight="1" x14ac:dyDescent="0.2">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spans="1:26" ht="14.25" customHeight="1" x14ac:dyDescent="0.2">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spans="1:26" ht="14.25" customHeight="1" x14ac:dyDescent="0.2">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spans="1:26" ht="14.25" customHeight="1" x14ac:dyDescent="0.2">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spans="1:26" ht="14.25" customHeight="1" x14ac:dyDescent="0.2">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spans="1:26" ht="14.25" customHeight="1" x14ac:dyDescent="0.2">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spans="1:26" ht="14.25" customHeight="1" x14ac:dyDescent="0.2">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spans="1:26" ht="14.25" customHeight="1" x14ac:dyDescent="0.2">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spans="1:26" ht="14.25" customHeight="1" x14ac:dyDescent="0.2">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spans="1:26" ht="14.25" customHeight="1" x14ac:dyDescent="0.2">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spans="1:26" ht="14.25" customHeight="1" x14ac:dyDescent="0.2">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spans="1:26" ht="14.25" customHeight="1" x14ac:dyDescent="0.2">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spans="1:26" ht="14.25" customHeight="1" x14ac:dyDescent="0.2">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spans="1:26" ht="14.25" customHeight="1" x14ac:dyDescent="0.2">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spans="1:26" ht="14.25" customHeight="1" x14ac:dyDescent="0.2">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spans="1:26" ht="14.25" customHeight="1" x14ac:dyDescent="0.2">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spans="1:26" ht="14.25" customHeight="1" x14ac:dyDescent="0.2">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spans="1:26" ht="14.25" customHeight="1" x14ac:dyDescent="0.2">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spans="1:26" ht="14.25" customHeight="1" x14ac:dyDescent="0.2">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spans="1:26" ht="14.25" customHeight="1" x14ac:dyDescent="0.2">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spans="1:26" ht="14.25" customHeight="1" x14ac:dyDescent="0.2">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spans="1:26" ht="14.25" customHeight="1" x14ac:dyDescent="0.2">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spans="1:26" ht="14.25" customHeight="1" x14ac:dyDescent="0.2">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spans="1:26" ht="14.25" customHeight="1" x14ac:dyDescent="0.2">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spans="1:26" ht="14.25" customHeight="1" x14ac:dyDescent="0.2">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spans="1:26" ht="14.25" customHeight="1" x14ac:dyDescent="0.2">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spans="1:26" ht="14.25" customHeight="1" x14ac:dyDescent="0.2">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spans="1:26" ht="14.25" customHeight="1" x14ac:dyDescent="0.2">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spans="1:26" ht="14.25" customHeight="1" x14ac:dyDescent="0.2">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spans="1:26" ht="14.25" customHeight="1" x14ac:dyDescent="0.2">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spans="1:26" ht="14.25" customHeight="1" x14ac:dyDescent="0.2">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spans="1:26" ht="14.25" customHeight="1" x14ac:dyDescent="0.2">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spans="1:26" ht="14.25" customHeight="1" x14ac:dyDescent="0.2">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spans="1:26" ht="14.25" customHeight="1" x14ac:dyDescent="0.2">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spans="1:26" ht="14.25" customHeight="1" x14ac:dyDescent="0.2">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spans="1:26" ht="14.25" customHeight="1" x14ac:dyDescent="0.2">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spans="1:26" ht="14.25" customHeight="1" x14ac:dyDescent="0.2">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spans="1:26" ht="14.25" customHeight="1" x14ac:dyDescent="0.2">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spans="1:26" ht="14.25" customHeight="1" x14ac:dyDescent="0.2">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spans="1:26" ht="14.25" customHeight="1" x14ac:dyDescent="0.2">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spans="1:26" ht="14.25" customHeight="1" x14ac:dyDescent="0.2">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spans="1:26" ht="14.25" customHeight="1" x14ac:dyDescent="0.2">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spans="1:26" ht="14.25" customHeight="1" x14ac:dyDescent="0.2">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spans="1:26" ht="14.25" customHeight="1" x14ac:dyDescent="0.2">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spans="1:26" ht="14.25" customHeight="1" x14ac:dyDescent="0.2">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spans="1:26" ht="14.25" customHeight="1" x14ac:dyDescent="0.2">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spans="1:26" ht="14.25" customHeight="1" x14ac:dyDescent="0.2">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spans="1:26" ht="14.25" customHeight="1" x14ac:dyDescent="0.2">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spans="1:26" ht="14.25" customHeight="1" x14ac:dyDescent="0.2">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spans="1:26" ht="14.25" customHeight="1" x14ac:dyDescent="0.2">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spans="1:26" ht="14.25" customHeight="1" x14ac:dyDescent="0.2">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spans="1:26" ht="14.25" customHeight="1" x14ac:dyDescent="0.2">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spans="1:26" ht="14.25" customHeight="1" x14ac:dyDescent="0.2">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spans="1:26" ht="14.25" customHeight="1" x14ac:dyDescent="0.2">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spans="1:26" ht="14.25" customHeight="1" x14ac:dyDescent="0.2">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spans="1:26" ht="14.25" customHeight="1" x14ac:dyDescent="0.2">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spans="1:26" ht="14.25" customHeight="1" x14ac:dyDescent="0.2">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spans="1:26" ht="14.25" customHeight="1" x14ac:dyDescent="0.2">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spans="1:26" ht="14.25" customHeight="1" x14ac:dyDescent="0.2">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spans="1:26" ht="14.25" customHeight="1" x14ac:dyDescent="0.2">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spans="1:26" ht="14.25" customHeight="1" x14ac:dyDescent="0.2">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spans="1:26" ht="14.25" customHeight="1" x14ac:dyDescent="0.2">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spans="1:26" ht="14.25" customHeight="1" x14ac:dyDescent="0.2">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spans="1:26" ht="14.25" customHeight="1" x14ac:dyDescent="0.2">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spans="1:26" ht="14.25" customHeight="1" x14ac:dyDescent="0.2">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spans="1:26" ht="14.25" customHeight="1" x14ac:dyDescent="0.2">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spans="1:26" ht="14.25" customHeight="1" x14ac:dyDescent="0.2">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spans="1:26" ht="14.25" customHeight="1" x14ac:dyDescent="0.2">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spans="1:26" ht="14.25" customHeight="1" x14ac:dyDescent="0.2">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spans="1:26" ht="14.25" customHeight="1" x14ac:dyDescent="0.2">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spans="1:26" ht="14.25" customHeight="1" x14ac:dyDescent="0.2">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spans="1:26" ht="14.25" customHeight="1" x14ac:dyDescent="0.2">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spans="1:26" ht="14.25" customHeight="1" x14ac:dyDescent="0.2">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spans="1:26" ht="14.25" customHeight="1" x14ac:dyDescent="0.2">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spans="1:26" ht="14.25" customHeight="1" x14ac:dyDescent="0.2">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spans="1:26" ht="14.25" customHeight="1" x14ac:dyDescent="0.2">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spans="1:26" ht="14.25" customHeight="1" x14ac:dyDescent="0.2">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spans="1:26" ht="14.25" customHeight="1" x14ac:dyDescent="0.2">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spans="1:26" ht="14.25" customHeight="1" x14ac:dyDescent="0.2">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spans="1:26" ht="14.25" customHeight="1" x14ac:dyDescent="0.2">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spans="1:26" ht="14.25" customHeight="1" x14ac:dyDescent="0.2">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spans="1:26" ht="14.25" customHeight="1" x14ac:dyDescent="0.2">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spans="1:26" ht="14.25" customHeight="1" x14ac:dyDescent="0.2">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spans="1:26" ht="14.25" customHeight="1" x14ac:dyDescent="0.2">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spans="1:26" ht="14.25" customHeight="1" x14ac:dyDescent="0.2">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spans="1:26" ht="14.25" customHeight="1" x14ac:dyDescent="0.2">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spans="1:26" ht="14.25" customHeight="1" x14ac:dyDescent="0.2">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spans="1:26" ht="14.25" customHeight="1" x14ac:dyDescent="0.2">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spans="1:26" ht="14.25" customHeight="1" x14ac:dyDescent="0.2">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spans="1:26" ht="14.25" customHeight="1" x14ac:dyDescent="0.2">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spans="1:26" ht="14.25" customHeight="1" x14ac:dyDescent="0.2">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spans="1:26" ht="14.25" customHeight="1" x14ac:dyDescent="0.2">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spans="1:26" ht="14.25" customHeight="1" x14ac:dyDescent="0.2">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spans="1:26" ht="14.25" customHeight="1" x14ac:dyDescent="0.2">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spans="1:26" ht="14.25" customHeight="1" x14ac:dyDescent="0.2">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spans="1:26" ht="14.25" customHeight="1" x14ac:dyDescent="0.2">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spans="1:26" ht="14.25" customHeight="1" x14ac:dyDescent="0.2">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spans="1:26" ht="14.25" customHeight="1" x14ac:dyDescent="0.2">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spans="1:26" ht="14.25" customHeight="1" x14ac:dyDescent="0.2">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spans="1:26" ht="14.25" customHeight="1" x14ac:dyDescent="0.2">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spans="1:26" ht="14.25" customHeight="1" x14ac:dyDescent="0.2">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spans="1:26" ht="14.25" customHeight="1" x14ac:dyDescent="0.2">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spans="1:26" ht="14.25" customHeight="1" x14ac:dyDescent="0.2">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spans="1:26" ht="14.25" customHeight="1" x14ac:dyDescent="0.2">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spans="1:26" ht="14.25" customHeight="1" x14ac:dyDescent="0.2">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spans="1:26" ht="14.25" customHeight="1" x14ac:dyDescent="0.2">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spans="1:26" ht="14.25" customHeight="1" x14ac:dyDescent="0.2">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spans="1:26" ht="14.25" customHeight="1" x14ac:dyDescent="0.2">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spans="1:26" ht="14.25" customHeight="1" x14ac:dyDescent="0.2">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spans="1:26" ht="14.25" customHeight="1" x14ac:dyDescent="0.2">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spans="1:26" ht="14.25" customHeight="1" x14ac:dyDescent="0.2">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spans="1:26" ht="14.25" customHeight="1" x14ac:dyDescent="0.2">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spans="1:26" ht="14.25" customHeight="1" x14ac:dyDescent="0.2">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spans="1:26" ht="14.25" customHeight="1" x14ac:dyDescent="0.2">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spans="1:26" ht="14.25" customHeight="1" x14ac:dyDescent="0.2">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spans="1:26" ht="14.25" customHeight="1" x14ac:dyDescent="0.2">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spans="1:26" ht="14.25" customHeight="1" x14ac:dyDescent="0.2">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spans="1:26" ht="14.25" customHeight="1" x14ac:dyDescent="0.2">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spans="1:26" ht="14.25" customHeight="1" x14ac:dyDescent="0.2">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spans="1:26" ht="14.25" customHeight="1" x14ac:dyDescent="0.2">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spans="1:26" ht="14.25" customHeight="1" x14ac:dyDescent="0.2">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spans="1:26" ht="14.25" customHeight="1" x14ac:dyDescent="0.2">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spans="1:26" ht="14.25" customHeight="1" x14ac:dyDescent="0.2">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spans="1:26" ht="14.25" customHeight="1" x14ac:dyDescent="0.2">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spans="1:26" ht="14.25" customHeight="1" x14ac:dyDescent="0.2">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spans="1:26" ht="14.25" customHeight="1" x14ac:dyDescent="0.2">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spans="1:26" ht="14.25" customHeight="1" x14ac:dyDescent="0.2">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spans="1:26" ht="14.25" customHeight="1" x14ac:dyDescent="0.2">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spans="1:26" ht="14.25" customHeight="1" x14ac:dyDescent="0.2">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spans="1:26" ht="14.25" customHeight="1" x14ac:dyDescent="0.2">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spans="1:26" ht="14.25" customHeight="1" x14ac:dyDescent="0.2">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spans="1:26" ht="14.25" customHeight="1" x14ac:dyDescent="0.2">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spans="1:26" ht="14.25" customHeight="1" x14ac:dyDescent="0.2">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spans="1:26" ht="14.25" customHeight="1" x14ac:dyDescent="0.2">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spans="1:26" ht="14.25" customHeight="1" x14ac:dyDescent="0.2">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spans="1:26" ht="14.25" customHeight="1" x14ac:dyDescent="0.2">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spans="1:26" ht="14.25" customHeight="1" x14ac:dyDescent="0.2">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spans="1:26" ht="14.25" customHeight="1" x14ac:dyDescent="0.2">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spans="1:26" ht="14.25" customHeight="1" x14ac:dyDescent="0.2">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spans="1:26" ht="14.25" customHeight="1" x14ac:dyDescent="0.2">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spans="1:26" ht="14.25" customHeight="1" x14ac:dyDescent="0.2">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spans="1:26" ht="14.25" customHeight="1" x14ac:dyDescent="0.2">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spans="1:26" ht="14.25" customHeight="1" x14ac:dyDescent="0.2">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spans="1:26" ht="14.25" customHeight="1" x14ac:dyDescent="0.2">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spans="1:26" ht="14.25" customHeight="1" x14ac:dyDescent="0.2">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spans="1:26" ht="14.25" customHeight="1" x14ac:dyDescent="0.2">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spans="1:26" ht="14.25" customHeight="1" x14ac:dyDescent="0.2">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spans="1:26" ht="14.25" customHeight="1" x14ac:dyDescent="0.2">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spans="1:26" ht="14.25" customHeight="1" x14ac:dyDescent="0.2">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spans="1:26" ht="14.25" customHeight="1" x14ac:dyDescent="0.2">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spans="1:26" ht="14.25" customHeight="1" x14ac:dyDescent="0.2">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spans="1:26" ht="14.25" customHeight="1" x14ac:dyDescent="0.2">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spans="1:26" ht="14.25" customHeight="1" x14ac:dyDescent="0.2">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spans="1:26" ht="14.25" customHeight="1" x14ac:dyDescent="0.2">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spans="1:26" ht="14.25" customHeight="1" x14ac:dyDescent="0.2">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spans="1:26" ht="14.25" customHeight="1" x14ac:dyDescent="0.2">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spans="1:26" ht="14.25" customHeight="1" x14ac:dyDescent="0.2">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spans="1:26" ht="14.25" customHeight="1" x14ac:dyDescent="0.2">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spans="1:26" ht="14.25" customHeight="1" x14ac:dyDescent="0.2">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spans="1:26" ht="14.25" customHeight="1" x14ac:dyDescent="0.2">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spans="1:26" ht="14.25" customHeight="1" x14ac:dyDescent="0.2">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spans="1:26" ht="14.25" customHeight="1" x14ac:dyDescent="0.2">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spans="1:26" ht="14.25" customHeight="1" x14ac:dyDescent="0.2">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spans="1:26" ht="14.25" customHeight="1" x14ac:dyDescent="0.2">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spans="1:26" ht="14.25" customHeight="1" x14ac:dyDescent="0.2">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spans="1:26" ht="14.25" customHeight="1" x14ac:dyDescent="0.2">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spans="1:26" ht="14.25" customHeight="1" x14ac:dyDescent="0.2">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spans="1:26" ht="14.25" customHeight="1" x14ac:dyDescent="0.2">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spans="1:26" ht="14.25" customHeight="1" x14ac:dyDescent="0.2">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spans="1:26" ht="14.25" customHeight="1" x14ac:dyDescent="0.2">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spans="1:26" ht="14.25" customHeight="1" x14ac:dyDescent="0.2">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spans="1:26" ht="14.25" customHeight="1" x14ac:dyDescent="0.2">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spans="1:26" ht="14.25" customHeight="1" x14ac:dyDescent="0.2">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spans="1:26" ht="14.25" customHeight="1" x14ac:dyDescent="0.2">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spans="1:26" ht="14.25" customHeight="1" x14ac:dyDescent="0.2">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spans="1:26" ht="14.25" customHeight="1" x14ac:dyDescent="0.2">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spans="1:26" ht="14.25" customHeight="1" x14ac:dyDescent="0.2">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spans="1:26" ht="14.25" customHeight="1" x14ac:dyDescent="0.2">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spans="1:26" ht="14.25" customHeight="1" x14ac:dyDescent="0.2">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spans="1:26" ht="14.25" customHeight="1" x14ac:dyDescent="0.2">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spans="1:26" ht="14.25" customHeight="1" x14ac:dyDescent="0.2">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spans="1:26" ht="14.25" customHeight="1" x14ac:dyDescent="0.2">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spans="1:26" ht="14.25" customHeight="1" x14ac:dyDescent="0.2">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spans="1:26" ht="14.25" customHeight="1" x14ac:dyDescent="0.2">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spans="1:26" ht="14.25" customHeight="1" x14ac:dyDescent="0.2">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spans="1:26" ht="14.25" customHeight="1" x14ac:dyDescent="0.2">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spans="1:26" ht="14.25" customHeight="1" x14ac:dyDescent="0.2">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spans="1:26" ht="14.25" customHeight="1" x14ac:dyDescent="0.2">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spans="1:26" ht="14.25" customHeight="1" x14ac:dyDescent="0.2">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spans="1:26" ht="14.25" customHeight="1" x14ac:dyDescent="0.2">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spans="1:26" ht="14.25" customHeight="1" x14ac:dyDescent="0.2">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spans="1:26" ht="14.25" customHeight="1" x14ac:dyDescent="0.2">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spans="1:26" ht="14.25" customHeight="1" x14ac:dyDescent="0.2">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spans="1:26" ht="14.25" customHeight="1" x14ac:dyDescent="0.2">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spans="1:26" ht="14.25" customHeight="1" x14ac:dyDescent="0.2">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spans="1:26" ht="14.25" customHeight="1" x14ac:dyDescent="0.2">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spans="1:26" ht="14.25" customHeight="1" x14ac:dyDescent="0.2">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spans="1:26" ht="14.25" customHeight="1" x14ac:dyDescent="0.2">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spans="1:26" ht="14.25" customHeight="1" x14ac:dyDescent="0.2">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spans="1:26" ht="14.25" customHeight="1" x14ac:dyDescent="0.2">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spans="1:26" ht="14.25" customHeight="1" x14ac:dyDescent="0.2">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spans="1:26" ht="14.25" customHeight="1" x14ac:dyDescent="0.2">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spans="1:26" ht="14.25" customHeight="1" x14ac:dyDescent="0.2">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spans="1:26" ht="14.25" customHeight="1" x14ac:dyDescent="0.2">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spans="1:26" ht="14.25" customHeight="1" x14ac:dyDescent="0.2">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spans="1:26" ht="14.25" customHeight="1" x14ac:dyDescent="0.2">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spans="1:26" ht="14.25" customHeight="1" x14ac:dyDescent="0.2">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spans="1:26" ht="14.25" customHeight="1" x14ac:dyDescent="0.2">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spans="1:26" ht="14.25" customHeight="1" x14ac:dyDescent="0.2">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spans="1:26" ht="14.25" customHeight="1" x14ac:dyDescent="0.2">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spans="1:26" ht="14.25" customHeight="1" x14ac:dyDescent="0.2">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spans="1:26" ht="14.25" customHeight="1" x14ac:dyDescent="0.2">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spans="1:26" ht="14.25" customHeight="1" x14ac:dyDescent="0.2">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spans="1:26" ht="14.25" customHeight="1" x14ac:dyDescent="0.2">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spans="1:26" ht="14.25" customHeight="1" x14ac:dyDescent="0.2">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spans="1:26" ht="14.25" customHeight="1" x14ac:dyDescent="0.2">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spans="1:26" ht="14.25" customHeight="1" x14ac:dyDescent="0.2">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spans="1:26" ht="14.25" customHeight="1" x14ac:dyDescent="0.2">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spans="1:26" ht="14.25" customHeight="1" x14ac:dyDescent="0.2">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spans="1:26" ht="14.25" customHeight="1" x14ac:dyDescent="0.2">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spans="1:26" ht="14.25" customHeight="1" x14ac:dyDescent="0.2">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spans="1:26" ht="14.25" customHeight="1" x14ac:dyDescent="0.2">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spans="1:26" ht="14.25" customHeight="1" x14ac:dyDescent="0.2">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spans="1:26" ht="14.25" customHeight="1" x14ac:dyDescent="0.2">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spans="1:26" ht="14.25" customHeight="1" x14ac:dyDescent="0.2">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spans="1:26" ht="14.25" customHeight="1" x14ac:dyDescent="0.2">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spans="1:26" ht="14.25" customHeight="1" x14ac:dyDescent="0.2">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spans="1:26" ht="14.25" customHeight="1" x14ac:dyDescent="0.2">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spans="1:26" ht="14.25" customHeight="1" x14ac:dyDescent="0.2">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spans="1:26" ht="14.25" customHeight="1" x14ac:dyDescent="0.2">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spans="1:26" ht="14.25" customHeight="1" x14ac:dyDescent="0.2">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spans="1:26" ht="14.25" customHeight="1" x14ac:dyDescent="0.2">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spans="1:26" ht="14.25" customHeight="1" x14ac:dyDescent="0.2">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spans="1:26" ht="14.25" customHeight="1" x14ac:dyDescent="0.2">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spans="1:26" ht="14.25" customHeight="1" x14ac:dyDescent="0.2">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spans="1:26" ht="14.25" customHeight="1" x14ac:dyDescent="0.2">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spans="1:26" ht="14.25" customHeight="1" x14ac:dyDescent="0.2">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spans="1:26" ht="14.25" customHeight="1" x14ac:dyDescent="0.2">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spans="1:26" ht="14.25" customHeight="1" x14ac:dyDescent="0.2">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spans="1:26" ht="14.25" customHeight="1" x14ac:dyDescent="0.2">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spans="1:26" ht="14.25" customHeight="1" x14ac:dyDescent="0.2">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spans="1:26" ht="14.25" customHeight="1" x14ac:dyDescent="0.2">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spans="1:26" ht="14.25" customHeight="1" x14ac:dyDescent="0.2">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spans="1:26" ht="14.25" customHeight="1" x14ac:dyDescent="0.2">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spans="1:26" ht="14.25" customHeight="1" x14ac:dyDescent="0.2">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spans="1:26" ht="14.25" customHeight="1" x14ac:dyDescent="0.2">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spans="1:26" ht="14.25" customHeight="1" x14ac:dyDescent="0.2">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spans="1:26" ht="14.25" customHeight="1" x14ac:dyDescent="0.2">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spans="1:26" ht="14.25" customHeight="1" x14ac:dyDescent="0.2">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spans="1:26" ht="14.25" customHeight="1" x14ac:dyDescent="0.2">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spans="1:26" ht="14.25" customHeight="1" x14ac:dyDescent="0.2">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spans="1:26" ht="14.25" customHeight="1" x14ac:dyDescent="0.2">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spans="1:26" ht="14.25" customHeight="1" x14ac:dyDescent="0.2">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spans="1:26" ht="14.25" customHeight="1" x14ac:dyDescent="0.2">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spans="1:26" ht="14.25" customHeight="1" x14ac:dyDescent="0.2">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spans="1:26" ht="14.25" customHeight="1" x14ac:dyDescent="0.2">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spans="1:26" ht="14.25" customHeight="1" x14ac:dyDescent="0.2">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spans="1:26" ht="14.25" customHeight="1" x14ac:dyDescent="0.2">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spans="1:26" ht="14.25" customHeight="1" x14ac:dyDescent="0.2">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spans="1:26" ht="14.25" customHeight="1" x14ac:dyDescent="0.2">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spans="1:26" ht="14.25" customHeight="1" x14ac:dyDescent="0.2">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spans="1:26" ht="14.25" customHeight="1" x14ac:dyDescent="0.2">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spans="1:26" ht="14.25" customHeight="1" x14ac:dyDescent="0.2">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spans="1:26" ht="14.25" customHeight="1" x14ac:dyDescent="0.2">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spans="1:26" ht="14.25" customHeight="1" x14ac:dyDescent="0.2">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spans="1:26" ht="14.25" customHeight="1" x14ac:dyDescent="0.2">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spans="1:26" ht="14.25" customHeight="1" x14ac:dyDescent="0.2">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spans="1:26" ht="14.25" customHeight="1" x14ac:dyDescent="0.2">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spans="1:26" ht="14.25" customHeight="1" x14ac:dyDescent="0.2">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spans="1:26" ht="14.25" customHeight="1" x14ac:dyDescent="0.2">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spans="1:26" ht="14.25" customHeight="1" x14ac:dyDescent="0.2">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spans="1:26" ht="14.25" customHeight="1" x14ac:dyDescent="0.2">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spans="1:26" ht="14.25" customHeight="1" x14ac:dyDescent="0.2">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spans="1:26" ht="14.25" customHeight="1" x14ac:dyDescent="0.2">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spans="1:26" ht="14.25" customHeight="1" x14ac:dyDescent="0.2">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spans="1:26" ht="14.25" customHeight="1" x14ac:dyDescent="0.2">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spans="1:26" ht="14.25" customHeight="1" x14ac:dyDescent="0.2">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spans="1:26" ht="14.25" customHeight="1" x14ac:dyDescent="0.2">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spans="1:26" ht="14.25" customHeight="1" x14ac:dyDescent="0.2">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spans="1:26" ht="14.25" customHeight="1" x14ac:dyDescent="0.2">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spans="1:26" ht="14.25" customHeight="1" x14ac:dyDescent="0.2">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spans="1:26" ht="14.25" customHeight="1" x14ac:dyDescent="0.2">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spans="1:26" ht="14.25" customHeight="1" x14ac:dyDescent="0.2">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spans="1:26" ht="14.25" customHeight="1" x14ac:dyDescent="0.2">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spans="1:26" ht="14.25" customHeight="1" x14ac:dyDescent="0.2">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spans="1:26" ht="14.25" customHeight="1" x14ac:dyDescent="0.2">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spans="1:26" ht="14.25" customHeight="1" x14ac:dyDescent="0.2">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spans="1:26" ht="14.25" customHeight="1" x14ac:dyDescent="0.2">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spans="1:26" ht="14.25" customHeight="1" x14ac:dyDescent="0.2">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spans="1:26" ht="14.25" customHeight="1" x14ac:dyDescent="0.2">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spans="1:26" ht="14.25" customHeight="1" x14ac:dyDescent="0.2">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spans="1:26" ht="14.25" customHeight="1" x14ac:dyDescent="0.2">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spans="1:26" ht="14.25" customHeight="1" x14ac:dyDescent="0.2">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spans="1:26" ht="14.25" customHeight="1" x14ac:dyDescent="0.2">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spans="1:26" ht="14.25" customHeight="1" x14ac:dyDescent="0.2">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spans="1:26" ht="14.25" customHeight="1" x14ac:dyDescent="0.2">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spans="1:26" ht="14.25" customHeight="1" x14ac:dyDescent="0.2">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spans="1:26" ht="14.25" customHeight="1" x14ac:dyDescent="0.2">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spans="1:26" ht="14.25" customHeight="1" x14ac:dyDescent="0.2">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spans="1:26" ht="14.25" customHeight="1" x14ac:dyDescent="0.2">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spans="1:26" ht="14.25" customHeight="1" x14ac:dyDescent="0.2">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spans="1:26" ht="14.25" customHeight="1" x14ac:dyDescent="0.2">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spans="1:26" ht="14.25" customHeight="1" x14ac:dyDescent="0.2">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spans="1:26" ht="14.25" customHeight="1" x14ac:dyDescent="0.2">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spans="1:26" ht="14.25" customHeight="1" x14ac:dyDescent="0.2">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spans="1:26" ht="14.25" customHeight="1" x14ac:dyDescent="0.2">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spans="1:26" ht="14.25" customHeight="1" x14ac:dyDescent="0.2">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spans="1:26" ht="14.25" customHeight="1" x14ac:dyDescent="0.2">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spans="1:26" ht="14.25" customHeight="1" x14ac:dyDescent="0.2">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spans="1:26" ht="14.25" customHeight="1" x14ac:dyDescent="0.2">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spans="1:26" ht="14.25" customHeight="1" x14ac:dyDescent="0.2">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spans="1:26" ht="14.25" customHeight="1" x14ac:dyDescent="0.2">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spans="1:26" ht="14.25" customHeight="1" x14ac:dyDescent="0.2">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spans="1:26" ht="14.25" customHeight="1" x14ac:dyDescent="0.2">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spans="1:26" ht="14.25" customHeight="1" x14ac:dyDescent="0.2">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spans="1:26" ht="14.25" customHeight="1" x14ac:dyDescent="0.2">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spans="1:26" ht="14.25" customHeight="1" x14ac:dyDescent="0.2">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spans="1:26" ht="14.25" customHeight="1" x14ac:dyDescent="0.2">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spans="1:26" ht="14.25" customHeight="1" x14ac:dyDescent="0.2">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spans="1:26" ht="14.25" customHeight="1" x14ac:dyDescent="0.2">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spans="1:26" ht="14.25" customHeight="1" x14ac:dyDescent="0.2">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spans="1:26" ht="14.25" customHeight="1" x14ac:dyDescent="0.2">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spans="1:26" ht="14.25" customHeight="1" x14ac:dyDescent="0.2">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spans="1:26" ht="14.25" customHeight="1" x14ac:dyDescent="0.2">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spans="1:26" ht="14.25" customHeight="1" x14ac:dyDescent="0.2">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spans="1:26" ht="14.25" customHeight="1" x14ac:dyDescent="0.2">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row r="1001" spans="1:26" ht="14.25" customHeight="1" x14ac:dyDescent="0.2">
      <c r="A1001" s="10"/>
      <c r="B1001" s="10"/>
      <c r="C1001" s="10"/>
      <c r="D1001" s="10"/>
      <c r="E1001" s="10"/>
      <c r="F1001" s="10"/>
      <c r="G1001" s="10"/>
      <c r="H1001" s="10"/>
      <c r="I1001" s="10"/>
      <c r="J1001" s="10"/>
      <c r="K1001" s="10"/>
      <c r="L1001" s="10"/>
      <c r="M1001" s="10"/>
      <c r="N1001" s="10"/>
      <c r="O1001" s="10"/>
      <c r="P1001" s="10"/>
      <c r="Q1001" s="10"/>
      <c r="R1001" s="10"/>
      <c r="S1001" s="10"/>
      <c r="T1001" s="10"/>
      <c r="U1001" s="10"/>
      <c r="V1001" s="10"/>
      <c r="W1001" s="10"/>
      <c r="X1001" s="10"/>
      <c r="Y1001" s="10"/>
      <c r="Z1001" s="10"/>
    </row>
    <row r="1002" spans="1:26" ht="14.25" customHeight="1" x14ac:dyDescent="0.2">
      <c r="A1002" s="10"/>
      <c r="B1002" s="10"/>
      <c r="C1002" s="10"/>
      <c r="D1002" s="10"/>
      <c r="E1002" s="10"/>
      <c r="F1002" s="10"/>
      <c r="G1002" s="10"/>
      <c r="H1002" s="10"/>
      <c r="I1002" s="10"/>
      <c r="J1002" s="10"/>
      <c r="K1002" s="10"/>
      <c r="L1002" s="10"/>
      <c r="M1002" s="10"/>
      <c r="N1002" s="10"/>
      <c r="O1002" s="10"/>
      <c r="P1002" s="10"/>
      <c r="Q1002" s="10"/>
      <c r="R1002" s="10"/>
      <c r="S1002" s="10"/>
      <c r="T1002" s="10"/>
      <c r="U1002" s="10"/>
      <c r="V1002" s="10"/>
      <c r="W1002" s="10"/>
      <c r="X1002" s="10"/>
      <c r="Y1002" s="10"/>
      <c r="Z1002" s="10"/>
    </row>
    <row r="1003" spans="1:26" ht="14.25" customHeight="1" x14ac:dyDescent="0.2">
      <c r="A1003" s="10"/>
      <c r="B1003" s="10"/>
      <c r="C1003" s="10"/>
      <c r="D1003" s="10"/>
      <c r="E1003" s="10"/>
      <c r="F1003" s="10"/>
      <c r="G1003" s="10"/>
      <c r="H1003" s="10"/>
      <c r="I1003" s="10"/>
      <c r="J1003" s="10"/>
      <c r="K1003" s="10"/>
      <c r="L1003" s="10"/>
      <c r="M1003" s="10"/>
      <c r="N1003" s="10"/>
      <c r="O1003" s="10"/>
      <c r="P1003" s="10"/>
      <c r="Q1003" s="10"/>
      <c r="R1003" s="10"/>
      <c r="S1003" s="10"/>
      <c r="T1003" s="10"/>
      <c r="U1003" s="10"/>
      <c r="V1003" s="10"/>
      <c r="W1003" s="10"/>
      <c r="X1003" s="10"/>
      <c r="Y1003" s="10"/>
      <c r="Z1003" s="10"/>
    </row>
    <row r="1004" spans="1:26" ht="14.25" customHeight="1" x14ac:dyDescent="0.2">
      <c r="A1004" s="10"/>
      <c r="B1004" s="10"/>
      <c r="C1004" s="10"/>
      <c r="D1004" s="10"/>
      <c r="E1004" s="10"/>
      <c r="F1004" s="10"/>
      <c r="G1004" s="10"/>
      <c r="H1004" s="10"/>
      <c r="I1004" s="10"/>
      <c r="J1004" s="10"/>
      <c r="K1004" s="10"/>
      <c r="L1004" s="10"/>
      <c r="M1004" s="10"/>
      <c r="N1004" s="10"/>
      <c r="O1004" s="10"/>
      <c r="P1004" s="10"/>
      <c r="Q1004" s="10"/>
      <c r="R1004" s="10"/>
      <c r="S1004" s="10"/>
      <c r="T1004" s="10"/>
      <c r="U1004" s="10"/>
      <c r="V1004" s="10"/>
      <c r="W1004" s="10"/>
      <c r="X1004" s="10"/>
      <c r="Y1004" s="10"/>
      <c r="Z1004" s="10"/>
    </row>
    <row r="1005" spans="1:26" ht="14.25" customHeight="1" x14ac:dyDescent="0.2">
      <c r="A1005" s="10"/>
      <c r="B1005" s="10"/>
      <c r="C1005" s="10"/>
      <c r="D1005" s="10"/>
      <c r="E1005" s="10"/>
      <c r="F1005" s="10"/>
      <c r="G1005" s="10"/>
      <c r="H1005" s="10"/>
      <c r="I1005" s="10"/>
      <c r="J1005" s="10"/>
      <c r="K1005" s="10"/>
      <c r="L1005" s="10"/>
      <c r="M1005" s="10"/>
      <c r="N1005" s="10"/>
      <c r="O1005" s="10"/>
      <c r="P1005" s="10"/>
      <c r="Q1005" s="10"/>
      <c r="R1005" s="10"/>
      <c r="S1005" s="10"/>
      <c r="T1005" s="10"/>
      <c r="U1005" s="10"/>
      <c r="V1005" s="10"/>
      <c r="W1005" s="10"/>
      <c r="X1005" s="10"/>
      <c r="Y1005" s="10"/>
      <c r="Z1005" s="10"/>
    </row>
    <row r="1006" spans="1:26" ht="14.25" customHeight="1" x14ac:dyDescent="0.2">
      <c r="A1006" s="10"/>
      <c r="B1006" s="10"/>
      <c r="C1006" s="10"/>
      <c r="D1006" s="10"/>
      <c r="E1006" s="10"/>
      <c r="F1006" s="10"/>
      <c r="G1006" s="10"/>
      <c r="H1006" s="10"/>
      <c r="I1006" s="10"/>
      <c r="J1006" s="10"/>
      <c r="K1006" s="10"/>
      <c r="L1006" s="10"/>
      <c r="M1006" s="10"/>
      <c r="N1006" s="10"/>
      <c r="O1006" s="10"/>
      <c r="P1006" s="10"/>
      <c r="Q1006" s="10"/>
      <c r="R1006" s="10"/>
      <c r="S1006" s="10"/>
      <c r="T1006" s="10"/>
      <c r="U1006" s="10"/>
      <c r="V1006" s="10"/>
      <c r="W1006" s="10"/>
      <c r="X1006" s="10"/>
      <c r="Y1006" s="10"/>
      <c r="Z1006" s="10"/>
    </row>
    <row r="1007" spans="1:26" ht="14.25" customHeight="1" x14ac:dyDescent="0.2">
      <c r="A1007" s="10"/>
      <c r="B1007" s="10"/>
      <c r="C1007" s="10"/>
      <c r="D1007" s="10"/>
      <c r="E1007" s="10"/>
      <c r="F1007" s="10"/>
      <c r="G1007" s="10"/>
      <c r="H1007" s="10"/>
      <c r="I1007" s="10"/>
      <c r="J1007" s="10"/>
      <c r="K1007" s="10"/>
      <c r="L1007" s="10"/>
      <c r="M1007" s="10"/>
      <c r="N1007" s="10"/>
      <c r="O1007" s="10"/>
      <c r="P1007" s="10"/>
      <c r="Q1007" s="10"/>
      <c r="R1007" s="10"/>
      <c r="S1007" s="10"/>
      <c r="T1007" s="10"/>
      <c r="U1007" s="10"/>
      <c r="V1007" s="10"/>
      <c r="W1007" s="10"/>
      <c r="X1007" s="10"/>
      <c r="Y1007" s="10"/>
      <c r="Z1007" s="10"/>
    </row>
    <row r="1008" spans="1:26" ht="15" customHeight="1" x14ac:dyDescent="0.2">
      <c r="B1008" s="10"/>
      <c r="C1008" s="10"/>
    </row>
    <row r="1009" spans="2:3" ht="15" customHeight="1" x14ac:dyDescent="0.2">
      <c r="B1009" s="10"/>
      <c r="C1009" s="10"/>
    </row>
    <row r="1010" spans="2:3" ht="15" customHeight="1" x14ac:dyDescent="0.2">
      <c r="B1010" s="10"/>
      <c r="C1010" s="10"/>
    </row>
    <row r="1011" spans="2:3" ht="15" customHeight="1" x14ac:dyDescent="0.2">
      <c r="B1011" s="10"/>
      <c r="C1011" s="10"/>
    </row>
    <row r="1012" spans="2:3" ht="15" customHeight="1" x14ac:dyDescent="0.2">
      <c r="B1012" s="10"/>
      <c r="C1012" s="10"/>
    </row>
    <row r="1013" spans="2:3" ht="15" customHeight="1" x14ac:dyDescent="0.2">
      <c r="B1013" s="10"/>
      <c r="C1013" s="10"/>
    </row>
    <row r="1014" spans="2:3" ht="15" customHeight="1" x14ac:dyDescent="0.2">
      <c r="B1014" s="10"/>
      <c r="C1014" s="10"/>
    </row>
    <row r="1015" spans="2:3" ht="15" customHeight="1" x14ac:dyDescent="0.2">
      <c r="B1015" s="10"/>
      <c r="C1015" s="10"/>
    </row>
    <row r="1016" spans="2:3" ht="15" customHeight="1" x14ac:dyDescent="0.2">
      <c r="B1016" s="10"/>
      <c r="C1016" s="10"/>
    </row>
    <row r="1017" spans="2:3" ht="15" customHeight="1" x14ac:dyDescent="0.2">
      <c r="B1017" s="10"/>
      <c r="C1017" s="10"/>
    </row>
    <row r="1018" spans="2:3" ht="15" customHeight="1" x14ac:dyDescent="0.2">
      <c r="B1018" s="10"/>
      <c r="C1018" s="10"/>
    </row>
    <row r="1019" spans="2:3" ht="15" customHeight="1" x14ac:dyDescent="0.2">
      <c r="B1019" s="10"/>
      <c r="C1019" s="10"/>
    </row>
  </sheetData>
  <mergeCells count="24">
    <mergeCell ref="B85:L85"/>
    <mergeCell ref="C25:L25"/>
    <mergeCell ref="C26:L26"/>
    <mergeCell ref="C27:L27"/>
    <mergeCell ref="C28:L28"/>
    <mergeCell ref="C29:L29"/>
    <mergeCell ref="C30:L30"/>
    <mergeCell ref="C33:L33"/>
    <mergeCell ref="C34:L34"/>
    <mergeCell ref="C35:L35"/>
    <mergeCell ref="C41:L41"/>
    <mergeCell ref="C42:L42"/>
    <mergeCell ref="C43:L43"/>
    <mergeCell ref="C44:L44"/>
    <mergeCell ref="C36:L36"/>
    <mergeCell ref="C37:L37"/>
    <mergeCell ref="C38:L38"/>
    <mergeCell ref="C39:L39"/>
    <mergeCell ref="C40:L40"/>
    <mergeCell ref="C19:L19"/>
    <mergeCell ref="B21:L21"/>
    <mergeCell ref="B20:L20"/>
    <mergeCell ref="C22:L22"/>
    <mergeCell ref="C23:L23"/>
  </mergeCells>
  <hyperlinks>
    <hyperlink ref="B19" location="'Cover sheet'!A1" display="Cover sheet" xr:uid="{4579E6FF-11EB-9240-9C0A-854AD9B31DB1}"/>
    <hyperlink ref="B22" location="'Waste Value Factors'!A1" display="Waste Value Factors" xr:uid="{5323D4F0-B2EA-6F49-8D75-541CEC5B2E53}"/>
    <hyperlink ref="B25" location="'Waste Assumptions Sheet'!A1" display="Waste Assumptions Sheet" xr:uid="{1DE5B270-19EA-B947-9A99-C7EDF6C176F4}"/>
    <hyperlink ref="B26" location="'Waste Data Sheet'!A1" display="Waste Data Sheet" xr:uid="{7FEEAF4E-4A8B-9945-978B-08918DCE1536}"/>
    <hyperlink ref="B27" location="'Country Mappings'!A1" display="Country Mappings" xr:uid="{B2B15E1F-1462-8847-9B20-9B8D23223E5B}"/>
    <hyperlink ref="B28" location="'Inflation Calculations'!A1" display="Inflation Calculations" xr:uid="{32A6A1C8-EEFE-1044-9A07-ECD11274D576}"/>
    <hyperlink ref="B29" location="'Waste HARAS ERQ'!A1" display="Waste HARAS ERQ" xr:uid="{0D18EF70-EFF6-3A41-901A-6EEAC34D5E0A}"/>
    <hyperlink ref="B30" location="'Waste MGR'!A1" display="Waste MGR" xr:uid="{3B676B29-5D19-004C-843A-0A5E900A770D}"/>
    <hyperlink ref="B33" location="'1. Leachate'!A1" display="1. Leachate" xr:uid="{332973D5-04FC-3246-B6FC-D42EFE8F809B}"/>
    <hyperlink ref="B34" location="'2. Air pollution'!A1" display="2. Air pollution" xr:uid="{C307C162-D2E9-754F-8342-84A48711A4CE}"/>
    <hyperlink ref="B35" location="'3. Heavy metals &amp; dioxins'!A1" display="3. Heavy metals &amp; dioxins" xr:uid="{2E40B832-F38A-EF4E-9D68-68A2E6DE935C}"/>
    <hyperlink ref="B36" location="'4. Disamenity'!A1" display="4. Disamenity" xr:uid="{6331FD5F-CB76-D04E-83B8-3EE520E9D878}"/>
    <hyperlink ref="B37" location="'4a. LF DWF'!A1" display="4a. LF DWF" xr:uid="{459119DF-57B7-6F4B-B637-FC1C68CB94E9}"/>
    <hyperlink ref="B38" location="'4b. IN DWF'!A1" display="4b. IN DWF" xr:uid="{A50022BC-7DA7-7644-BCC1-5B6E2D3D9FEE}"/>
    <hyperlink ref="B39" location="'4c. Hedonic pricing'!A1" display="4c. Hedonic pricing" xr:uid="{C2CCB1DA-9AF7-E44E-8C14-174975F75CDA}"/>
    <hyperlink ref="B40" location="'5. Landfill GHGs'!A1" display="5. Landfill GHGs" xr:uid="{4E3D3265-F03B-1140-B304-E6D567690992}"/>
    <hyperlink ref="B41" location="'5a. IPCC Model'!A1" display="5a. IPCC Model" xr:uid="{F1EF1034-A4C1-AC47-8B3B-DA4763C8FBCB}"/>
    <hyperlink ref="B42" location="'6. Incineration GHGs'!A1" display="6. Incineration GHGs" xr:uid="{D26E0D8F-0E30-264C-95EF-7D2514DF894B}"/>
    <hyperlink ref="B43" location="'7. Interim value factors'!A1" display="7. Interim value factors" xr:uid="{93BF1837-BEE0-0A43-93FD-4028A88EB9B0}"/>
    <hyperlink ref="B15" r:id="rId1" xr:uid="{F1519D13-4E8E-9C4E-9012-26DF6AA56056}"/>
    <hyperlink ref="B86" r:id="rId2" xr:uid="{1EB6C4E1-11BF-614F-BE80-2D66E319D5BA}"/>
  </hyperlinks>
  <pageMargins left="0.7" right="0.7" top="0.75" bottom="0.75" header="0" footer="0"/>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C8075-3843-DF4A-AE57-BC544BA47AB5}">
  <sheetPr codeName="Sheet14">
    <tabColor theme="1"/>
  </sheetPr>
  <dimension ref="A1"/>
  <sheetViews>
    <sheetView workbookViewId="0"/>
  </sheetViews>
  <sheetFormatPr baseColWidth="10" defaultRowHeight="15" x14ac:dyDescent="0.2"/>
  <cols>
    <col min="1" max="16384" width="10.83203125" style="189"/>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8AA9E8"/>
  </sheetPr>
  <dimension ref="B1:AD1000"/>
  <sheetViews>
    <sheetView showGridLines="0" zoomScaleNormal="100" workbookViewId="0">
      <pane ySplit="12" topLeftCell="A13" activePane="bottomLeft" state="frozen"/>
      <selection activeCell="D1" sqref="D1"/>
      <selection pane="bottomLeft"/>
    </sheetView>
  </sheetViews>
  <sheetFormatPr baseColWidth="10" defaultColWidth="14.5" defaultRowHeight="15" customHeight="1" x14ac:dyDescent="0.2"/>
  <cols>
    <col min="1" max="1" width="8.5" customWidth="1"/>
    <col min="2" max="4" width="24.83203125" customWidth="1"/>
    <col min="5" max="5" width="23.1640625" customWidth="1"/>
    <col min="6" max="6" width="16.83203125" customWidth="1"/>
    <col min="7" max="30" width="22.5" customWidth="1"/>
  </cols>
  <sheetData>
    <row r="1" spans="2:30" ht="14.25" customHeight="1" x14ac:dyDescent="0.2"/>
    <row r="2" spans="2:30" ht="21" x14ac:dyDescent="0.25">
      <c r="B2" s="1" t="s">
        <v>822</v>
      </c>
      <c r="C2" s="1"/>
      <c r="D2" s="1"/>
    </row>
    <row r="3" spans="2:30" ht="14.25" customHeight="1" x14ac:dyDescent="0.2"/>
    <row r="4" spans="2:30" ht="14.25" customHeight="1" x14ac:dyDescent="0.2">
      <c r="B4" s="3" t="s">
        <v>812</v>
      </c>
      <c r="C4" s="3"/>
      <c r="D4" s="3"/>
    </row>
    <row r="5" spans="2:30" ht="14.25" customHeight="1" x14ac:dyDescent="0.2">
      <c r="B5" s="188" t="s">
        <v>824</v>
      </c>
    </row>
    <row r="6" spans="2:30" ht="14" customHeight="1" x14ac:dyDescent="0.2">
      <c r="B6" s="188" t="s">
        <v>863</v>
      </c>
    </row>
    <row r="7" spans="2:30" ht="23.5" customHeight="1" x14ac:dyDescent="0.25">
      <c r="F7" s="16"/>
      <c r="G7" s="346" t="s">
        <v>552</v>
      </c>
      <c r="H7" s="346"/>
      <c r="I7" s="346"/>
      <c r="J7" s="346"/>
      <c r="K7" s="346"/>
      <c r="L7" s="346"/>
      <c r="M7" s="346" t="s">
        <v>563</v>
      </c>
      <c r="N7" s="346"/>
      <c r="O7" s="346"/>
      <c r="P7" s="346"/>
      <c r="Q7" s="346"/>
      <c r="R7" s="346"/>
      <c r="S7" s="346"/>
      <c r="T7" s="346"/>
      <c r="U7" s="346" t="s">
        <v>564</v>
      </c>
      <c r="V7" s="346"/>
      <c r="W7" s="346"/>
      <c r="X7" s="346"/>
      <c r="Y7" s="346"/>
      <c r="Z7" s="346"/>
      <c r="AA7" s="346"/>
      <c r="AB7" s="346"/>
      <c r="AC7" s="346"/>
      <c r="AD7" s="346"/>
    </row>
    <row r="8" spans="2:30" ht="14.25" customHeight="1" x14ac:dyDescent="0.2">
      <c r="B8" s="5"/>
      <c r="F8" s="16"/>
      <c r="G8" s="347" t="s">
        <v>406</v>
      </c>
      <c r="H8" s="347"/>
      <c r="I8" s="347"/>
      <c r="J8" s="348" t="s">
        <v>451</v>
      </c>
      <c r="K8" s="348"/>
      <c r="L8" s="348"/>
      <c r="M8" s="347" t="s">
        <v>406</v>
      </c>
      <c r="N8" s="347"/>
      <c r="O8" s="347"/>
      <c r="P8" s="347"/>
      <c r="Q8" s="348" t="s">
        <v>451</v>
      </c>
      <c r="R8" s="348"/>
      <c r="S8" s="348"/>
      <c r="T8" s="348"/>
      <c r="U8" s="347" t="s">
        <v>406</v>
      </c>
      <c r="V8" s="347"/>
      <c r="W8" s="347"/>
      <c r="X8" s="347"/>
      <c r="Y8" s="347"/>
      <c r="Z8" s="348" t="s">
        <v>451</v>
      </c>
      <c r="AA8" s="348"/>
      <c r="AB8" s="348"/>
      <c r="AC8" s="348"/>
      <c r="AD8" s="348"/>
    </row>
    <row r="9" spans="2:30" ht="14.25" customHeight="1" x14ac:dyDescent="0.2">
      <c r="B9" s="5"/>
      <c r="C9" s="104"/>
      <c r="D9" s="105"/>
      <c r="E9" s="121"/>
      <c r="F9" s="121"/>
      <c r="G9" s="109" t="s">
        <v>551</v>
      </c>
      <c r="H9" s="109" t="s">
        <v>572</v>
      </c>
      <c r="I9" s="109" t="s">
        <v>565</v>
      </c>
      <c r="J9" s="109" t="s">
        <v>551</v>
      </c>
      <c r="K9" s="109" t="s">
        <v>572</v>
      </c>
      <c r="L9" s="109" t="s">
        <v>565</v>
      </c>
      <c r="M9" s="109" t="s">
        <v>572</v>
      </c>
      <c r="N9" s="109" t="s">
        <v>565</v>
      </c>
      <c r="O9" s="109" t="s">
        <v>562</v>
      </c>
      <c r="P9" s="109" t="s">
        <v>561</v>
      </c>
      <c r="Q9" s="109" t="s">
        <v>572</v>
      </c>
      <c r="R9" s="109" t="s">
        <v>565</v>
      </c>
      <c r="S9" s="109" t="s">
        <v>562</v>
      </c>
      <c r="T9" s="109" t="s">
        <v>561</v>
      </c>
      <c r="U9" s="109" t="s">
        <v>551</v>
      </c>
      <c r="V9" s="109" t="s">
        <v>562</v>
      </c>
      <c r="W9" s="109" t="s">
        <v>561</v>
      </c>
      <c r="X9" s="109" t="s">
        <v>565</v>
      </c>
      <c r="Y9" s="109" t="s">
        <v>572</v>
      </c>
      <c r="Z9" s="109" t="s">
        <v>551</v>
      </c>
      <c r="AA9" s="109" t="s">
        <v>562</v>
      </c>
      <c r="AB9" s="109" t="s">
        <v>561</v>
      </c>
      <c r="AC9" s="109" t="s">
        <v>565</v>
      </c>
      <c r="AD9" s="109" t="s">
        <v>572</v>
      </c>
    </row>
    <row r="10" spans="2:30" ht="14.25" customHeight="1" x14ac:dyDescent="0.2">
      <c r="B10" s="5"/>
      <c r="C10" s="122"/>
      <c r="D10" s="122"/>
      <c r="E10" s="123"/>
      <c r="F10" s="123"/>
      <c r="G10" s="110" t="s">
        <v>566</v>
      </c>
      <c r="H10" s="110" t="s">
        <v>566</v>
      </c>
      <c r="I10" s="110" t="s">
        <v>566</v>
      </c>
      <c r="J10" s="110" t="s">
        <v>567</v>
      </c>
      <c r="K10" s="110" t="s">
        <v>567</v>
      </c>
      <c r="L10" s="110" t="s">
        <v>567</v>
      </c>
      <c r="M10" s="110" t="s">
        <v>568</v>
      </c>
      <c r="N10" s="110" t="s">
        <v>568</v>
      </c>
      <c r="O10" s="110" t="s">
        <v>568</v>
      </c>
      <c r="P10" s="110" t="s">
        <v>568</v>
      </c>
      <c r="Q10" s="110" t="s">
        <v>569</v>
      </c>
      <c r="R10" s="110" t="s">
        <v>569</v>
      </c>
      <c r="S10" s="110" t="s">
        <v>569</v>
      </c>
      <c r="T10" s="110" t="s">
        <v>569</v>
      </c>
      <c r="U10" s="110" t="s">
        <v>570</v>
      </c>
      <c r="V10" s="110" t="s">
        <v>570</v>
      </c>
      <c r="W10" s="110" t="s">
        <v>570</v>
      </c>
      <c r="X10" s="110" t="s">
        <v>570</v>
      </c>
      <c r="Y10" s="110" t="s">
        <v>570</v>
      </c>
      <c r="Z10" s="110" t="s">
        <v>571</v>
      </c>
      <c r="AA10" s="110" t="s">
        <v>571</v>
      </c>
      <c r="AB10" s="110" t="s">
        <v>571</v>
      </c>
      <c r="AC10" s="110" t="s">
        <v>571</v>
      </c>
      <c r="AD10" s="110" t="s">
        <v>571</v>
      </c>
    </row>
    <row r="11" spans="2:30" ht="14.25" customHeight="1" x14ac:dyDescent="0.2">
      <c r="B11" s="5"/>
      <c r="C11" s="58" t="s">
        <v>0</v>
      </c>
      <c r="D11" s="58" t="s">
        <v>20</v>
      </c>
      <c r="E11" s="120" t="s">
        <v>584</v>
      </c>
      <c r="F11" s="241" t="s">
        <v>587</v>
      </c>
      <c r="G11" s="108" t="s">
        <v>391</v>
      </c>
      <c r="H11" s="108" t="s">
        <v>391</v>
      </c>
      <c r="I11" s="108" t="s">
        <v>391</v>
      </c>
      <c r="J11" s="108" t="s">
        <v>391</v>
      </c>
      <c r="K11" s="108" t="s">
        <v>391</v>
      </c>
      <c r="L11" s="108" t="s">
        <v>391</v>
      </c>
      <c r="M11" s="108" t="s">
        <v>391</v>
      </c>
      <c r="N11" s="108" t="s">
        <v>391</v>
      </c>
      <c r="O11" s="108" t="s">
        <v>391</v>
      </c>
      <c r="P11" s="108" t="s">
        <v>391</v>
      </c>
      <c r="Q11" s="108" t="s">
        <v>391</v>
      </c>
      <c r="R11" s="108" t="s">
        <v>391</v>
      </c>
      <c r="S11" s="108" t="s">
        <v>391</v>
      </c>
      <c r="T11" s="108" t="s">
        <v>391</v>
      </c>
      <c r="U11" s="108" t="s">
        <v>391</v>
      </c>
      <c r="V11" s="108" t="s">
        <v>391</v>
      </c>
      <c r="W11" s="108" t="s">
        <v>391</v>
      </c>
      <c r="X11" s="108" t="s">
        <v>391</v>
      </c>
      <c r="Y11" s="108" t="s">
        <v>391</v>
      </c>
      <c r="Z11" s="108" t="s">
        <v>391</v>
      </c>
      <c r="AA11" s="108" t="s">
        <v>391</v>
      </c>
      <c r="AB11" s="108" t="s">
        <v>391</v>
      </c>
      <c r="AC11" s="108" t="s">
        <v>391</v>
      </c>
      <c r="AD11" s="108" t="s">
        <v>391</v>
      </c>
    </row>
    <row r="12" spans="2:30" ht="14.25" customHeight="1" x14ac:dyDescent="0.2">
      <c r="B12" s="5"/>
      <c r="C12" s="7"/>
      <c r="D12" s="7"/>
      <c r="E12" s="22" t="s">
        <v>585</v>
      </c>
      <c r="F12" s="22"/>
      <c r="G12" s="125" t="str">
        <f>G9&amp;"_"&amp;G10</f>
        <v>Leachate_Hazardous (to landfill)</v>
      </c>
      <c r="H12" s="22" t="str">
        <f t="shared" ref="H12:AD12" si="0">H9&amp;"_"&amp;H10</f>
        <v>GHGs_Hazardous (to landfill)</v>
      </c>
      <c r="I12" s="22" t="str">
        <f t="shared" si="0"/>
        <v>Disamenity_Hazardous (to landfill)</v>
      </c>
      <c r="J12" s="22" t="str">
        <f t="shared" si="0"/>
        <v>Leachate_Non-hazardous (to landfill)</v>
      </c>
      <c r="K12" s="22" t="str">
        <f t="shared" si="0"/>
        <v>GHGs_Non-hazardous (to landfill)</v>
      </c>
      <c r="L12" s="22" t="str">
        <f t="shared" si="0"/>
        <v>Disamenity_Non-hazardous (to landfill)</v>
      </c>
      <c r="M12" s="22" t="str">
        <f t="shared" si="0"/>
        <v>GHGs_Hazardous (to incineration)</v>
      </c>
      <c r="N12" s="22" t="str">
        <f t="shared" si="0"/>
        <v>Disamenity_Hazardous (to incineration)</v>
      </c>
      <c r="O12" s="22" t="str">
        <f t="shared" si="0"/>
        <v>Air pollution_Hazardous (to incineration)</v>
      </c>
      <c r="P12" s="22" t="str">
        <f t="shared" si="0"/>
        <v>Heavy metals and dioxins_Hazardous (to incineration)</v>
      </c>
      <c r="Q12" s="22" t="str">
        <f t="shared" si="0"/>
        <v>GHGs_Non-hazardous (to incineration)</v>
      </c>
      <c r="R12" s="22" t="str">
        <f t="shared" si="0"/>
        <v>Disamenity_Non-hazardous (to incineration)</v>
      </c>
      <c r="S12" s="22" t="str">
        <f t="shared" si="0"/>
        <v>Air pollution_Non-hazardous (to incineration)</v>
      </c>
      <c r="T12" s="22" t="str">
        <f t="shared" si="0"/>
        <v>Heavy metals and dioxins_Non-hazardous (to incineration)</v>
      </c>
      <c r="U12" s="22" t="str">
        <f t="shared" si="0"/>
        <v>Leachate_Hazardous (to unspecified)</v>
      </c>
      <c r="V12" s="22" t="str">
        <f t="shared" si="0"/>
        <v>Air pollution_Hazardous (to unspecified)</v>
      </c>
      <c r="W12" s="22" t="str">
        <f t="shared" si="0"/>
        <v>Heavy metals and dioxins_Hazardous (to unspecified)</v>
      </c>
      <c r="X12" s="22" t="str">
        <f t="shared" si="0"/>
        <v>Disamenity_Hazardous (to unspecified)</v>
      </c>
      <c r="Y12" s="22" t="str">
        <f t="shared" si="0"/>
        <v>GHGs_Hazardous (to unspecified)</v>
      </c>
      <c r="Z12" s="22" t="str">
        <f t="shared" si="0"/>
        <v>Leachate_Non-hazardous (to unspecified)</v>
      </c>
      <c r="AA12" s="22" t="str">
        <f t="shared" si="0"/>
        <v>Air pollution_Non-hazardous (to unspecified)</v>
      </c>
      <c r="AB12" s="22" t="str">
        <f t="shared" si="0"/>
        <v>Heavy metals and dioxins_Non-hazardous (to unspecified)</v>
      </c>
      <c r="AC12" s="22" t="str">
        <f t="shared" si="0"/>
        <v>Disamenity_Non-hazardous (to unspecified)</v>
      </c>
      <c r="AD12" s="22" t="str">
        <f t="shared" si="0"/>
        <v>GHGs_Non-hazardous (to unspecified)</v>
      </c>
    </row>
    <row r="13" spans="2:30" ht="14.25" customHeight="1" x14ac:dyDescent="0.2">
      <c r="C13" s="8" t="str" cm="1">
        <f t="array" ref="C13:C230">Input_countries</f>
        <v>Afghanistan</v>
      </c>
      <c r="D13" s="8" t="str" cm="1">
        <f t="array" ref="D13:D230">Input_regions</f>
        <v>South Asia</v>
      </c>
      <c r="E13" s="13" t="s">
        <v>586</v>
      </c>
      <c r="F13" s="124" t="str">
        <f>D13&amp;"_"&amp;E13</f>
        <v>South Asia_Low income</v>
      </c>
      <c r="G13" s="329">
        <f t="shared" ref="G13:P22" si="1">IFERROR(IF(INDEX(Interim_Coefficients,MATCH($C13,Interim_Countries,0),MATCH(G$12,Interim_type,0))="No value",INDEX(Interim_CombinedCoefficients,MATCH($F13,Interim_CombinedTag,0),MATCH(G$12,Interim_CombinedType,0)),INDEX(Interim_Coefficients,MATCH($C13,Interim_Countries,0),MATCH(G$12,Interim_type,0))),INDEX(Interim_CombinedCoefficients,MATCH($F13,Interim_CombinedTag,0),MATCH(G$12,Interim_CombinedType,0)))</f>
        <v>18.188477578406633</v>
      </c>
      <c r="H13" s="329">
        <f t="shared" si="1"/>
        <v>179.15030978190379</v>
      </c>
      <c r="I13" s="329">
        <f t="shared" si="1"/>
        <v>45.963541258569471</v>
      </c>
      <c r="J13" s="329">
        <f t="shared" si="1"/>
        <v>0.29905434226945427</v>
      </c>
      <c r="K13" s="329">
        <f t="shared" si="1"/>
        <v>179.15030978190379</v>
      </c>
      <c r="L13" s="329">
        <f t="shared" si="1"/>
        <v>45.963541258569471</v>
      </c>
      <c r="M13" s="329">
        <f t="shared" si="1"/>
        <v>386.36066988979189</v>
      </c>
      <c r="N13" s="329">
        <f t="shared" si="1"/>
        <v>3.0069383810950008</v>
      </c>
      <c r="O13" s="329">
        <f t="shared" si="1"/>
        <v>18.28083197682821</v>
      </c>
      <c r="P13" s="329">
        <f t="shared" si="1"/>
        <v>4.9289279581529488</v>
      </c>
      <c r="Q13" s="329">
        <f t="shared" ref="Q13:AD22" si="2">IFERROR(IF(INDEX(Interim_Coefficients,MATCH($C13,Interim_Countries,0),MATCH(Q$12,Interim_type,0))="No value",INDEX(Interim_CombinedCoefficients,MATCH($F13,Interim_CombinedTag,0),MATCH(Q$12,Interim_CombinedType,0)),INDEX(Interim_Coefficients,MATCH($C13,Interim_Countries,0),MATCH(Q$12,Interim_type,0))),INDEX(Interim_CombinedCoefficients,MATCH($F13,Interim_CombinedTag,0),MATCH(Q$12,Interim_CombinedType,0)))</f>
        <v>124.01862912013361</v>
      </c>
      <c r="R13" s="329">
        <f t="shared" si="2"/>
        <v>3.0069383810950008</v>
      </c>
      <c r="S13" s="329">
        <f t="shared" si="2"/>
        <v>18.28083197682821</v>
      </c>
      <c r="T13" s="329">
        <f t="shared" si="2"/>
        <v>4.9289279581529488</v>
      </c>
      <c r="U13" s="329">
        <f t="shared" si="2"/>
        <v>0</v>
      </c>
      <c r="V13" s="329">
        <f t="shared" si="2"/>
        <v>18.28083197682821</v>
      </c>
      <c r="W13" s="329">
        <f t="shared" si="2"/>
        <v>4.9289279581529488</v>
      </c>
      <c r="X13" s="329">
        <f t="shared" si="2"/>
        <v>3.0069383810950008</v>
      </c>
      <c r="Y13" s="329">
        <f>IFERROR(IF(INDEX(Interim_Coefficients,MATCH($C13,Interim_Countries,0),MATCH(Y$12,Interim_type,0))="No value",INDEX(Interim_CombinedCoefficients,MATCH($F13,Interim_CombinedTag,0),MATCH(Y$12,Interim_CombinedType,0)),INDEX(Interim_Coefficients,MATCH($C13,Interim_Countries,0),MATCH(Y$12,Interim_type,0))),INDEX(Interim_CombinedCoefficients,MATCH($F13,Interim_CombinedTag,0),MATCH(Y$12,Interim_CombinedType,0)))</f>
        <v>386.36066988979189</v>
      </c>
      <c r="Z13" s="329">
        <f t="shared" si="2"/>
        <v>0.29905434226945427</v>
      </c>
      <c r="AA13" s="329">
        <f t="shared" si="2"/>
        <v>0</v>
      </c>
      <c r="AB13" s="329">
        <f t="shared" si="2"/>
        <v>0</v>
      </c>
      <c r="AC13" s="329">
        <f t="shared" si="2"/>
        <v>45.963541258569471</v>
      </c>
      <c r="AD13" s="329">
        <f t="shared" si="2"/>
        <v>179.15030978190379</v>
      </c>
    </row>
    <row r="14" spans="2:30" ht="14.25" customHeight="1" x14ac:dyDescent="0.2">
      <c r="C14" s="8" t="str">
        <v>Albania</v>
      </c>
      <c r="D14" s="8" t="str">
        <v>Europe &amp; Central Asia</v>
      </c>
      <c r="E14" s="13" t="s">
        <v>578</v>
      </c>
      <c r="F14" s="124" t="str">
        <f t="shared" ref="F14:F77" si="3">D14&amp;"_"&amp;E14</f>
        <v>Europe &amp; Central Asia_Upper middle income</v>
      </c>
      <c r="G14" s="329">
        <f t="shared" si="1"/>
        <v>19.63003739407586</v>
      </c>
      <c r="H14" s="329">
        <f t="shared" si="1"/>
        <v>187.00281170809052</v>
      </c>
      <c r="I14" s="329">
        <f t="shared" si="1"/>
        <v>152.66999372239431</v>
      </c>
      <c r="J14" s="329">
        <f t="shared" si="1"/>
        <v>0.33005732005694194</v>
      </c>
      <c r="K14" s="329">
        <f t="shared" si="1"/>
        <v>187.00281170809052</v>
      </c>
      <c r="L14" s="329">
        <f t="shared" si="1"/>
        <v>152.66999372239431</v>
      </c>
      <c r="M14" s="329">
        <f t="shared" si="1"/>
        <v>380.27773922168274</v>
      </c>
      <c r="N14" s="329">
        <f t="shared" si="1"/>
        <v>4.5928298109575465</v>
      </c>
      <c r="O14" s="329">
        <f t="shared" si="1"/>
        <v>3.6994518758026187</v>
      </c>
      <c r="P14" s="329">
        <f t="shared" si="1"/>
        <v>4.9289279581529488</v>
      </c>
      <c r="Q14" s="329">
        <f t="shared" si="2"/>
        <v>94.874795267611404</v>
      </c>
      <c r="R14" s="329">
        <f t="shared" si="2"/>
        <v>4.5928298109575465</v>
      </c>
      <c r="S14" s="329">
        <f t="shared" si="2"/>
        <v>3.6994518758026187</v>
      </c>
      <c r="T14" s="329">
        <f t="shared" si="2"/>
        <v>4.9289279581529488</v>
      </c>
      <c r="U14" s="329">
        <f t="shared" si="2"/>
        <v>0</v>
      </c>
      <c r="V14" s="329">
        <f t="shared" si="2"/>
        <v>3.6994518758026187</v>
      </c>
      <c r="W14" s="329">
        <f t="shared" si="2"/>
        <v>4.9289279581529488</v>
      </c>
      <c r="X14" s="329">
        <f t="shared" si="2"/>
        <v>4.5928298109575465</v>
      </c>
      <c r="Y14" s="329">
        <f t="shared" si="2"/>
        <v>380.27773922168274</v>
      </c>
      <c r="Z14" s="329">
        <f t="shared" si="2"/>
        <v>0.33005732005694194</v>
      </c>
      <c r="AA14" s="329">
        <f t="shared" si="2"/>
        <v>0</v>
      </c>
      <c r="AB14" s="329">
        <f t="shared" si="2"/>
        <v>0</v>
      </c>
      <c r="AC14" s="329">
        <f t="shared" si="2"/>
        <v>152.66999372239431</v>
      </c>
      <c r="AD14" s="329">
        <f t="shared" si="2"/>
        <v>187.00281170809052</v>
      </c>
    </row>
    <row r="15" spans="2:30" ht="14.25" customHeight="1" x14ac:dyDescent="0.2">
      <c r="C15" s="8" t="str">
        <v>Algeria</v>
      </c>
      <c r="D15" s="8" t="str">
        <v>Middle East &amp; North Africa</v>
      </c>
      <c r="E15" s="13" t="s">
        <v>580</v>
      </c>
      <c r="F15" s="124" t="str">
        <f t="shared" si="3"/>
        <v>Middle East &amp; North Africa_Lower middle income</v>
      </c>
      <c r="G15" s="329">
        <f t="shared" si="1"/>
        <v>18.10397927927896</v>
      </c>
      <c r="H15" s="329">
        <f t="shared" si="1"/>
        <v>183.05003240919942</v>
      </c>
      <c r="I15" s="329">
        <f t="shared" si="1"/>
        <v>8.9537853227281001</v>
      </c>
      <c r="J15" s="329">
        <f t="shared" si="1"/>
        <v>0.29929645004290506</v>
      </c>
      <c r="K15" s="329">
        <f t="shared" si="1"/>
        <v>183.05003240919942</v>
      </c>
      <c r="L15" s="329">
        <f t="shared" si="1"/>
        <v>8.9537853227281001</v>
      </c>
      <c r="M15" s="329">
        <f t="shared" si="1"/>
        <v>386.45224005661373</v>
      </c>
      <c r="N15" s="329">
        <f t="shared" si="1"/>
        <v>0.93587167759875556</v>
      </c>
      <c r="O15" s="329">
        <f t="shared" si="1"/>
        <v>4.1054973591834791</v>
      </c>
      <c r="P15" s="329">
        <f t="shared" si="1"/>
        <v>4.9289279581529488</v>
      </c>
      <c r="Q15" s="329">
        <f t="shared" si="2"/>
        <v>92.061010441720953</v>
      </c>
      <c r="R15" s="329">
        <f t="shared" si="2"/>
        <v>0.93587167759875556</v>
      </c>
      <c r="S15" s="329">
        <f t="shared" si="2"/>
        <v>4.1054973591834791</v>
      </c>
      <c r="T15" s="329">
        <f t="shared" si="2"/>
        <v>4.9289279581529488</v>
      </c>
      <c r="U15" s="329">
        <f t="shared" si="2"/>
        <v>0</v>
      </c>
      <c r="V15" s="329">
        <f t="shared" si="2"/>
        <v>4.1054973591834791</v>
      </c>
      <c r="W15" s="329">
        <f t="shared" si="2"/>
        <v>4.9289279581529488</v>
      </c>
      <c r="X15" s="329">
        <f t="shared" si="2"/>
        <v>0.93587167759875556</v>
      </c>
      <c r="Y15" s="329">
        <f t="shared" si="2"/>
        <v>386.45224005661373</v>
      </c>
      <c r="Z15" s="329">
        <f t="shared" si="2"/>
        <v>0.29929645004290506</v>
      </c>
      <c r="AA15" s="329">
        <f t="shared" si="2"/>
        <v>0</v>
      </c>
      <c r="AB15" s="329">
        <f t="shared" si="2"/>
        <v>0</v>
      </c>
      <c r="AC15" s="329">
        <f t="shared" si="2"/>
        <v>8.9537853227281001</v>
      </c>
      <c r="AD15" s="329">
        <f t="shared" si="2"/>
        <v>183.05003240919942</v>
      </c>
    </row>
    <row r="16" spans="2:30" ht="14.25" customHeight="1" x14ac:dyDescent="0.2">
      <c r="C16" s="8" t="str">
        <v>American Samoa</v>
      </c>
      <c r="D16" s="8" t="str">
        <v>East Asia &amp; Pacific</v>
      </c>
      <c r="E16" s="13" t="s">
        <v>579</v>
      </c>
      <c r="F16" s="124" t="str">
        <f t="shared" si="3"/>
        <v>East Asia &amp; Pacific_High income</v>
      </c>
      <c r="G16" s="329">
        <f t="shared" si="1"/>
        <v>44.443145199894367</v>
      </c>
      <c r="H16" s="329">
        <f t="shared" si="1"/>
        <v>183.8442475693883</v>
      </c>
      <c r="I16" s="329">
        <f t="shared" si="1"/>
        <v>105.92574003437052</v>
      </c>
      <c r="J16" s="329">
        <f t="shared" si="1"/>
        <v>0.74702806793375442</v>
      </c>
      <c r="K16" s="329">
        <f t="shared" si="1"/>
        <v>183.8442475693883</v>
      </c>
      <c r="L16" s="329">
        <f t="shared" si="1"/>
        <v>105.92574003437052</v>
      </c>
      <c r="M16" s="329">
        <f t="shared" si="1"/>
        <v>369.66231455327676</v>
      </c>
      <c r="N16" s="329">
        <f t="shared" si="1"/>
        <v>87.076870251981461</v>
      </c>
      <c r="O16" s="329">
        <f t="shared" si="1"/>
        <v>2.6357425797782517</v>
      </c>
      <c r="P16" s="329">
        <f t="shared" si="1"/>
        <v>4.9289279581529488</v>
      </c>
      <c r="Q16" s="329">
        <f t="shared" si="2"/>
        <v>113.50732455327682</v>
      </c>
      <c r="R16" s="329">
        <f t="shared" si="2"/>
        <v>87.076870251981461</v>
      </c>
      <c r="S16" s="329">
        <f t="shared" si="2"/>
        <v>2.6357425797782517</v>
      </c>
      <c r="T16" s="329">
        <f t="shared" si="2"/>
        <v>4.9289279581529488</v>
      </c>
      <c r="U16" s="329">
        <f t="shared" si="2"/>
        <v>0</v>
      </c>
      <c r="V16" s="329">
        <f t="shared" si="2"/>
        <v>2.6357425797782517</v>
      </c>
      <c r="W16" s="329">
        <f t="shared" si="2"/>
        <v>4.9289279581529488</v>
      </c>
      <c r="X16" s="329">
        <f t="shared" si="2"/>
        <v>87.076870251981461</v>
      </c>
      <c r="Y16" s="329">
        <f t="shared" si="2"/>
        <v>369.66231455327676</v>
      </c>
      <c r="Z16" s="329">
        <f t="shared" si="2"/>
        <v>0.74702806793375442</v>
      </c>
      <c r="AA16" s="329">
        <f t="shared" si="2"/>
        <v>0</v>
      </c>
      <c r="AB16" s="329">
        <f t="shared" si="2"/>
        <v>0</v>
      </c>
      <c r="AC16" s="329">
        <f t="shared" si="2"/>
        <v>105.92574003437052</v>
      </c>
      <c r="AD16" s="329">
        <f t="shared" si="2"/>
        <v>183.8442475693883</v>
      </c>
    </row>
    <row r="17" spans="3:30" ht="14.25" customHeight="1" x14ac:dyDescent="0.2">
      <c r="C17" s="8" t="str">
        <v>Andorra</v>
      </c>
      <c r="D17" s="8" t="str">
        <v>Europe &amp; Central Asia</v>
      </c>
      <c r="E17" s="13" t="s">
        <v>579</v>
      </c>
      <c r="F17" s="124" t="str">
        <f t="shared" si="3"/>
        <v>Europe &amp; Central Asia_High income</v>
      </c>
      <c r="G17" s="329">
        <f t="shared" si="1"/>
        <v>32.401299306692998</v>
      </c>
      <c r="H17" s="329">
        <f t="shared" si="1"/>
        <v>185.85127347327975</v>
      </c>
      <c r="I17" s="329">
        <f t="shared" si="1"/>
        <v>371.75902354309056</v>
      </c>
      <c r="J17" s="329">
        <f t="shared" si="1"/>
        <v>0.53910505368023443</v>
      </c>
      <c r="K17" s="329">
        <f t="shared" si="1"/>
        <v>185.85127347327975</v>
      </c>
      <c r="L17" s="329">
        <f t="shared" si="1"/>
        <v>371.75902354309056</v>
      </c>
      <c r="M17" s="329">
        <f t="shared" si="1"/>
        <v>385.53377512854041</v>
      </c>
      <c r="N17" s="329">
        <f t="shared" si="1"/>
        <v>25.640462448793837</v>
      </c>
      <c r="O17" s="329">
        <f t="shared" si="1"/>
        <v>3.6681185273460932</v>
      </c>
      <c r="P17" s="329">
        <f t="shared" si="1"/>
        <v>4.9289279581529506</v>
      </c>
      <c r="Q17" s="329">
        <f t="shared" si="2"/>
        <v>97.069054585259593</v>
      </c>
      <c r="R17" s="329">
        <f t="shared" si="2"/>
        <v>25.640462448793837</v>
      </c>
      <c r="S17" s="329">
        <f t="shared" si="2"/>
        <v>3.6681185273460932</v>
      </c>
      <c r="T17" s="329">
        <f t="shared" si="2"/>
        <v>4.9289279581529506</v>
      </c>
      <c r="U17" s="329">
        <f t="shared" si="2"/>
        <v>32.401299306692998</v>
      </c>
      <c r="V17" s="329">
        <f t="shared" si="2"/>
        <v>0</v>
      </c>
      <c r="W17" s="329">
        <f t="shared" si="2"/>
        <v>0</v>
      </c>
      <c r="X17" s="329">
        <f t="shared" si="2"/>
        <v>371.75902354309056</v>
      </c>
      <c r="Y17" s="329">
        <f t="shared" si="2"/>
        <v>185.85127347327975</v>
      </c>
      <c r="Z17" s="329">
        <f t="shared" si="2"/>
        <v>0.53910505368023443</v>
      </c>
      <c r="AA17" s="329">
        <f t="shared" si="2"/>
        <v>0</v>
      </c>
      <c r="AB17" s="329">
        <f t="shared" si="2"/>
        <v>0</v>
      </c>
      <c r="AC17" s="329">
        <f t="shared" si="2"/>
        <v>371.75902354309056</v>
      </c>
      <c r="AD17" s="329">
        <f t="shared" si="2"/>
        <v>185.85127347327975</v>
      </c>
    </row>
    <row r="18" spans="3:30" ht="14.25" customHeight="1" x14ac:dyDescent="0.2">
      <c r="C18" s="8" t="str">
        <v>Angola</v>
      </c>
      <c r="D18" s="8" t="str">
        <v>Sub-Saharan Africa</v>
      </c>
      <c r="E18" s="13" t="s">
        <v>580</v>
      </c>
      <c r="F18" s="124" t="str">
        <f t="shared" si="3"/>
        <v>Sub-Saharan Africa_Lower middle income</v>
      </c>
      <c r="G18" s="329">
        <f t="shared" si="1"/>
        <v>23.309971460536438</v>
      </c>
      <c r="H18" s="329">
        <f t="shared" si="1"/>
        <v>136.54200831083281</v>
      </c>
      <c r="I18" s="329">
        <f t="shared" si="1"/>
        <v>48.066711217553774</v>
      </c>
      <c r="J18" s="329">
        <f t="shared" si="1"/>
        <v>0.38963996426925313</v>
      </c>
      <c r="K18" s="329">
        <f t="shared" si="1"/>
        <v>136.54200831083281</v>
      </c>
      <c r="L18" s="329">
        <f t="shared" si="1"/>
        <v>48.066711217553774</v>
      </c>
      <c r="M18" s="329">
        <f t="shared" si="1"/>
        <v>386.36066988979189</v>
      </c>
      <c r="N18" s="329">
        <f t="shared" si="1"/>
        <v>3.0069383810950008</v>
      </c>
      <c r="O18" s="329">
        <f t="shared" si="1"/>
        <v>6.2955859660608509</v>
      </c>
      <c r="P18" s="329">
        <f t="shared" si="1"/>
        <v>4.9289279581529488</v>
      </c>
      <c r="Q18" s="329">
        <f t="shared" si="2"/>
        <v>124.01862912013361</v>
      </c>
      <c r="R18" s="329">
        <f t="shared" si="2"/>
        <v>3.0069383810950008</v>
      </c>
      <c r="S18" s="329">
        <f t="shared" si="2"/>
        <v>6.2955859660608509</v>
      </c>
      <c r="T18" s="329">
        <f t="shared" si="2"/>
        <v>4.9289279581529488</v>
      </c>
      <c r="U18" s="329">
        <f t="shared" si="2"/>
        <v>0</v>
      </c>
      <c r="V18" s="329">
        <f t="shared" si="2"/>
        <v>6.2955859660608509</v>
      </c>
      <c r="W18" s="329">
        <f t="shared" si="2"/>
        <v>4.9289279581529488</v>
      </c>
      <c r="X18" s="329">
        <f t="shared" si="2"/>
        <v>3.0069383810950008</v>
      </c>
      <c r="Y18" s="329">
        <f t="shared" si="2"/>
        <v>386.36066988979189</v>
      </c>
      <c r="Z18" s="329">
        <f t="shared" si="2"/>
        <v>0.38963996426925313</v>
      </c>
      <c r="AA18" s="329">
        <f t="shared" si="2"/>
        <v>0</v>
      </c>
      <c r="AB18" s="329">
        <f t="shared" si="2"/>
        <v>0</v>
      </c>
      <c r="AC18" s="329">
        <f t="shared" si="2"/>
        <v>48.066711217553774</v>
      </c>
      <c r="AD18" s="329">
        <f t="shared" si="2"/>
        <v>136.54200831083281</v>
      </c>
    </row>
    <row r="19" spans="3:30" ht="14.25" customHeight="1" x14ac:dyDescent="0.2">
      <c r="C19" s="8" t="str">
        <v>Antigua and Barbuda</v>
      </c>
      <c r="D19" s="8" t="str">
        <v>Latin America &amp; Caribbean</v>
      </c>
      <c r="E19" s="13" t="s">
        <v>579</v>
      </c>
      <c r="F19" s="124" t="str">
        <f t="shared" si="3"/>
        <v>Latin America &amp; Caribbean_High income</v>
      </c>
      <c r="G19" s="329">
        <f t="shared" si="1"/>
        <v>20.148173869272608</v>
      </c>
      <c r="H19" s="329">
        <f t="shared" si="1"/>
        <v>152.33868437748353</v>
      </c>
      <c r="I19" s="329">
        <f t="shared" si="1"/>
        <v>3.0416344571758089</v>
      </c>
      <c r="J19" s="329">
        <f t="shared" si="1"/>
        <v>0.33569845745632426</v>
      </c>
      <c r="K19" s="329">
        <f t="shared" si="1"/>
        <v>152.33868437748353</v>
      </c>
      <c r="L19" s="329">
        <f t="shared" si="1"/>
        <v>3.0416344571758089</v>
      </c>
      <c r="M19" s="329">
        <f t="shared" si="1"/>
        <v>385.49779249232023</v>
      </c>
      <c r="N19" s="329">
        <f t="shared" si="1"/>
        <v>1.7137512604923126</v>
      </c>
      <c r="O19" s="329">
        <f t="shared" si="1"/>
        <v>4.1115263115021587</v>
      </c>
      <c r="P19" s="329">
        <f t="shared" si="1"/>
        <v>4.9289279581529488</v>
      </c>
      <c r="Q19" s="329">
        <f t="shared" si="2"/>
        <v>129.34280249232026</v>
      </c>
      <c r="R19" s="329">
        <f t="shared" si="2"/>
        <v>1.7137512604923126</v>
      </c>
      <c r="S19" s="329">
        <f t="shared" si="2"/>
        <v>4.1115263115021587</v>
      </c>
      <c r="T19" s="329">
        <f t="shared" si="2"/>
        <v>4.9289279581529488</v>
      </c>
      <c r="U19" s="329">
        <f t="shared" si="2"/>
        <v>0</v>
      </c>
      <c r="V19" s="329">
        <f t="shared" si="2"/>
        <v>4.1115263115021587</v>
      </c>
      <c r="W19" s="329">
        <f t="shared" si="2"/>
        <v>4.9289279581529488</v>
      </c>
      <c r="X19" s="329">
        <f t="shared" si="2"/>
        <v>1.7137512604923126</v>
      </c>
      <c r="Y19" s="329">
        <f t="shared" si="2"/>
        <v>385.49779249232023</v>
      </c>
      <c r="Z19" s="329">
        <f t="shared" si="2"/>
        <v>0.33569845745632426</v>
      </c>
      <c r="AA19" s="329">
        <f t="shared" si="2"/>
        <v>0</v>
      </c>
      <c r="AB19" s="329">
        <f t="shared" si="2"/>
        <v>0</v>
      </c>
      <c r="AC19" s="329">
        <f t="shared" si="2"/>
        <v>3.0416344571758089</v>
      </c>
      <c r="AD19" s="329">
        <f t="shared" si="2"/>
        <v>152.33868437748353</v>
      </c>
    </row>
    <row r="20" spans="3:30" ht="14.25" customHeight="1" x14ac:dyDescent="0.2">
      <c r="C20" s="8" t="str">
        <v>Argentina</v>
      </c>
      <c r="D20" s="8" t="str">
        <v>Latin America &amp; Caribbean</v>
      </c>
      <c r="E20" s="13" t="s">
        <v>578</v>
      </c>
      <c r="F20" s="124" t="str">
        <f t="shared" si="3"/>
        <v>Latin America &amp; Caribbean_Upper middle income</v>
      </c>
      <c r="G20" s="329">
        <f t="shared" si="1"/>
        <v>33.583256273894122</v>
      </c>
      <c r="H20" s="329">
        <f t="shared" si="1"/>
        <v>66.448538689351537</v>
      </c>
      <c r="I20" s="329">
        <f t="shared" si="1"/>
        <v>1.6451940421331377</v>
      </c>
      <c r="J20" s="329">
        <f t="shared" si="1"/>
        <v>0.53733210038230594</v>
      </c>
      <c r="K20" s="329">
        <f t="shared" si="1"/>
        <v>66.448538689351537</v>
      </c>
      <c r="L20" s="329">
        <f t="shared" si="1"/>
        <v>1.6451940421331377</v>
      </c>
      <c r="M20" s="329">
        <f t="shared" si="1"/>
        <v>383.38832947326688</v>
      </c>
      <c r="N20" s="329">
        <f t="shared" si="1"/>
        <v>1.1713781579987939</v>
      </c>
      <c r="O20" s="329">
        <f t="shared" si="1"/>
        <v>3.8783158517968239</v>
      </c>
      <c r="P20" s="329">
        <f t="shared" si="1"/>
        <v>4.9289279581529488</v>
      </c>
      <c r="Q20" s="329">
        <f t="shared" si="2"/>
        <v>127.23333947326689</v>
      </c>
      <c r="R20" s="329">
        <f t="shared" si="2"/>
        <v>1.1713781579987939</v>
      </c>
      <c r="S20" s="329">
        <f t="shared" si="2"/>
        <v>3.8783158517968239</v>
      </c>
      <c r="T20" s="329">
        <f t="shared" si="2"/>
        <v>4.9289279581529488</v>
      </c>
      <c r="U20" s="329">
        <f t="shared" si="2"/>
        <v>0</v>
      </c>
      <c r="V20" s="329">
        <f t="shared" si="2"/>
        <v>3.8783158517968239</v>
      </c>
      <c r="W20" s="329">
        <f t="shared" si="2"/>
        <v>4.9289279581529488</v>
      </c>
      <c r="X20" s="329">
        <f t="shared" si="2"/>
        <v>1.1713781579987939</v>
      </c>
      <c r="Y20" s="329">
        <f t="shared" si="2"/>
        <v>383.38832947326688</v>
      </c>
      <c r="Z20" s="329">
        <f t="shared" si="2"/>
        <v>0</v>
      </c>
      <c r="AA20" s="329">
        <f t="shared" si="2"/>
        <v>3.8783158517968239</v>
      </c>
      <c r="AB20" s="329">
        <f t="shared" si="2"/>
        <v>4.9289279581529488</v>
      </c>
      <c r="AC20" s="329">
        <f t="shared" si="2"/>
        <v>1.1713781579987939</v>
      </c>
      <c r="AD20" s="329">
        <f t="shared" si="2"/>
        <v>127.23333947326689</v>
      </c>
    </row>
    <row r="21" spans="3:30" ht="14.25" customHeight="1" x14ac:dyDescent="0.2">
      <c r="C21" s="8" t="str">
        <v>Armenia</v>
      </c>
      <c r="D21" s="8" t="str">
        <v>Europe &amp; Central Asia</v>
      </c>
      <c r="E21" s="13" t="s">
        <v>578</v>
      </c>
      <c r="F21" s="124" t="str">
        <f t="shared" si="3"/>
        <v>Europe &amp; Central Asia_Upper middle income</v>
      </c>
      <c r="G21" s="329">
        <f t="shared" si="1"/>
        <v>19.63003739407586</v>
      </c>
      <c r="H21" s="329">
        <f t="shared" si="1"/>
        <v>187.00281170809052</v>
      </c>
      <c r="I21" s="329">
        <f t="shared" si="1"/>
        <v>152.66999372239431</v>
      </c>
      <c r="J21" s="329">
        <f t="shared" si="1"/>
        <v>0.33005732005694194</v>
      </c>
      <c r="K21" s="329">
        <f t="shared" si="1"/>
        <v>187.00281170809052</v>
      </c>
      <c r="L21" s="329">
        <f t="shared" si="1"/>
        <v>152.66999372239431</v>
      </c>
      <c r="M21" s="329">
        <f t="shared" si="1"/>
        <v>380.27773922168274</v>
      </c>
      <c r="N21" s="329">
        <f t="shared" si="1"/>
        <v>4.5928298109575465</v>
      </c>
      <c r="O21" s="329">
        <f t="shared" si="1"/>
        <v>3.6994518758026187</v>
      </c>
      <c r="P21" s="329">
        <f t="shared" si="1"/>
        <v>4.9289279581529488</v>
      </c>
      <c r="Q21" s="329">
        <f t="shared" si="2"/>
        <v>94.874795267611404</v>
      </c>
      <c r="R21" s="329">
        <f t="shared" si="2"/>
        <v>4.5928298109575465</v>
      </c>
      <c r="S21" s="329">
        <f t="shared" si="2"/>
        <v>3.6994518758026187</v>
      </c>
      <c r="T21" s="329">
        <f t="shared" si="2"/>
        <v>4.9289279581529488</v>
      </c>
      <c r="U21" s="329">
        <f t="shared" si="2"/>
        <v>0</v>
      </c>
      <c r="V21" s="329">
        <f t="shared" si="2"/>
        <v>3.6994518758026187</v>
      </c>
      <c r="W21" s="329">
        <f t="shared" si="2"/>
        <v>4.9289279581529488</v>
      </c>
      <c r="X21" s="329">
        <f t="shared" si="2"/>
        <v>4.5928298109575465</v>
      </c>
      <c r="Y21" s="329">
        <f t="shared" si="2"/>
        <v>380.27773922168274</v>
      </c>
      <c r="Z21" s="329">
        <f t="shared" si="2"/>
        <v>0.33005732005694194</v>
      </c>
      <c r="AA21" s="329">
        <f t="shared" si="2"/>
        <v>0</v>
      </c>
      <c r="AB21" s="329">
        <f t="shared" si="2"/>
        <v>0</v>
      </c>
      <c r="AC21" s="329">
        <f t="shared" si="2"/>
        <v>152.66999372239431</v>
      </c>
      <c r="AD21" s="329">
        <f t="shared" si="2"/>
        <v>187.00281170809052</v>
      </c>
    </row>
    <row r="22" spans="3:30" ht="14.25" customHeight="1" x14ac:dyDescent="0.2">
      <c r="C22" s="8" t="str">
        <v>Aruba</v>
      </c>
      <c r="D22" s="8" t="str">
        <v>Latin America &amp; Caribbean</v>
      </c>
      <c r="E22" s="13" t="s">
        <v>579</v>
      </c>
      <c r="F22" s="124" t="str">
        <f t="shared" si="3"/>
        <v>Latin America &amp; Caribbean_High income</v>
      </c>
      <c r="G22" s="329">
        <f t="shared" si="1"/>
        <v>20.148173869272608</v>
      </c>
      <c r="H22" s="329">
        <f t="shared" si="1"/>
        <v>152.33868437748353</v>
      </c>
      <c r="I22" s="329">
        <f t="shared" si="1"/>
        <v>3.0416344571758089</v>
      </c>
      <c r="J22" s="329">
        <f t="shared" si="1"/>
        <v>0.33569845745632426</v>
      </c>
      <c r="K22" s="329">
        <f t="shared" si="1"/>
        <v>152.33868437748353</v>
      </c>
      <c r="L22" s="329">
        <f t="shared" si="1"/>
        <v>3.0416344571758089</v>
      </c>
      <c r="M22" s="329">
        <f t="shared" si="1"/>
        <v>385.49779249232023</v>
      </c>
      <c r="N22" s="329">
        <f t="shared" si="1"/>
        <v>1.7137512604923126</v>
      </c>
      <c r="O22" s="329">
        <f t="shared" si="1"/>
        <v>4.1115263115021587</v>
      </c>
      <c r="P22" s="329">
        <f t="shared" si="1"/>
        <v>4.9289279581529488</v>
      </c>
      <c r="Q22" s="329">
        <f t="shared" si="2"/>
        <v>129.34280249232026</v>
      </c>
      <c r="R22" s="329">
        <f t="shared" si="2"/>
        <v>1.7137512604923126</v>
      </c>
      <c r="S22" s="329">
        <f t="shared" si="2"/>
        <v>4.1115263115021587</v>
      </c>
      <c r="T22" s="329">
        <f t="shared" si="2"/>
        <v>4.9289279581529488</v>
      </c>
      <c r="U22" s="329">
        <f t="shared" si="2"/>
        <v>0</v>
      </c>
      <c r="V22" s="329">
        <f t="shared" si="2"/>
        <v>4.1115263115021587</v>
      </c>
      <c r="W22" s="329">
        <f t="shared" si="2"/>
        <v>4.9289279581529488</v>
      </c>
      <c r="X22" s="329">
        <f t="shared" si="2"/>
        <v>1.7137512604923126</v>
      </c>
      <c r="Y22" s="329">
        <f t="shared" si="2"/>
        <v>385.49779249232023</v>
      </c>
      <c r="Z22" s="329">
        <f t="shared" si="2"/>
        <v>0.33569845745632426</v>
      </c>
      <c r="AA22" s="329">
        <f t="shared" si="2"/>
        <v>0</v>
      </c>
      <c r="AB22" s="329">
        <f t="shared" si="2"/>
        <v>0</v>
      </c>
      <c r="AC22" s="329">
        <f t="shared" si="2"/>
        <v>3.0416344571758089</v>
      </c>
      <c r="AD22" s="329">
        <f t="shared" si="2"/>
        <v>152.33868437748353</v>
      </c>
    </row>
    <row r="23" spans="3:30" ht="14.25" customHeight="1" x14ac:dyDescent="0.2">
      <c r="C23" s="8" t="str">
        <v>Australia</v>
      </c>
      <c r="D23" s="8" t="str">
        <v>East Asia &amp; Pacific</v>
      </c>
      <c r="E23" s="13" t="s">
        <v>579</v>
      </c>
      <c r="F23" s="124" t="str">
        <f t="shared" si="3"/>
        <v>East Asia &amp; Pacific_High income</v>
      </c>
      <c r="G23" s="329">
        <f t="shared" ref="G23:P32" si="4">IFERROR(IF(INDEX(Interim_Coefficients,MATCH($C23,Interim_Countries,0),MATCH(G$12,Interim_type,0))="No value",INDEX(Interim_CombinedCoefficients,MATCH($F23,Interim_CombinedTag,0),MATCH(G$12,Interim_CombinedType,0)),INDEX(Interim_Coefficients,MATCH($C23,Interim_Countries,0),MATCH(G$12,Interim_type,0))),INDEX(Interim_CombinedCoefficients,MATCH($F23,Interim_CombinedTag,0),MATCH(G$12,Interim_CombinedType,0)))</f>
        <v>26.446827454680772</v>
      </c>
      <c r="H23" s="329">
        <f t="shared" si="4"/>
        <v>183.05003240919942</v>
      </c>
      <c r="I23" s="329">
        <f t="shared" si="4"/>
        <v>14.477210794594136</v>
      </c>
      <c r="J23" s="329">
        <f t="shared" si="4"/>
        <v>0.44388892342835146</v>
      </c>
      <c r="K23" s="329">
        <f t="shared" si="4"/>
        <v>183.05003240919942</v>
      </c>
      <c r="L23" s="329">
        <f t="shared" si="4"/>
        <v>14.477210794594136</v>
      </c>
      <c r="M23" s="329">
        <f t="shared" si="4"/>
        <v>387.39262222340989</v>
      </c>
      <c r="N23" s="329">
        <f t="shared" si="4"/>
        <v>1.0026787849439158</v>
      </c>
      <c r="O23" s="329">
        <f t="shared" si="4"/>
        <v>3.3488247090914816</v>
      </c>
      <c r="P23" s="329">
        <f t="shared" si="4"/>
        <v>4.9289279581529488</v>
      </c>
      <c r="Q23" s="329">
        <f t="shared" ref="Q23:AD32" si="5">IFERROR(IF(INDEX(Interim_Coefficients,MATCH($C23,Interim_Countries,0),MATCH(Q$12,Interim_type,0))="No value",INDEX(Interim_CombinedCoefficients,MATCH($F23,Interim_CombinedTag,0),MATCH(Q$12,Interim_CombinedType,0)),INDEX(Interim_Coefficients,MATCH($C23,Interim_Countries,0),MATCH(Q$12,Interim_type,0))),INDEX(Interim_CombinedCoefficients,MATCH($F23,Interim_CombinedTag,0),MATCH(Q$12,Interim_CombinedType,0)))</f>
        <v>131.23763222340995</v>
      </c>
      <c r="R23" s="329">
        <f t="shared" si="5"/>
        <v>1.0026787849439158</v>
      </c>
      <c r="S23" s="329">
        <f t="shared" si="5"/>
        <v>3.3488247090914816</v>
      </c>
      <c r="T23" s="329">
        <f t="shared" si="5"/>
        <v>4.9289279581529488</v>
      </c>
      <c r="U23" s="329">
        <f t="shared" si="5"/>
        <v>0</v>
      </c>
      <c r="V23" s="329">
        <f t="shared" si="5"/>
        <v>3.3488247090914816</v>
      </c>
      <c r="W23" s="329">
        <f t="shared" si="5"/>
        <v>4.9289279581529488</v>
      </c>
      <c r="X23" s="329">
        <f t="shared" si="5"/>
        <v>1.0026787849439158</v>
      </c>
      <c r="Y23" s="329">
        <f t="shared" si="5"/>
        <v>387.39262222340989</v>
      </c>
      <c r="Z23" s="329">
        <f t="shared" si="5"/>
        <v>0.44388892342835146</v>
      </c>
      <c r="AA23" s="329">
        <f t="shared" si="5"/>
        <v>0</v>
      </c>
      <c r="AB23" s="329">
        <f t="shared" si="5"/>
        <v>0</v>
      </c>
      <c r="AC23" s="329">
        <f t="shared" si="5"/>
        <v>14.477210794594136</v>
      </c>
      <c r="AD23" s="329">
        <f t="shared" si="5"/>
        <v>183.05003240919942</v>
      </c>
    </row>
    <row r="24" spans="3:30" ht="14.25" customHeight="1" x14ac:dyDescent="0.2">
      <c r="C24" s="8" t="str">
        <v>Austria</v>
      </c>
      <c r="D24" s="8" t="str">
        <v>Europe &amp; Central Asia</v>
      </c>
      <c r="E24" s="13" t="s">
        <v>579</v>
      </c>
      <c r="F24" s="124" t="str">
        <f t="shared" si="3"/>
        <v>Europe &amp; Central Asia_High income</v>
      </c>
      <c r="G24" s="329">
        <f t="shared" si="4"/>
        <v>8.9705922879405762</v>
      </c>
      <c r="H24" s="329">
        <f t="shared" si="4"/>
        <v>187.00281170809052</v>
      </c>
      <c r="I24" s="329">
        <f t="shared" si="4"/>
        <v>51.126245101362784</v>
      </c>
      <c r="J24" s="329">
        <f t="shared" si="4"/>
        <v>0.15233081243672678</v>
      </c>
      <c r="K24" s="329">
        <f t="shared" si="4"/>
        <v>187.00281170809052</v>
      </c>
      <c r="L24" s="329">
        <f t="shared" si="4"/>
        <v>51.126245101362784</v>
      </c>
      <c r="M24" s="329">
        <f t="shared" si="4"/>
        <v>387.0813335704803</v>
      </c>
      <c r="N24" s="329">
        <f t="shared" si="4"/>
        <v>30.396958389200737</v>
      </c>
      <c r="O24" s="329">
        <f t="shared" si="4"/>
        <v>3.8072758458831522</v>
      </c>
      <c r="P24" s="329">
        <f t="shared" si="4"/>
        <v>4.9289279581529488</v>
      </c>
      <c r="Q24" s="329">
        <f t="shared" si="5"/>
        <v>112.29668800551968</v>
      </c>
      <c r="R24" s="329">
        <f t="shared" si="5"/>
        <v>30.396958389200737</v>
      </c>
      <c r="S24" s="329">
        <f t="shared" si="5"/>
        <v>3.8072758458831522</v>
      </c>
      <c r="T24" s="329">
        <f t="shared" si="5"/>
        <v>4.9289279581529488</v>
      </c>
      <c r="U24" s="329">
        <f t="shared" si="5"/>
        <v>0</v>
      </c>
      <c r="V24" s="329">
        <f t="shared" si="5"/>
        <v>3.8072758458831522</v>
      </c>
      <c r="W24" s="329">
        <f t="shared" si="5"/>
        <v>4.9289279581529488</v>
      </c>
      <c r="X24" s="329">
        <f t="shared" si="5"/>
        <v>30.396958389200737</v>
      </c>
      <c r="Y24" s="329">
        <f t="shared" si="5"/>
        <v>387.0813335704803</v>
      </c>
      <c r="Z24" s="329">
        <f t="shared" si="5"/>
        <v>0.15233081243672678</v>
      </c>
      <c r="AA24" s="329">
        <f t="shared" si="5"/>
        <v>0</v>
      </c>
      <c r="AB24" s="329">
        <f t="shared" si="5"/>
        <v>0</v>
      </c>
      <c r="AC24" s="329">
        <f t="shared" si="5"/>
        <v>51.126245101362784</v>
      </c>
      <c r="AD24" s="329">
        <f t="shared" si="5"/>
        <v>187.00281170809052</v>
      </c>
    </row>
    <row r="25" spans="3:30" ht="14.25" customHeight="1" x14ac:dyDescent="0.2">
      <c r="C25" s="8" t="str">
        <v>Azerbaijan</v>
      </c>
      <c r="D25" s="8" t="str">
        <v>Europe &amp; Central Asia</v>
      </c>
      <c r="E25" s="13" t="s">
        <v>578</v>
      </c>
      <c r="F25" s="124" t="str">
        <f t="shared" si="3"/>
        <v>Europe &amp; Central Asia_Upper middle income</v>
      </c>
      <c r="G25" s="329">
        <f t="shared" si="4"/>
        <v>19.63003739407586</v>
      </c>
      <c r="H25" s="329">
        <f t="shared" si="4"/>
        <v>187.00281170809052</v>
      </c>
      <c r="I25" s="329">
        <f t="shared" si="4"/>
        <v>152.66999372239431</v>
      </c>
      <c r="J25" s="329">
        <f t="shared" si="4"/>
        <v>0.33005732005694194</v>
      </c>
      <c r="K25" s="329">
        <f t="shared" si="4"/>
        <v>187.00281170809052</v>
      </c>
      <c r="L25" s="329">
        <f t="shared" si="4"/>
        <v>152.66999372239431</v>
      </c>
      <c r="M25" s="329">
        <f t="shared" si="4"/>
        <v>380.27773922168274</v>
      </c>
      <c r="N25" s="329">
        <f t="shared" si="4"/>
        <v>4.5928298109575465</v>
      </c>
      <c r="O25" s="329">
        <f t="shared" si="4"/>
        <v>3.6994518758026187</v>
      </c>
      <c r="P25" s="329">
        <f t="shared" si="4"/>
        <v>4.9289279581529488</v>
      </c>
      <c r="Q25" s="329">
        <f t="shared" si="5"/>
        <v>94.874795267611404</v>
      </c>
      <c r="R25" s="329">
        <f t="shared" si="5"/>
        <v>4.5928298109575465</v>
      </c>
      <c r="S25" s="329">
        <f t="shared" si="5"/>
        <v>3.6994518758026187</v>
      </c>
      <c r="T25" s="329">
        <f t="shared" si="5"/>
        <v>4.9289279581529488</v>
      </c>
      <c r="U25" s="329">
        <f t="shared" si="5"/>
        <v>0</v>
      </c>
      <c r="V25" s="329">
        <f t="shared" si="5"/>
        <v>3.6994518758026187</v>
      </c>
      <c r="W25" s="329">
        <f t="shared" si="5"/>
        <v>4.9289279581529488</v>
      </c>
      <c r="X25" s="329">
        <f t="shared" si="5"/>
        <v>4.5928298109575465</v>
      </c>
      <c r="Y25" s="329">
        <f t="shared" si="5"/>
        <v>380.27773922168274</v>
      </c>
      <c r="Z25" s="329">
        <f t="shared" si="5"/>
        <v>0.33005732005694194</v>
      </c>
      <c r="AA25" s="329">
        <f t="shared" si="5"/>
        <v>0</v>
      </c>
      <c r="AB25" s="329">
        <f t="shared" si="5"/>
        <v>0</v>
      </c>
      <c r="AC25" s="329">
        <f t="shared" si="5"/>
        <v>152.66999372239431</v>
      </c>
      <c r="AD25" s="329">
        <f t="shared" si="5"/>
        <v>187.00281170809052</v>
      </c>
    </row>
    <row r="26" spans="3:30" ht="14.25" customHeight="1" x14ac:dyDescent="0.2">
      <c r="C26" s="8" t="str">
        <v>Bahamas, The</v>
      </c>
      <c r="D26" s="8" t="str">
        <v>Latin America &amp; Caribbean</v>
      </c>
      <c r="E26" s="13" t="s">
        <v>579</v>
      </c>
      <c r="F26" s="124" t="str">
        <f t="shared" si="3"/>
        <v>Latin America &amp; Caribbean_High income</v>
      </c>
      <c r="G26" s="329">
        <f t="shared" si="4"/>
        <v>20.148173869272608</v>
      </c>
      <c r="H26" s="329">
        <f t="shared" si="4"/>
        <v>152.33868437748353</v>
      </c>
      <c r="I26" s="329">
        <f t="shared" si="4"/>
        <v>3.0416344571758089</v>
      </c>
      <c r="J26" s="329">
        <f t="shared" si="4"/>
        <v>0.33569845745632426</v>
      </c>
      <c r="K26" s="329">
        <f t="shared" si="4"/>
        <v>152.33868437748353</v>
      </c>
      <c r="L26" s="329">
        <f t="shared" si="4"/>
        <v>3.0416344571758089</v>
      </c>
      <c r="M26" s="329">
        <f t="shared" si="4"/>
        <v>385.49779249232023</v>
      </c>
      <c r="N26" s="329">
        <f t="shared" si="4"/>
        <v>1.7137512604923126</v>
      </c>
      <c r="O26" s="329">
        <f t="shared" si="4"/>
        <v>4.1115263115021587</v>
      </c>
      <c r="P26" s="329">
        <f t="shared" si="4"/>
        <v>4.9289279581529488</v>
      </c>
      <c r="Q26" s="329">
        <f t="shared" si="5"/>
        <v>129.34280249232026</v>
      </c>
      <c r="R26" s="329">
        <f t="shared" si="5"/>
        <v>1.7137512604923126</v>
      </c>
      <c r="S26" s="329">
        <f t="shared" si="5"/>
        <v>4.1115263115021587</v>
      </c>
      <c r="T26" s="329">
        <f t="shared" si="5"/>
        <v>4.9289279581529488</v>
      </c>
      <c r="U26" s="329">
        <f t="shared" si="5"/>
        <v>0</v>
      </c>
      <c r="V26" s="329">
        <f t="shared" si="5"/>
        <v>4.1115263115021587</v>
      </c>
      <c r="W26" s="329">
        <f t="shared" si="5"/>
        <v>4.9289279581529488</v>
      </c>
      <c r="X26" s="329">
        <f t="shared" si="5"/>
        <v>1.7137512604923126</v>
      </c>
      <c r="Y26" s="329">
        <f t="shared" si="5"/>
        <v>385.49779249232023</v>
      </c>
      <c r="Z26" s="329">
        <f t="shared" si="5"/>
        <v>0.33569845745632426</v>
      </c>
      <c r="AA26" s="329">
        <f t="shared" si="5"/>
        <v>0</v>
      </c>
      <c r="AB26" s="329">
        <f t="shared" si="5"/>
        <v>0</v>
      </c>
      <c r="AC26" s="329">
        <f t="shared" si="5"/>
        <v>3.0416344571758089</v>
      </c>
      <c r="AD26" s="329">
        <f t="shared" si="5"/>
        <v>152.33868437748353</v>
      </c>
    </row>
    <row r="27" spans="3:30" ht="14.25" customHeight="1" x14ac:dyDescent="0.2">
      <c r="C27" s="8" t="str">
        <v>Bahrain</v>
      </c>
      <c r="D27" s="8" t="str">
        <v>Middle East &amp; North Africa</v>
      </c>
      <c r="E27" s="13" t="s">
        <v>579</v>
      </c>
      <c r="F27" s="124" t="str">
        <f t="shared" si="3"/>
        <v>Middle East &amp; North Africa_High income</v>
      </c>
      <c r="G27" s="329">
        <f t="shared" si="4"/>
        <v>69.656524426851533</v>
      </c>
      <c r="H27" s="329">
        <f t="shared" si="4"/>
        <v>183.05003240919942</v>
      </c>
      <c r="I27" s="329">
        <f t="shared" si="4"/>
        <v>153.90667489063208</v>
      </c>
      <c r="J27" s="329">
        <f t="shared" si="4"/>
        <v>1.1725076251857522</v>
      </c>
      <c r="K27" s="329">
        <f t="shared" si="4"/>
        <v>183.05003240919942</v>
      </c>
      <c r="L27" s="329">
        <f t="shared" si="4"/>
        <v>153.90667489063208</v>
      </c>
      <c r="M27" s="329">
        <f t="shared" si="4"/>
        <v>386.46125192258035</v>
      </c>
      <c r="N27" s="329">
        <f t="shared" si="4"/>
        <v>202.50878275083176</v>
      </c>
      <c r="O27" s="329">
        <f t="shared" si="4"/>
        <v>3.3729407228166459</v>
      </c>
      <c r="P27" s="329">
        <f t="shared" si="4"/>
        <v>4.9289279581529488</v>
      </c>
      <c r="Q27" s="329">
        <f t="shared" si="5"/>
        <v>130.30626192258038</v>
      </c>
      <c r="R27" s="329">
        <f t="shared" si="5"/>
        <v>202.50878275083176</v>
      </c>
      <c r="S27" s="329">
        <f t="shared" si="5"/>
        <v>3.3729407228166459</v>
      </c>
      <c r="T27" s="329">
        <f t="shared" si="5"/>
        <v>4.9289279581529488</v>
      </c>
      <c r="U27" s="329">
        <f t="shared" si="5"/>
        <v>0</v>
      </c>
      <c r="V27" s="329">
        <f t="shared" si="5"/>
        <v>3.3729407228166459</v>
      </c>
      <c r="W27" s="329">
        <f t="shared" si="5"/>
        <v>4.9289279581529488</v>
      </c>
      <c r="X27" s="329">
        <f t="shared" si="5"/>
        <v>202.50878275083176</v>
      </c>
      <c r="Y27" s="329">
        <f t="shared" si="5"/>
        <v>386.46125192258035</v>
      </c>
      <c r="Z27" s="329">
        <f t="shared" si="5"/>
        <v>0</v>
      </c>
      <c r="AA27" s="329">
        <f t="shared" si="5"/>
        <v>3.3729407228166459</v>
      </c>
      <c r="AB27" s="329">
        <f t="shared" si="5"/>
        <v>4.9289279581529488</v>
      </c>
      <c r="AC27" s="329">
        <f t="shared" si="5"/>
        <v>202.50878275083176</v>
      </c>
      <c r="AD27" s="329">
        <f t="shared" si="5"/>
        <v>130.30626192258038</v>
      </c>
    </row>
    <row r="28" spans="3:30" ht="14.25" customHeight="1" x14ac:dyDescent="0.2">
      <c r="C28" s="8" t="str">
        <v>Bangladesh</v>
      </c>
      <c r="D28" s="8" t="str">
        <v>South Asia</v>
      </c>
      <c r="E28" s="13" t="s">
        <v>580</v>
      </c>
      <c r="F28" s="124" t="str">
        <f t="shared" si="3"/>
        <v>South Asia_Lower middle income</v>
      </c>
      <c r="G28" s="329">
        <f t="shared" si="4"/>
        <v>20.365433186438139</v>
      </c>
      <c r="H28" s="329">
        <f t="shared" si="4"/>
        <v>178.32133445217278</v>
      </c>
      <c r="I28" s="329">
        <f t="shared" si="4"/>
        <v>3.1451480303325403</v>
      </c>
      <c r="J28" s="329">
        <f t="shared" si="4"/>
        <v>0.32584693098301021</v>
      </c>
      <c r="K28" s="329">
        <f t="shared" si="4"/>
        <v>178.32133445217278</v>
      </c>
      <c r="L28" s="329">
        <f t="shared" si="4"/>
        <v>3.1451480303325403</v>
      </c>
      <c r="M28" s="329">
        <f t="shared" si="4"/>
        <v>387.80522999999999</v>
      </c>
      <c r="N28" s="329">
        <f t="shared" si="4"/>
        <v>0</v>
      </c>
      <c r="O28" s="329">
        <f t="shared" si="4"/>
        <v>56.259152155866758</v>
      </c>
      <c r="P28" s="329">
        <f t="shared" si="4"/>
        <v>4.9289279581529488</v>
      </c>
      <c r="Q28" s="329">
        <f t="shared" si="5"/>
        <v>131.65024000000003</v>
      </c>
      <c r="R28" s="329">
        <f t="shared" si="5"/>
        <v>0</v>
      </c>
      <c r="S28" s="329">
        <f t="shared" si="5"/>
        <v>56.259152155866758</v>
      </c>
      <c r="T28" s="329">
        <f t="shared" si="5"/>
        <v>4.9289279581529488</v>
      </c>
      <c r="U28" s="329">
        <f t="shared" si="5"/>
        <v>0</v>
      </c>
      <c r="V28" s="329">
        <f t="shared" si="5"/>
        <v>56.259152155866758</v>
      </c>
      <c r="W28" s="329">
        <f t="shared" si="5"/>
        <v>4.9289279581529488</v>
      </c>
      <c r="X28" s="329">
        <f t="shared" si="5"/>
        <v>0</v>
      </c>
      <c r="Y28" s="329">
        <f t="shared" si="5"/>
        <v>387.80522999999999</v>
      </c>
      <c r="Z28" s="329">
        <f t="shared" si="5"/>
        <v>0</v>
      </c>
      <c r="AA28" s="329">
        <f t="shared" si="5"/>
        <v>56.259152155866758</v>
      </c>
      <c r="AB28" s="329">
        <f t="shared" si="5"/>
        <v>4.9289279581529488</v>
      </c>
      <c r="AC28" s="329">
        <f t="shared" si="5"/>
        <v>0</v>
      </c>
      <c r="AD28" s="329">
        <f t="shared" si="5"/>
        <v>131.65024000000003</v>
      </c>
    </row>
    <row r="29" spans="3:30" ht="14.25" customHeight="1" x14ac:dyDescent="0.2">
      <c r="C29" s="8" t="str">
        <v>Barbados</v>
      </c>
      <c r="D29" s="8" t="str">
        <v>Latin America &amp; Caribbean</v>
      </c>
      <c r="E29" s="13" t="s">
        <v>579</v>
      </c>
      <c r="F29" s="124" t="str">
        <f t="shared" si="3"/>
        <v>Latin America &amp; Caribbean_High income</v>
      </c>
      <c r="G29" s="329">
        <f t="shared" si="4"/>
        <v>20.148173869272608</v>
      </c>
      <c r="H29" s="329">
        <f t="shared" si="4"/>
        <v>152.33868437748353</v>
      </c>
      <c r="I29" s="329">
        <f t="shared" si="4"/>
        <v>3.0416344571758089</v>
      </c>
      <c r="J29" s="329">
        <f t="shared" si="4"/>
        <v>0.33569845745632426</v>
      </c>
      <c r="K29" s="329">
        <f t="shared" si="4"/>
        <v>152.33868437748353</v>
      </c>
      <c r="L29" s="329">
        <f t="shared" si="4"/>
        <v>3.0416344571758089</v>
      </c>
      <c r="M29" s="329">
        <f t="shared" si="4"/>
        <v>385.49779249232023</v>
      </c>
      <c r="N29" s="329">
        <f t="shared" si="4"/>
        <v>1.7137512604923126</v>
      </c>
      <c r="O29" s="329">
        <f t="shared" si="4"/>
        <v>4.1115263115021587</v>
      </c>
      <c r="P29" s="329">
        <f t="shared" si="4"/>
        <v>4.9289279581529488</v>
      </c>
      <c r="Q29" s="329">
        <f t="shared" si="5"/>
        <v>129.34280249232026</v>
      </c>
      <c r="R29" s="329">
        <f t="shared" si="5"/>
        <v>1.7137512604923126</v>
      </c>
      <c r="S29" s="329">
        <f t="shared" si="5"/>
        <v>4.1115263115021587</v>
      </c>
      <c r="T29" s="329">
        <f t="shared" si="5"/>
        <v>4.9289279581529488</v>
      </c>
      <c r="U29" s="329">
        <f t="shared" si="5"/>
        <v>0</v>
      </c>
      <c r="V29" s="329">
        <f t="shared" si="5"/>
        <v>4.1115263115021587</v>
      </c>
      <c r="W29" s="329">
        <f t="shared" si="5"/>
        <v>4.9289279581529488</v>
      </c>
      <c r="X29" s="329">
        <f t="shared" si="5"/>
        <v>1.7137512604923126</v>
      </c>
      <c r="Y29" s="329">
        <f t="shared" si="5"/>
        <v>385.49779249232023</v>
      </c>
      <c r="Z29" s="329">
        <f t="shared" si="5"/>
        <v>0.33569845745632426</v>
      </c>
      <c r="AA29" s="329">
        <f t="shared" si="5"/>
        <v>0</v>
      </c>
      <c r="AB29" s="329">
        <f t="shared" si="5"/>
        <v>0</v>
      </c>
      <c r="AC29" s="329">
        <f t="shared" si="5"/>
        <v>3.0416344571758089</v>
      </c>
      <c r="AD29" s="329">
        <f t="shared" si="5"/>
        <v>152.33868437748353</v>
      </c>
    </row>
    <row r="30" spans="3:30" ht="14.25" customHeight="1" x14ac:dyDescent="0.2">
      <c r="C30" s="8" t="str">
        <v>Belarus</v>
      </c>
      <c r="D30" s="8" t="str">
        <v>Europe &amp; Central Asia</v>
      </c>
      <c r="E30" s="13" t="s">
        <v>578</v>
      </c>
      <c r="F30" s="124" t="str">
        <f t="shared" si="3"/>
        <v>Europe &amp; Central Asia_Upper middle income</v>
      </c>
      <c r="G30" s="329">
        <f t="shared" si="4"/>
        <v>19.63003739407586</v>
      </c>
      <c r="H30" s="329">
        <f t="shared" si="4"/>
        <v>187.00281170809052</v>
      </c>
      <c r="I30" s="329">
        <f t="shared" si="4"/>
        <v>152.66999372239431</v>
      </c>
      <c r="J30" s="329">
        <f t="shared" si="4"/>
        <v>0.33005732005694194</v>
      </c>
      <c r="K30" s="329">
        <f t="shared" si="4"/>
        <v>187.00281170809052</v>
      </c>
      <c r="L30" s="329">
        <f t="shared" si="4"/>
        <v>152.66999372239431</v>
      </c>
      <c r="M30" s="329">
        <f t="shared" si="4"/>
        <v>380.27773922168274</v>
      </c>
      <c r="N30" s="329">
        <f t="shared" si="4"/>
        <v>4.5928298109575465</v>
      </c>
      <c r="O30" s="329">
        <f t="shared" si="4"/>
        <v>3.6994518758026187</v>
      </c>
      <c r="P30" s="329">
        <f t="shared" si="4"/>
        <v>4.9289279581529488</v>
      </c>
      <c r="Q30" s="329">
        <f t="shared" si="5"/>
        <v>94.874795267611404</v>
      </c>
      <c r="R30" s="329">
        <f t="shared" si="5"/>
        <v>4.5928298109575465</v>
      </c>
      <c r="S30" s="329">
        <f t="shared" si="5"/>
        <v>3.6994518758026187</v>
      </c>
      <c r="T30" s="329">
        <f t="shared" si="5"/>
        <v>4.9289279581529488</v>
      </c>
      <c r="U30" s="329">
        <f t="shared" si="5"/>
        <v>0</v>
      </c>
      <c r="V30" s="329">
        <f t="shared" si="5"/>
        <v>3.6994518758026187</v>
      </c>
      <c r="W30" s="329">
        <f t="shared" si="5"/>
        <v>4.9289279581529488</v>
      </c>
      <c r="X30" s="329">
        <f t="shared" si="5"/>
        <v>4.5928298109575465</v>
      </c>
      <c r="Y30" s="329">
        <f t="shared" si="5"/>
        <v>380.27773922168274</v>
      </c>
      <c r="Z30" s="329">
        <f t="shared" si="5"/>
        <v>0.33005732005694194</v>
      </c>
      <c r="AA30" s="329">
        <f t="shared" si="5"/>
        <v>0</v>
      </c>
      <c r="AB30" s="329">
        <f t="shared" si="5"/>
        <v>0</v>
      </c>
      <c r="AC30" s="329">
        <f t="shared" si="5"/>
        <v>152.66999372239431</v>
      </c>
      <c r="AD30" s="329">
        <f t="shared" si="5"/>
        <v>187.00281170809052</v>
      </c>
    </row>
    <row r="31" spans="3:30" ht="14.25" customHeight="1" x14ac:dyDescent="0.2">
      <c r="C31" s="8" t="str">
        <v>Belgium</v>
      </c>
      <c r="D31" s="8" t="str">
        <v>Europe &amp; Central Asia</v>
      </c>
      <c r="E31" s="13" t="s">
        <v>579</v>
      </c>
      <c r="F31" s="124" t="str">
        <f t="shared" si="3"/>
        <v>Europe &amp; Central Asia_High income</v>
      </c>
      <c r="G31" s="329">
        <f t="shared" si="4"/>
        <v>10.391652798722772</v>
      </c>
      <c r="H31" s="329">
        <f t="shared" si="4"/>
        <v>187.00281170809052</v>
      </c>
      <c r="I31" s="329">
        <f t="shared" si="4"/>
        <v>59.8740103549667</v>
      </c>
      <c r="J31" s="329">
        <f t="shared" si="4"/>
        <v>0.16494686982099641</v>
      </c>
      <c r="K31" s="329">
        <f t="shared" si="4"/>
        <v>187.00281170809052</v>
      </c>
      <c r="L31" s="329">
        <f t="shared" si="4"/>
        <v>59.8740103549667</v>
      </c>
      <c r="M31" s="329">
        <f t="shared" si="4"/>
        <v>385.33554388197115</v>
      </c>
      <c r="N31" s="329">
        <f t="shared" si="4"/>
        <v>61.240114762696933</v>
      </c>
      <c r="O31" s="329">
        <f t="shared" si="4"/>
        <v>3.8578817672796228</v>
      </c>
      <c r="P31" s="329">
        <f t="shared" si="4"/>
        <v>4.9289279581529488</v>
      </c>
      <c r="Q31" s="329">
        <f t="shared" si="5"/>
        <v>114.32540582202884</v>
      </c>
      <c r="R31" s="329">
        <f t="shared" si="5"/>
        <v>61.240114762696933</v>
      </c>
      <c r="S31" s="329">
        <f t="shared" si="5"/>
        <v>3.8578817672796228</v>
      </c>
      <c r="T31" s="329">
        <f t="shared" si="5"/>
        <v>4.9289279581529488</v>
      </c>
      <c r="U31" s="329">
        <f t="shared" si="5"/>
        <v>0</v>
      </c>
      <c r="V31" s="329">
        <f t="shared" si="5"/>
        <v>3.8578817672796228</v>
      </c>
      <c r="W31" s="329">
        <f t="shared" si="5"/>
        <v>4.9289279581529488</v>
      </c>
      <c r="X31" s="329">
        <f t="shared" si="5"/>
        <v>61.240114762696933</v>
      </c>
      <c r="Y31" s="329">
        <f t="shared" si="5"/>
        <v>385.33554388197115</v>
      </c>
      <c r="Z31" s="329">
        <f t="shared" si="5"/>
        <v>0.16494686982099641</v>
      </c>
      <c r="AA31" s="329">
        <f t="shared" si="5"/>
        <v>0</v>
      </c>
      <c r="AB31" s="329">
        <f t="shared" si="5"/>
        <v>0</v>
      </c>
      <c r="AC31" s="329">
        <f t="shared" si="5"/>
        <v>59.8740103549667</v>
      </c>
      <c r="AD31" s="329">
        <f t="shared" si="5"/>
        <v>187.00281170809052</v>
      </c>
    </row>
    <row r="32" spans="3:30" ht="14.25" customHeight="1" x14ac:dyDescent="0.2">
      <c r="C32" s="8" t="str">
        <v>Belize</v>
      </c>
      <c r="D32" s="8" t="str">
        <v>Latin America &amp; Caribbean</v>
      </c>
      <c r="E32" s="13" t="s">
        <v>578</v>
      </c>
      <c r="F32" s="124" t="str">
        <f t="shared" si="3"/>
        <v>Latin America &amp; Caribbean_Upper middle income</v>
      </c>
      <c r="G32" s="329">
        <f t="shared" si="4"/>
        <v>22.111961568366297</v>
      </c>
      <c r="H32" s="329">
        <f t="shared" si="4"/>
        <v>112.53582479053843</v>
      </c>
      <c r="I32" s="329">
        <f t="shared" si="4"/>
        <v>6.830402213100033</v>
      </c>
      <c r="J32" s="329">
        <f t="shared" si="4"/>
        <v>0.36505142784704681</v>
      </c>
      <c r="K32" s="329">
        <f t="shared" si="4"/>
        <v>112.53582479053843</v>
      </c>
      <c r="L32" s="329">
        <f t="shared" si="4"/>
        <v>6.830402213100033</v>
      </c>
      <c r="M32" s="329">
        <f t="shared" si="4"/>
        <v>385.61651384685882</v>
      </c>
      <c r="N32" s="329">
        <f t="shared" si="4"/>
        <v>2.2139650608027845</v>
      </c>
      <c r="O32" s="329">
        <f t="shared" si="4"/>
        <v>4.0000741704248659</v>
      </c>
      <c r="P32" s="329">
        <f t="shared" si="4"/>
        <v>4.9289279581529479</v>
      </c>
      <c r="Q32" s="329">
        <f t="shared" si="5"/>
        <v>122.08344331569037</v>
      </c>
      <c r="R32" s="329">
        <f t="shared" si="5"/>
        <v>2.2139650608027845</v>
      </c>
      <c r="S32" s="329">
        <f t="shared" si="5"/>
        <v>4.0000741704248659</v>
      </c>
      <c r="T32" s="329">
        <f t="shared" si="5"/>
        <v>4.9289279581529479</v>
      </c>
      <c r="U32" s="329">
        <f t="shared" si="5"/>
        <v>0</v>
      </c>
      <c r="V32" s="329">
        <f t="shared" si="5"/>
        <v>4.0000741704248659</v>
      </c>
      <c r="W32" s="329">
        <f t="shared" si="5"/>
        <v>4.9289279581529479</v>
      </c>
      <c r="X32" s="329">
        <f t="shared" si="5"/>
        <v>2.2139650608027845</v>
      </c>
      <c r="Y32" s="329">
        <f t="shared" si="5"/>
        <v>385.61651384685882</v>
      </c>
      <c r="Z32" s="329">
        <f t="shared" si="5"/>
        <v>0</v>
      </c>
      <c r="AA32" s="329">
        <f t="shared" si="5"/>
        <v>4.0000741704248659</v>
      </c>
      <c r="AB32" s="329">
        <f t="shared" si="5"/>
        <v>4.9289279581529479</v>
      </c>
      <c r="AC32" s="329">
        <f t="shared" si="5"/>
        <v>2.2139650608027845</v>
      </c>
      <c r="AD32" s="329">
        <f t="shared" si="5"/>
        <v>122.08344331569037</v>
      </c>
    </row>
    <row r="33" spans="3:30" ht="14.25" customHeight="1" x14ac:dyDescent="0.2">
      <c r="C33" s="8" t="str">
        <v>Benin</v>
      </c>
      <c r="D33" s="8" t="str">
        <v>Sub-Saharan Africa</v>
      </c>
      <c r="E33" s="13" t="s">
        <v>580</v>
      </c>
      <c r="F33" s="124" t="str">
        <f t="shared" si="3"/>
        <v>Sub-Saharan Africa_Lower middle income</v>
      </c>
      <c r="G33" s="329">
        <f t="shared" ref="G33:P42" si="6">IFERROR(IF(INDEX(Interim_Coefficients,MATCH($C33,Interim_Countries,0),MATCH(G$12,Interim_type,0))="No value",INDEX(Interim_CombinedCoefficients,MATCH($F33,Interim_CombinedTag,0),MATCH(G$12,Interim_CombinedType,0)),INDEX(Interim_Coefficients,MATCH($C33,Interim_Countries,0),MATCH(G$12,Interim_type,0))),INDEX(Interim_CombinedCoefficients,MATCH($F33,Interim_CombinedTag,0),MATCH(G$12,Interim_CombinedType,0)))</f>
        <v>23.309971460536438</v>
      </c>
      <c r="H33" s="329">
        <f t="shared" si="6"/>
        <v>136.54200831083281</v>
      </c>
      <c r="I33" s="329">
        <f t="shared" si="6"/>
        <v>48.066711217553774</v>
      </c>
      <c r="J33" s="329">
        <f t="shared" si="6"/>
        <v>0.38963996426925313</v>
      </c>
      <c r="K33" s="329">
        <f t="shared" si="6"/>
        <v>136.54200831083281</v>
      </c>
      <c r="L33" s="329">
        <f t="shared" si="6"/>
        <v>48.066711217553774</v>
      </c>
      <c r="M33" s="329">
        <f t="shared" si="6"/>
        <v>386.36066988979189</v>
      </c>
      <c r="N33" s="329">
        <f t="shared" si="6"/>
        <v>3.0069383810950008</v>
      </c>
      <c r="O33" s="329">
        <f t="shared" si="6"/>
        <v>6.2955859660608509</v>
      </c>
      <c r="P33" s="329">
        <f t="shared" si="6"/>
        <v>4.9289279581529488</v>
      </c>
      <c r="Q33" s="329">
        <f t="shared" ref="Q33:AD42" si="7">IFERROR(IF(INDEX(Interim_Coefficients,MATCH($C33,Interim_Countries,0),MATCH(Q$12,Interim_type,0))="No value",INDEX(Interim_CombinedCoefficients,MATCH($F33,Interim_CombinedTag,0),MATCH(Q$12,Interim_CombinedType,0)),INDEX(Interim_Coefficients,MATCH($C33,Interim_Countries,0),MATCH(Q$12,Interim_type,0))),INDEX(Interim_CombinedCoefficients,MATCH($F33,Interim_CombinedTag,0),MATCH(Q$12,Interim_CombinedType,0)))</f>
        <v>124.01862912013361</v>
      </c>
      <c r="R33" s="329">
        <f t="shared" si="7"/>
        <v>3.0069383810950008</v>
      </c>
      <c r="S33" s="329">
        <f t="shared" si="7"/>
        <v>6.2955859660608509</v>
      </c>
      <c r="T33" s="329">
        <f t="shared" si="7"/>
        <v>4.9289279581529488</v>
      </c>
      <c r="U33" s="329">
        <f t="shared" si="7"/>
        <v>0</v>
      </c>
      <c r="V33" s="329">
        <f t="shared" si="7"/>
        <v>6.2955859660608509</v>
      </c>
      <c r="W33" s="329">
        <f t="shared" si="7"/>
        <v>4.9289279581529488</v>
      </c>
      <c r="X33" s="329">
        <f t="shared" si="7"/>
        <v>3.0069383810950008</v>
      </c>
      <c r="Y33" s="329">
        <f t="shared" si="7"/>
        <v>386.36066988979189</v>
      </c>
      <c r="Z33" s="329">
        <f t="shared" si="7"/>
        <v>0.38963996426925313</v>
      </c>
      <c r="AA33" s="329">
        <f t="shared" si="7"/>
        <v>0</v>
      </c>
      <c r="AB33" s="329">
        <f t="shared" si="7"/>
        <v>0</v>
      </c>
      <c r="AC33" s="329">
        <f t="shared" si="7"/>
        <v>48.066711217553774</v>
      </c>
      <c r="AD33" s="329">
        <f t="shared" si="7"/>
        <v>136.54200831083281</v>
      </c>
    </row>
    <row r="34" spans="3:30" ht="14.25" customHeight="1" x14ac:dyDescent="0.2">
      <c r="C34" s="8" t="str">
        <v>Bermuda</v>
      </c>
      <c r="D34" s="8" t="str">
        <v>North America</v>
      </c>
      <c r="E34" s="13" t="s">
        <v>579</v>
      </c>
      <c r="F34" s="124" t="str">
        <f t="shared" si="3"/>
        <v>North America_High income</v>
      </c>
      <c r="G34" s="329">
        <f t="shared" si="6"/>
        <v>26.84625272491801</v>
      </c>
      <c r="H34" s="329">
        <f t="shared" si="6"/>
        <v>187.00281170809052</v>
      </c>
      <c r="I34" s="329">
        <f t="shared" si="6"/>
        <v>24.324272488799807</v>
      </c>
      <c r="J34" s="329">
        <f t="shared" si="6"/>
        <v>0.45021666060421506</v>
      </c>
      <c r="K34" s="329">
        <f t="shared" si="6"/>
        <v>187.00281170809052</v>
      </c>
      <c r="L34" s="329">
        <f t="shared" si="6"/>
        <v>24.324272488799807</v>
      </c>
      <c r="M34" s="329">
        <f t="shared" si="6"/>
        <v>382.7843964986688</v>
      </c>
      <c r="N34" s="329">
        <f t="shared" si="6"/>
        <v>3.9263589700230761</v>
      </c>
      <c r="O34" s="329">
        <f t="shared" si="6"/>
        <v>5.8717280788308903</v>
      </c>
      <c r="P34" s="329">
        <f t="shared" si="6"/>
        <v>4.9289279581529488</v>
      </c>
      <c r="Q34" s="329">
        <f t="shared" si="7"/>
        <v>126.62940649866883</v>
      </c>
      <c r="R34" s="329">
        <f t="shared" si="7"/>
        <v>3.9263589700230761</v>
      </c>
      <c r="S34" s="329">
        <f t="shared" si="7"/>
        <v>5.8717280788308903</v>
      </c>
      <c r="T34" s="329">
        <f t="shared" si="7"/>
        <v>4.9289279581529488</v>
      </c>
      <c r="U34" s="329">
        <f t="shared" si="7"/>
        <v>0</v>
      </c>
      <c r="V34" s="329">
        <f t="shared" si="7"/>
        <v>5.8717280788308903</v>
      </c>
      <c r="W34" s="329">
        <f t="shared" si="7"/>
        <v>4.9289279581529488</v>
      </c>
      <c r="X34" s="329">
        <f t="shared" si="7"/>
        <v>3.9263589700230761</v>
      </c>
      <c r="Y34" s="329">
        <f t="shared" si="7"/>
        <v>382.7843964986688</v>
      </c>
      <c r="Z34" s="329">
        <f t="shared" si="7"/>
        <v>0.45021666060421506</v>
      </c>
      <c r="AA34" s="329">
        <f t="shared" si="7"/>
        <v>0</v>
      </c>
      <c r="AB34" s="329">
        <f t="shared" si="7"/>
        <v>0</v>
      </c>
      <c r="AC34" s="329">
        <f t="shared" si="7"/>
        <v>24.324272488799807</v>
      </c>
      <c r="AD34" s="329">
        <f t="shared" si="7"/>
        <v>187.00281170809052</v>
      </c>
    </row>
    <row r="35" spans="3:30" ht="14.25" customHeight="1" x14ac:dyDescent="0.2">
      <c r="C35" s="8" t="str">
        <v>Bhutan</v>
      </c>
      <c r="D35" s="8" t="str">
        <v>South Asia</v>
      </c>
      <c r="E35" s="13" t="s">
        <v>580</v>
      </c>
      <c r="F35" s="124" t="str">
        <f t="shared" si="3"/>
        <v>South Asia_Lower middle income</v>
      </c>
      <c r="G35" s="329">
        <f t="shared" si="6"/>
        <v>18.682549411015433</v>
      </c>
      <c r="H35" s="329">
        <f t="shared" si="6"/>
        <v>181.47379975685718</v>
      </c>
      <c r="I35" s="329">
        <f t="shared" si="6"/>
        <v>16.163512715224211</v>
      </c>
      <c r="J35" s="329">
        <f t="shared" si="6"/>
        <v>0.30633780951627371</v>
      </c>
      <c r="K35" s="329">
        <f t="shared" si="6"/>
        <v>181.47379975685718</v>
      </c>
      <c r="L35" s="329">
        <f t="shared" si="6"/>
        <v>16.163512715224211</v>
      </c>
      <c r="M35" s="329">
        <f t="shared" si="6"/>
        <v>387.80522999999999</v>
      </c>
      <c r="N35" s="329">
        <f t="shared" si="6"/>
        <v>0</v>
      </c>
      <c r="O35" s="329">
        <f t="shared" si="6"/>
        <v>25.353014152547104</v>
      </c>
      <c r="P35" s="329">
        <f t="shared" si="6"/>
        <v>4.9289279581529488</v>
      </c>
      <c r="Q35" s="329">
        <f t="shared" si="7"/>
        <v>131.65024000000003</v>
      </c>
      <c r="R35" s="329">
        <f t="shared" si="7"/>
        <v>0</v>
      </c>
      <c r="S35" s="329">
        <f t="shared" si="7"/>
        <v>25.353014152547104</v>
      </c>
      <c r="T35" s="329">
        <f t="shared" si="7"/>
        <v>4.9289279581529488</v>
      </c>
      <c r="U35" s="329">
        <f t="shared" si="7"/>
        <v>0</v>
      </c>
      <c r="V35" s="329">
        <f t="shared" si="7"/>
        <v>25.353014152547104</v>
      </c>
      <c r="W35" s="329">
        <f t="shared" si="7"/>
        <v>4.9289279581529488</v>
      </c>
      <c r="X35" s="329">
        <f t="shared" si="7"/>
        <v>0</v>
      </c>
      <c r="Y35" s="329">
        <f t="shared" si="7"/>
        <v>387.80522999999999</v>
      </c>
      <c r="Z35" s="329">
        <f t="shared" si="7"/>
        <v>0.30633780951627371</v>
      </c>
      <c r="AA35" s="329">
        <f t="shared" si="7"/>
        <v>0</v>
      </c>
      <c r="AB35" s="329">
        <f t="shared" si="7"/>
        <v>0</v>
      </c>
      <c r="AC35" s="329">
        <f t="shared" si="7"/>
        <v>16.163512715224211</v>
      </c>
      <c r="AD35" s="329">
        <f t="shared" si="7"/>
        <v>181.47379975685718</v>
      </c>
    </row>
    <row r="36" spans="3:30" ht="14.25" customHeight="1" x14ac:dyDescent="0.2">
      <c r="C36" s="8" t="str">
        <v>Bolivia</v>
      </c>
      <c r="D36" s="8" t="str">
        <v>Latin America &amp; Caribbean</v>
      </c>
      <c r="E36" s="13" t="s">
        <v>580</v>
      </c>
      <c r="F36" s="124" t="str">
        <f t="shared" si="3"/>
        <v>Latin America &amp; Caribbean_Lower middle income</v>
      </c>
      <c r="G36" s="329">
        <f t="shared" si="6"/>
        <v>8.5223688119908019</v>
      </c>
      <c r="H36" s="329">
        <f t="shared" si="6"/>
        <v>123.89196731561637</v>
      </c>
      <c r="I36" s="329">
        <f t="shared" si="6"/>
        <v>0</v>
      </c>
      <c r="J36" s="329">
        <f t="shared" si="6"/>
        <v>0.14363542941557531</v>
      </c>
      <c r="K36" s="329">
        <f t="shared" si="6"/>
        <v>123.89196731561637</v>
      </c>
      <c r="L36" s="329">
        <f t="shared" si="6"/>
        <v>0</v>
      </c>
      <c r="M36" s="329">
        <f t="shared" si="6"/>
        <v>387.80522999999999</v>
      </c>
      <c r="N36" s="329">
        <f t="shared" si="6"/>
        <v>0</v>
      </c>
      <c r="O36" s="329">
        <f t="shared" si="6"/>
        <v>4.0413508996351162</v>
      </c>
      <c r="P36" s="329">
        <f t="shared" si="6"/>
        <v>4.9289279581529488</v>
      </c>
      <c r="Q36" s="329">
        <f t="shared" si="7"/>
        <v>131.65024000000003</v>
      </c>
      <c r="R36" s="329">
        <f t="shared" si="7"/>
        <v>0</v>
      </c>
      <c r="S36" s="329">
        <f t="shared" si="7"/>
        <v>4.0413508996351162</v>
      </c>
      <c r="T36" s="329">
        <f t="shared" si="7"/>
        <v>4.9289279581529488</v>
      </c>
      <c r="U36" s="329">
        <f t="shared" si="7"/>
        <v>0</v>
      </c>
      <c r="V36" s="329">
        <f t="shared" si="7"/>
        <v>4.0413508996351162</v>
      </c>
      <c r="W36" s="329">
        <f t="shared" si="7"/>
        <v>4.9289279581529488</v>
      </c>
      <c r="X36" s="329">
        <f t="shared" si="7"/>
        <v>0</v>
      </c>
      <c r="Y36" s="329">
        <f t="shared" si="7"/>
        <v>387.80522999999999</v>
      </c>
      <c r="Z36" s="329">
        <f t="shared" si="7"/>
        <v>0</v>
      </c>
      <c r="AA36" s="329">
        <f t="shared" si="7"/>
        <v>4.0413508996351162</v>
      </c>
      <c r="AB36" s="329">
        <f t="shared" si="7"/>
        <v>4.9289279581529488</v>
      </c>
      <c r="AC36" s="329">
        <f t="shared" si="7"/>
        <v>0</v>
      </c>
      <c r="AD36" s="329">
        <f t="shared" si="7"/>
        <v>131.65024000000003</v>
      </c>
    </row>
    <row r="37" spans="3:30" ht="14.25" customHeight="1" x14ac:dyDescent="0.2">
      <c r="C37" s="8" t="str">
        <v>Bosnia and Herzegovina</v>
      </c>
      <c r="D37" s="8" t="str">
        <v>Europe &amp; Central Asia</v>
      </c>
      <c r="E37" s="13" t="s">
        <v>578</v>
      </c>
      <c r="F37" s="124" t="str">
        <f t="shared" si="3"/>
        <v>Europe &amp; Central Asia_Upper middle income</v>
      </c>
      <c r="G37" s="329">
        <f t="shared" si="6"/>
        <v>19.63003739407586</v>
      </c>
      <c r="H37" s="329">
        <f t="shared" si="6"/>
        <v>187.00281170809052</v>
      </c>
      <c r="I37" s="329">
        <f t="shared" si="6"/>
        <v>152.66999372239431</v>
      </c>
      <c r="J37" s="329">
        <f t="shared" si="6"/>
        <v>0.33005732005694194</v>
      </c>
      <c r="K37" s="329">
        <f t="shared" si="6"/>
        <v>187.00281170809052</v>
      </c>
      <c r="L37" s="329">
        <f t="shared" si="6"/>
        <v>152.66999372239431</v>
      </c>
      <c r="M37" s="329">
        <f t="shared" si="6"/>
        <v>380.27773922168274</v>
      </c>
      <c r="N37" s="329">
        <f t="shared" si="6"/>
        <v>4.5928298109575465</v>
      </c>
      <c r="O37" s="329">
        <f t="shared" si="6"/>
        <v>3.6994518758026187</v>
      </c>
      <c r="P37" s="329">
        <f t="shared" si="6"/>
        <v>4.9289279581529488</v>
      </c>
      <c r="Q37" s="329">
        <f t="shared" si="7"/>
        <v>94.874795267611404</v>
      </c>
      <c r="R37" s="329">
        <f t="shared" si="7"/>
        <v>4.5928298109575465</v>
      </c>
      <c r="S37" s="329">
        <f t="shared" si="7"/>
        <v>3.6994518758026187</v>
      </c>
      <c r="T37" s="329">
        <f t="shared" si="7"/>
        <v>4.9289279581529488</v>
      </c>
      <c r="U37" s="329">
        <f t="shared" si="7"/>
        <v>0</v>
      </c>
      <c r="V37" s="329">
        <f t="shared" si="7"/>
        <v>3.6994518758026187</v>
      </c>
      <c r="W37" s="329">
        <f t="shared" si="7"/>
        <v>4.9289279581529488</v>
      </c>
      <c r="X37" s="329">
        <f t="shared" si="7"/>
        <v>4.5928298109575465</v>
      </c>
      <c r="Y37" s="329">
        <f t="shared" si="7"/>
        <v>380.27773922168274</v>
      </c>
      <c r="Z37" s="329">
        <f t="shared" si="7"/>
        <v>0.33005732005694194</v>
      </c>
      <c r="AA37" s="329">
        <f t="shared" si="7"/>
        <v>0</v>
      </c>
      <c r="AB37" s="329">
        <f t="shared" si="7"/>
        <v>0</v>
      </c>
      <c r="AC37" s="329">
        <f t="shared" si="7"/>
        <v>152.66999372239431</v>
      </c>
      <c r="AD37" s="329">
        <f t="shared" si="7"/>
        <v>187.00281170809052</v>
      </c>
    </row>
    <row r="38" spans="3:30" ht="14.25" customHeight="1" x14ac:dyDescent="0.2">
      <c r="C38" s="8" t="str">
        <v>Botswana</v>
      </c>
      <c r="D38" s="8" t="str">
        <v>Sub-Saharan Africa</v>
      </c>
      <c r="E38" s="13" t="s">
        <v>578</v>
      </c>
      <c r="F38" s="124" t="str">
        <f t="shared" si="3"/>
        <v>Sub-Saharan Africa_Upper middle income</v>
      </c>
      <c r="G38" s="329">
        <f t="shared" si="6"/>
        <v>28.925537175275039</v>
      </c>
      <c r="H38" s="329">
        <f t="shared" si="6"/>
        <v>96.257196814715272</v>
      </c>
      <c r="I38" s="329">
        <f t="shared" si="6"/>
        <v>20.369852633192828</v>
      </c>
      <c r="J38" s="329">
        <f t="shared" si="6"/>
        <v>0.48750905351587148</v>
      </c>
      <c r="K38" s="329">
        <f t="shared" si="6"/>
        <v>96.257196814715272</v>
      </c>
      <c r="L38" s="329">
        <f t="shared" si="6"/>
        <v>20.369852633192828</v>
      </c>
      <c r="M38" s="329">
        <f t="shared" si="6"/>
        <v>387.80522999999999</v>
      </c>
      <c r="N38" s="329">
        <f t="shared" si="6"/>
        <v>0</v>
      </c>
      <c r="O38" s="329">
        <f t="shared" si="6"/>
        <v>1.3825221310123885</v>
      </c>
      <c r="P38" s="329">
        <f t="shared" si="6"/>
        <v>4.9289279581529488</v>
      </c>
      <c r="Q38" s="329">
        <f t="shared" si="7"/>
        <v>131.65024000000003</v>
      </c>
      <c r="R38" s="329">
        <f t="shared" si="7"/>
        <v>0</v>
      </c>
      <c r="S38" s="329">
        <f t="shared" si="7"/>
        <v>1.3825221310123885</v>
      </c>
      <c r="T38" s="329">
        <f t="shared" si="7"/>
        <v>4.9289279581529488</v>
      </c>
      <c r="U38" s="329">
        <f t="shared" si="7"/>
        <v>0</v>
      </c>
      <c r="V38" s="329">
        <f t="shared" si="7"/>
        <v>1.3825221310123885</v>
      </c>
      <c r="W38" s="329">
        <f t="shared" si="7"/>
        <v>4.9289279581529488</v>
      </c>
      <c r="X38" s="329">
        <f t="shared" si="7"/>
        <v>0</v>
      </c>
      <c r="Y38" s="329">
        <f t="shared" si="7"/>
        <v>387.80522999999999</v>
      </c>
      <c r="Z38" s="329">
        <f t="shared" si="7"/>
        <v>0</v>
      </c>
      <c r="AA38" s="329">
        <f t="shared" si="7"/>
        <v>1.3825221310123885</v>
      </c>
      <c r="AB38" s="329">
        <f t="shared" si="7"/>
        <v>4.9289279581529488</v>
      </c>
      <c r="AC38" s="329">
        <f t="shared" si="7"/>
        <v>0</v>
      </c>
      <c r="AD38" s="329">
        <f t="shared" si="7"/>
        <v>131.65024000000003</v>
      </c>
    </row>
    <row r="39" spans="3:30" ht="14.25" customHeight="1" x14ac:dyDescent="0.2">
      <c r="C39" s="8" t="str">
        <v>Brazil</v>
      </c>
      <c r="D39" s="8" t="str">
        <v>Latin America &amp; Caribbean</v>
      </c>
      <c r="E39" s="13" t="s">
        <v>578</v>
      </c>
      <c r="F39" s="124" t="str">
        <f t="shared" si="3"/>
        <v>Latin America &amp; Caribbean_Upper middle income</v>
      </c>
      <c r="G39" s="329">
        <f t="shared" si="6"/>
        <v>22.493949429149737</v>
      </c>
      <c r="H39" s="329">
        <f t="shared" si="6"/>
        <v>85.047388013245893</v>
      </c>
      <c r="I39" s="329">
        <f t="shared" si="6"/>
        <v>6.7780129713254258</v>
      </c>
      <c r="J39" s="329">
        <f t="shared" si="6"/>
        <v>0.35990319086639577</v>
      </c>
      <c r="K39" s="329">
        <f t="shared" si="6"/>
        <v>85.047388013245893</v>
      </c>
      <c r="L39" s="329">
        <f t="shared" si="6"/>
        <v>6.7780129713254258</v>
      </c>
      <c r="M39" s="329">
        <f t="shared" si="6"/>
        <v>386.62423811944586</v>
      </c>
      <c r="N39" s="329">
        <f t="shared" si="6"/>
        <v>1.2715709298717415</v>
      </c>
      <c r="O39" s="329">
        <f t="shared" si="6"/>
        <v>5.031138961877053</v>
      </c>
      <c r="P39" s="329">
        <f t="shared" si="6"/>
        <v>4.9289279581529488</v>
      </c>
      <c r="Q39" s="329">
        <f t="shared" si="7"/>
        <v>130.46924811944592</v>
      </c>
      <c r="R39" s="329">
        <f t="shared" si="7"/>
        <v>1.2715709298717415</v>
      </c>
      <c r="S39" s="329">
        <f t="shared" si="7"/>
        <v>5.031138961877053</v>
      </c>
      <c r="T39" s="329">
        <f t="shared" si="7"/>
        <v>4.9289279581529488</v>
      </c>
      <c r="U39" s="329">
        <f t="shared" si="7"/>
        <v>0</v>
      </c>
      <c r="V39" s="329">
        <f t="shared" si="7"/>
        <v>5.031138961877053</v>
      </c>
      <c r="W39" s="329">
        <f t="shared" si="7"/>
        <v>4.9289279581529488</v>
      </c>
      <c r="X39" s="329">
        <f t="shared" si="7"/>
        <v>1.2715709298717415</v>
      </c>
      <c r="Y39" s="329">
        <f t="shared" si="7"/>
        <v>386.62423811944586</v>
      </c>
      <c r="Z39" s="329">
        <f t="shared" si="7"/>
        <v>0</v>
      </c>
      <c r="AA39" s="329">
        <f t="shared" si="7"/>
        <v>5.031138961877053</v>
      </c>
      <c r="AB39" s="329">
        <f t="shared" si="7"/>
        <v>4.9289279581529488</v>
      </c>
      <c r="AC39" s="329">
        <f t="shared" si="7"/>
        <v>1.2715709298717415</v>
      </c>
      <c r="AD39" s="329">
        <f t="shared" si="7"/>
        <v>130.46924811944592</v>
      </c>
    </row>
    <row r="40" spans="3:30" ht="14.25" customHeight="1" x14ac:dyDescent="0.2">
      <c r="C40" s="8" t="str">
        <v>British Virgin Islands</v>
      </c>
      <c r="D40" s="8" t="str">
        <v>Latin America &amp; Caribbean</v>
      </c>
      <c r="E40" s="13" t="s">
        <v>579</v>
      </c>
      <c r="F40" s="124" t="str">
        <f t="shared" si="3"/>
        <v>Latin America &amp; Caribbean_High income</v>
      </c>
      <c r="G40" s="329">
        <f t="shared" si="6"/>
        <v>20.148173869272608</v>
      </c>
      <c r="H40" s="329">
        <f t="shared" si="6"/>
        <v>152.33868437748353</v>
      </c>
      <c r="I40" s="329">
        <f t="shared" si="6"/>
        <v>3.0416344571758089</v>
      </c>
      <c r="J40" s="329">
        <f t="shared" si="6"/>
        <v>0.33569845745632426</v>
      </c>
      <c r="K40" s="329">
        <f t="shared" si="6"/>
        <v>152.33868437748353</v>
      </c>
      <c r="L40" s="329">
        <f t="shared" si="6"/>
        <v>3.0416344571758089</v>
      </c>
      <c r="M40" s="329">
        <f t="shared" si="6"/>
        <v>385.49779249232023</v>
      </c>
      <c r="N40" s="329">
        <f t="shared" si="6"/>
        <v>1.7137512604923126</v>
      </c>
      <c r="O40" s="329">
        <f t="shared" si="6"/>
        <v>4.1115263115021587</v>
      </c>
      <c r="P40" s="329">
        <f t="shared" si="6"/>
        <v>4.9289279581529488</v>
      </c>
      <c r="Q40" s="329">
        <f t="shared" si="7"/>
        <v>129.34280249232026</v>
      </c>
      <c r="R40" s="329">
        <f t="shared" si="7"/>
        <v>1.7137512604923126</v>
      </c>
      <c r="S40" s="329">
        <f t="shared" si="7"/>
        <v>4.1115263115021587</v>
      </c>
      <c r="T40" s="329">
        <f t="shared" si="7"/>
        <v>4.9289279581529488</v>
      </c>
      <c r="U40" s="329">
        <f t="shared" si="7"/>
        <v>0</v>
      </c>
      <c r="V40" s="329">
        <f t="shared" si="7"/>
        <v>4.1115263115021587</v>
      </c>
      <c r="W40" s="329">
        <f t="shared" si="7"/>
        <v>4.9289279581529488</v>
      </c>
      <c r="X40" s="329">
        <f t="shared" si="7"/>
        <v>1.7137512604923126</v>
      </c>
      <c r="Y40" s="329">
        <f t="shared" si="7"/>
        <v>385.49779249232023</v>
      </c>
      <c r="Z40" s="329">
        <f t="shared" si="7"/>
        <v>0.33569845745632426</v>
      </c>
      <c r="AA40" s="329">
        <f t="shared" si="7"/>
        <v>0</v>
      </c>
      <c r="AB40" s="329">
        <f t="shared" si="7"/>
        <v>0</v>
      </c>
      <c r="AC40" s="329">
        <f t="shared" si="7"/>
        <v>3.0416344571758089</v>
      </c>
      <c r="AD40" s="329">
        <f t="shared" si="7"/>
        <v>152.33868437748353</v>
      </c>
    </row>
    <row r="41" spans="3:30" ht="14.25" customHeight="1" x14ac:dyDescent="0.2">
      <c r="C41" s="8" t="str">
        <v>Brunei Darussalam</v>
      </c>
      <c r="D41" s="8" t="str">
        <v>East Asia &amp; Pacific</v>
      </c>
      <c r="E41" s="13" t="s">
        <v>579</v>
      </c>
      <c r="F41" s="124" t="str">
        <f t="shared" si="3"/>
        <v>East Asia &amp; Pacific_High income</v>
      </c>
      <c r="G41" s="329">
        <f t="shared" si="6"/>
        <v>44.443145199894367</v>
      </c>
      <c r="H41" s="329">
        <f t="shared" si="6"/>
        <v>183.8442475693883</v>
      </c>
      <c r="I41" s="329">
        <f t="shared" si="6"/>
        <v>105.92574003437052</v>
      </c>
      <c r="J41" s="329">
        <f t="shared" si="6"/>
        <v>0.74702806793375442</v>
      </c>
      <c r="K41" s="329">
        <f t="shared" si="6"/>
        <v>183.8442475693883</v>
      </c>
      <c r="L41" s="329">
        <f t="shared" si="6"/>
        <v>105.92574003437052</v>
      </c>
      <c r="M41" s="329">
        <f t="shared" si="6"/>
        <v>369.66231455327676</v>
      </c>
      <c r="N41" s="329">
        <f t="shared" si="6"/>
        <v>87.076870251981461</v>
      </c>
      <c r="O41" s="329">
        <f t="shared" si="6"/>
        <v>2.6357425797782517</v>
      </c>
      <c r="P41" s="329">
        <f t="shared" si="6"/>
        <v>4.9289279581529488</v>
      </c>
      <c r="Q41" s="329">
        <f t="shared" si="7"/>
        <v>113.50732455327682</v>
      </c>
      <c r="R41" s="329">
        <f t="shared" si="7"/>
        <v>87.076870251981461</v>
      </c>
      <c r="S41" s="329">
        <f t="shared" si="7"/>
        <v>2.6357425797782517</v>
      </c>
      <c r="T41" s="329">
        <f t="shared" si="7"/>
        <v>4.9289279581529488</v>
      </c>
      <c r="U41" s="329">
        <f t="shared" si="7"/>
        <v>0</v>
      </c>
      <c r="V41" s="329">
        <f t="shared" si="7"/>
        <v>2.6357425797782517</v>
      </c>
      <c r="W41" s="329">
        <f t="shared" si="7"/>
        <v>4.9289279581529488</v>
      </c>
      <c r="X41" s="329">
        <f t="shared" si="7"/>
        <v>87.076870251981461</v>
      </c>
      <c r="Y41" s="329">
        <f t="shared" si="7"/>
        <v>369.66231455327676</v>
      </c>
      <c r="Z41" s="329">
        <f t="shared" si="7"/>
        <v>0.74702806793375442</v>
      </c>
      <c r="AA41" s="329">
        <f t="shared" si="7"/>
        <v>0</v>
      </c>
      <c r="AB41" s="329">
        <f t="shared" si="7"/>
        <v>0</v>
      </c>
      <c r="AC41" s="329">
        <f t="shared" si="7"/>
        <v>105.92574003437052</v>
      </c>
      <c r="AD41" s="329">
        <f t="shared" si="7"/>
        <v>183.8442475693883</v>
      </c>
    </row>
    <row r="42" spans="3:30" ht="14.25" customHeight="1" x14ac:dyDescent="0.2">
      <c r="C42" s="8" t="str">
        <v>Bulgaria</v>
      </c>
      <c r="D42" s="8" t="str">
        <v>Europe &amp; Central Asia</v>
      </c>
      <c r="E42" s="13" t="s">
        <v>578</v>
      </c>
      <c r="F42" s="124" t="str">
        <f t="shared" si="3"/>
        <v>Europe &amp; Central Asia_Upper middle income</v>
      </c>
      <c r="G42" s="329">
        <f t="shared" si="6"/>
        <v>26.41840782114383</v>
      </c>
      <c r="H42" s="329">
        <f t="shared" si="6"/>
        <v>187.00281170809052</v>
      </c>
      <c r="I42" s="329">
        <f t="shared" si="6"/>
        <v>6.2651141984638015</v>
      </c>
      <c r="J42" s="329">
        <f t="shared" si="6"/>
        <v>0.4452540644013005</v>
      </c>
      <c r="K42" s="329">
        <f t="shared" si="6"/>
        <v>187.00281170809052</v>
      </c>
      <c r="L42" s="329">
        <f t="shared" si="6"/>
        <v>6.2651141984638015</v>
      </c>
      <c r="M42" s="329">
        <f t="shared" si="6"/>
        <v>383.28854784207141</v>
      </c>
      <c r="N42" s="329">
        <f t="shared" si="6"/>
        <v>8.5939647288018612</v>
      </c>
      <c r="O42" s="329">
        <f t="shared" si="6"/>
        <v>3.7040649140191322</v>
      </c>
      <c r="P42" s="329">
        <f t="shared" si="6"/>
        <v>4.9289279581529488</v>
      </c>
      <c r="Q42" s="329">
        <f t="shared" si="7"/>
        <v>68.637649933928614</v>
      </c>
      <c r="R42" s="329">
        <f t="shared" si="7"/>
        <v>8.5939647288018612</v>
      </c>
      <c r="S42" s="329">
        <f t="shared" si="7"/>
        <v>3.7040649140191322</v>
      </c>
      <c r="T42" s="329">
        <f t="shared" si="7"/>
        <v>4.9289279581529488</v>
      </c>
      <c r="U42" s="329">
        <f t="shared" si="7"/>
        <v>0</v>
      </c>
      <c r="V42" s="329">
        <f t="shared" si="7"/>
        <v>3.7040649140191322</v>
      </c>
      <c r="W42" s="329">
        <f t="shared" si="7"/>
        <v>4.9289279581529488</v>
      </c>
      <c r="X42" s="329">
        <f t="shared" si="7"/>
        <v>8.5939647288018612</v>
      </c>
      <c r="Y42" s="329">
        <f t="shared" si="7"/>
        <v>383.28854784207141</v>
      </c>
      <c r="Z42" s="329">
        <f t="shared" si="7"/>
        <v>0.4452540644013005</v>
      </c>
      <c r="AA42" s="329">
        <f t="shared" si="7"/>
        <v>0</v>
      </c>
      <c r="AB42" s="329">
        <f t="shared" si="7"/>
        <v>0</v>
      </c>
      <c r="AC42" s="329">
        <f t="shared" si="7"/>
        <v>6.2651141984638015</v>
      </c>
      <c r="AD42" s="329">
        <f t="shared" si="7"/>
        <v>187.00281170809052</v>
      </c>
    </row>
    <row r="43" spans="3:30" ht="14.25" customHeight="1" x14ac:dyDescent="0.2">
      <c r="C43" s="8" t="str">
        <v>Burkina Faso</v>
      </c>
      <c r="D43" s="8" t="str">
        <v>Sub-Saharan Africa</v>
      </c>
      <c r="E43" s="13" t="s">
        <v>586</v>
      </c>
      <c r="F43" s="124" t="str">
        <f t="shared" si="3"/>
        <v>Sub-Saharan Africa_Low income</v>
      </c>
      <c r="G43" s="329">
        <f t="shared" ref="G43:P52" si="8">IFERROR(IF(INDEX(Interim_Coefficients,MATCH($C43,Interim_Countries,0),MATCH(G$12,Interim_type,0))="No value",INDEX(Interim_CombinedCoefficients,MATCH($F43,Interim_CombinedTag,0),MATCH(G$12,Interim_CombinedType,0)),INDEX(Interim_Coefficients,MATCH($C43,Interim_Countries,0),MATCH(G$12,Interim_type,0))),INDEX(Interim_CombinedCoefficients,MATCH($F43,Interim_CombinedTag,0),MATCH(G$12,Interim_CombinedType,0)))</f>
        <v>23.309971460536438</v>
      </c>
      <c r="H43" s="329">
        <f t="shared" si="8"/>
        <v>136.54200831083281</v>
      </c>
      <c r="I43" s="329">
        <f t="shared" si="8"/>
        <v>48.066711217553774</v>
      </c>
      <c r="J43" s="329">
        <f t="shared" si="8"/>
        <v>0.38963996426925313</v>
      </c>
      <c r="K43" s="329">
        <f t="shared" si="8"/>
        <v>136.54200831083281</v>
      </c>
      <c r="L43" s="329">
        <f t="shared" si="8"/>
        <v>48.066711217553774</v>
      </c>
      <c r="M43" s="329">
        <f t="shared" si="8"/>
        <v>386.36066988979189</v>
      </c>
      <c r="N43" s="329">
        <f t="shared" si="8"/>
        <v>3.0069383810950008</v>
      </c>
      <c r="O43" s="329">
        <f t="shared" si="8"/>
        <v>6.2955859660608509</v>
      </c>
      <c r="P43" s="329">
        <f t="shared" si="8"/>
        <v>4.9289279581529488</v>
      </c>
      <c r="Q43" s="329">
        <f t="shared" ref="Q43:AD52" si="9">IFERROR(IF(INDEX(Interim_Coefficients,MATCH($C43,Interim_Countries,0),MATCH(Q$12,Interim_type,0))="No value",INDEX(Interim_CombinedCoefficients,MATCH($F43,Interim_CombinedTag,0),MATCH(Q$12,Interim_CombinedType,0)),INDEX(Interim_Coefficients,MATCH($C43,Interim_Countries,0),MATCH(Q$12,Interim_type,0))),INDEX(Interim_CombinedCoefficients,MATCH($F43,Interim_CombinedTag,0),MATCH(Q$12,Interim_CombinedType,0)))</f>
        <v>124.01862912013361</v>
      </c>
      <c r="R43" s="329">
        <f t="shared" si="9"/>
        <v>3.0069383810950008</v>
      </c>
      <c r="S43" s="329">
        <f t="shared" si="9"/>
        <v>6.2955859660608509</v>
      </c>
      <c r="T43" s="329">
        <f t="shared" si="9"/>
        <v>4.9289279581529488</v>
      </c>
      <c r="U43" s="329">
        <f t="shared" si="9"/>
        <v>0</v>
      </c>
      <c r="V43" s="329">
        <f t="shared" si="9"/>
        <v>6.2955859660608509</v>
      </c>
      <c r="W43" s="329">
        <f t="shared" si="9"/>
        <v>4.9289279581529488</v>
      </c>
      <c r="X43" s="329">
        <f t="shared" si="9"/>
        <v>3.0069383810950008</v>
      </c>
      <c r="Y43" s="329">
        <f t="shared" si="9"/>
        <v>386.36066988979189</v>
      </c>
      <c r="Z43" s="329">
        <f t="shared" si="9"/>
        <v>0.38963996426925313</v>
      </c>
      <c r="AA43" s="329">
        <f t="shared" si="9"/>
        <v>0</v>
      </c>
      <c r="AB43" s="329">
        <f t="shared" si="9"/>
        <v>0</v>
      </c>
      <c r="AC43" s="329">
        <f t="shared" si="9"/>
        <v>48.066711217553774</v>
      </c>
      <c r="AD43" s="329">
        <f t="shared" si="9"/>
        <v>136.54200831083281</v>
      </c>
    </row>
    <row r="44" spans="3:30" ht="14.25" customHeight="1" x14ac:dyDescent="0.2">
      <c r="C44" s="8" t="str">
        <v>Burundi</v>
      </c>
      <c r="D44" s="8" t="str">
        <v>Sub-Saharan Africa</v>
      </c>
      <c r="E44" s="13" t="s">
        <v>586</v>
      </c>
      <c r="F44" s="124" t="str">
        <f t="shared" si="3"/>
        <v>Sub-Saharan Africa_Low income</v>
      </c>
      <c r="G44" s="329">
        <f t="shared" si="8"/>
        <v>23.309971460536438</v>
      </c>
      <c r="H44" s="329">
        <f t="shared" si="8"/>
        <v>136.54200831083281</v>
      </c>
      <c r="I44" s="329">
        <f t="shared" si="8"/>
        <v>48.066711217553774</v>
      </c>
      <c r="J44" s="329">
        <f t="shared" si="8"/>
        <v>0.38963996426925313</v>
      </c>
      <c r="K44" s="329">
        <f t="shared" si="8"/>
        <v>136.54200831083281</v>
      </c>
      <c r="L44" s="329">
        <f t="shared" si="8"/>
        <v>48.066711217553774</v>
      </c>
      <c r="M44" s="329">
        <f t="shared" si="8"/>
        <v>386.36066988979189</v>
      </c>
      <c r="N44" s="329">
        <f t="shared" si="8"/>
        <v>3.0069383810950008</v>
      </c>
      <c r="O44" s="329">
        <f t="shared" si="8"/>
        <v>6.2955859660608509</v>
      </c>
      <c r="P44" s="329">
        <f t="shared" si="8"/>
        <v>4.9289279581529488</v>
      </c>
      <c r="Q44" s="329">
        <f t="shared" si="9"/>
        <v>124.01862912013361</v>
      </c>
      <c r="R44" s="329">
        <f t="shared" si="9"/>
        <v>3.0069383810950008</v>
      </c>
      <c r="S44" s="329">
        <f t="shared" si="9"/>
        <v>6.2955859660608509</v>
      </c>
      <c r="T44" s="329">
        <f t="shared" si="9"/>
        <v>4.9289279581529488</v>
      </c>
      <c r="U44" s="329">
        <f t="shared" si="9"/>
        <v>0</v>
      </c>
      <c r="V44" s="329">
        <f t="shared" si="9"/>
        <v>6.2955859660608509</v>
      </c>
      <c r="W44" s="329">
        <f t="shared" si="9"/>
        <v>4.9289279581529488</v>
      </c>
      <c r="X44" s="329">
        <f t="shared" si="9"/>
        <v>3.0069383810950008</v>
      </c>
      <c r="Y44" s="329">
        <f t="shared" si="9"/>
        <v>386.36066988979189</v>
      </c>
      <c r="Z44" s="329">
        <f t="shared" si="9"/>
        <v>0.38963996426925313</v>
      </c>
      <c r="AA44" s="329">
        <f t="shared" si="9"/>
        <v>0</v>
      </c>
      <c r="AB44" s="329">
        <f t="shared" si="9"/>
        <v>0</v>
      </c>
      <c r="AC44" s="329">
        <f t="shared" si="9"/>
        <v>48.066711217553774</v>
      </c>
      <c r="AD44" s="329">
        <f t="shared" si="9"/>
        <v>136.54200831083281</v>
      </c>
    </row>
    <row r="45" spans="3:30" ht="14.25" customHeight="1" x14ac:dyDescent="0.2">
      <c r="C45" s="8" t="str">
        <v>Cabo Verde</v>
      </c>
      <c r="D45" s="8" t="str">
        <v>Sub-Saharan Africa</v>
      </c>
      <c r="E45" s="13" t="s">
        <v>580</v>
      </c>
      <c r="F45" s="124" t="str">
        <f t="shared" si="3"/>
        <v>Sub-Saharan Africa_Lower middle income</v>
      </c>
      <c r="G45" s="329">
        <f t="shared" si="8"/>
        <v>23.309971460536438</v>
      </c>
      <c r="H45" s="329">
        <f t="shared" si="8"/>
        <v>136.54200831083281</v>
      </c>
      <c r="I45" s="329">
        <f t="shared" si="8"/>
        <v>48.066711217553774</v>
      </c>
      <c r="J45" s="329">
        <f t="shared" si="8"/>
        <v>0.38963996426925313</v>
      </c>
      <c r="K45" s="329">
        <f t="shared" si="8"/>
        <v>136.54200831083281</v>
      </c>
      <c r="L45" s="329">
        <f t="shared" si="8"/>
        <v>48.066711217553774</v>
      </c>
      <c r="M45" s="329">
        <f t="shared" si="8"/>
        <v>386.36066988979189</v>
      </c>
      <c r="N45" s="329">
        <f t="shared" si="8"/>
        <v>3.0069383810950008</v>
      </c>
      <c r="O45" s="329">
        <f t="shared" si="8"/>
        <v>6.2955859660608509</v>
      </c>
      <c r="P45" s="329">
        <f t="shared" si="8"/>
        <v>4.9289279581529488</v>
      </c>
      <c r="Q45" s="329">
        <f t="shared" si="9"/>
        <v>124.01862912013361</v>
      </c>
      <c r="R45" s="329">
        <f t="shared" si="9"/>
        <v>3.0069383810950008</v>
      </c>
      <c r="S45" s="329">
        <f t="shared" si="9"/>
        <v>6.2955859660608509</v>
      </c>
      <c r="T45" s="329">
        <f t="shared" si="9"/>
        <v>4.9289279581529488</v>
      </c>
      <c r="U45" s="329">
        <f t="shared" si="9"/>
        <v>0</v>
      </c>
      <c r="V45" s="329">
        <f t="shared" si="9"/>
        <v>6.2955859660608509</v>
      </c>
      <c r="W45" s="329">
        <f t="shared" si="9"/>
        <v>4.9289279581529488</v>
      </c>
      <c r="X45" s="329">
        <f t="shared" si="9"/>
        <v>3.0069383810950008</v>
      </c>
      <c r="Y45" s="329">
        <f t="shared" si="9"/>
        <v>386.36066988979189</v>
      </c>
      <c r="Z45" s="329">
        <f t="shared" si="9"/>
        <v>0.38963996426925313</v>
      </c>
      <c r="AA45" s="329">
        <f t="shared" si="9"/>
        <v>0</v>
      </c>
      <c r="AB45" s="329">
        <f t="shared" si="9"/>
        <v>0</v>
      </c>
      <c r="AC45" s="329">
        <f t="shared" si="9"/>
        <v>48.066711217553774</v>
      </c>
      <c r="AD45" s="329">
        <f t="shared" si="9"/>
        <v>136.54200831083281</v>
      </c>
    </row>
    <row r="46" spans="3:30" ht="14.25" customHeight="1" x14ac:dyDescent="0.2">
      <c r="C46" s="8" t="str">
        <v>Cambodia</v>
      </c>
      <c r="D46" s="8" t="str">
        <v>East Asia &amp; Pacific</v>
      </c>
      <c r="E46" s="13" t="s">
        <v>580</v>
      </c>
      <c r="F46" s="124" t="str">
        <f t="shared" si="3"/>
        <v>East Asia &amp; Pacific_Lower middle income</v>
      </c>
      <c r="G46" s="329">
        <f t="shared" si="8"/>
        <v>21.040892851983276</v>
      </c>
      <c r="H46" s="329">
        <f t="shared" si="8"/>
        <v>185.01256757493803</v>
      </c>
      <c r="I46" s="329">
        <f t="shared" si="8"/>
        <v>304.6771769642977</v>
      </c>
      <c r="J46" s="329">
        <f t="shared" si="8"/>
        <v>0.34423100460524525</v>
      </c>
      <c r="K46" s="329">
        <f t="shared" si="8"/>
        <v>185.01256757493803</v>
      </c>
      <c r="L46" s="329">
        <f t="shared" si="8"/>
        <v>304.6771769642977</v>
      </c>
      <c r="M46" s="329">
        <f t="shared" si="8"/>
        <v>376.62670320349753</v>
      </c>
      <c r="N46" s="329">
        <f t="shared" si="8"/>
        <v>23.80079428655403</v>
      </c>
      <c r="O46" s="329">
        <f t="shared" si="8"/>
        <v>4.2989077809646146</v>
      </c>
      <c r="P46" s="329">
        <f t="shared" si="8"/>
        <v>4.9289279581529488</v>
      </c>
      <c r="Q46" s="329">
        <f t="shared" si="9"/>
        <v>120.47171320349753</v>
      </c>
      <c r="R46" s="329">
        <f t="shared" si="9"/>
        <v>23.80079428655403</v>
      </c>
      <c r="S46" s="329">
        <f t="shared" si="9"/>
        <v>4.2989077809646146</v>
      </c>
      <c r="T46" s="329">
        <f t="shared" si="9"/>
        <v>4.9289279581529488</v>
      </c>
      <c r="U46" s="329">
        <f t="shared" si="9"/>
        <v>21.040892851983276</v>
      </c>
      <c r="V46" s="329">
        <f t="shared" si="9"/>
        <v>0</v>
      </c>
      <c r="W46" s="329">
        <f t="shared" si="9"/>
        <v>0</v>
      </c>
      <c r="X46" s="329">
        <f t="shared" si="9"/>
        <v>304.6771769642977</v>
      </c>
      <c r="Y46" s="329">
        <f t="shared" si="9"/>
        <v>185.01256757493803</v>
      </c>
      <c r="Z46" s="329">
        <f t="shared" si="9"/>
        <v>0.34423100460524525</v>
      </c>
      <c r="AA46" s="329">
        <f t="shared" si="9"/>
        <v>0</v>
      </c>
      <c r="AB46" s="329">
        <f t="shared" si="9"/>
        <v>0</v>
      </c>
      <c r="AC46" s="329">
        <f t="shared" si="9"/>
        <v>304.6771769642977</v>
      </c>
      <c r="AD46" s="329">
        <f t="shared" si="9"/>
        <v>185.01256757493803</v>
      </c>
    </row>
    <row r="47" spans="3:30" ht="14.25" customHeight="1" x14ac:dyDescent="0.2">
      <c r="C47" s="8" t="str">
        <v>Cameroon</v>
      </c>
      <c r="D47" s="8" t="str">
        <v>Sub-Saharan Africa</v>
      </c>
      <c r="E47" s="13" t="s">
        <v>580</v>
      </c>
      <c r="F47" s="124" t="str">
        <f t="shared" si="3"/>
        <v>Sub-Saharan Africa_Lower middle income</v>
      </c>
      <c r="G47" s="329">
        <f t="shared" si="8"/>
        <v>23.309971460536438</v>
      </c>
      <c r="H47" s="329">
        <f t="shared" si="8"/>
        <v>136.54200831083281</v>
      </c>
      <c r="I47" s="329">
        <f t="shared" si="8"/>
        <v>48.066711217553774</v>
      </c>
      <c r="J47" s="329">
        <f t="shared" si="8"/>
        <v>0.38963996426925313</v>
      </c>
      <c r="K47" s="329">
        <f t="shared" si="8"/>
        <v>136.54200831083281</v>
      </c>
      <c r="L47" s="329">
        <f t="shared" si="8"/>
        <v>48.066711217553774</v>
      </c>
      <c r="M47" s="329">
        <f t="shared" si="8"/>
        <v>386.36066988979189</v>
      </c>
      <c r="N47" s="329">
        <f t="shared" si="8"/>
        <v>3.0069383810950008</v>
      </c>
      <c r="O47" s="329">
        <f t="shared" si="8"/>
        <v>6.2955859660608509</v>
      </c>
      <c r="P47" s="329">
        <f t="shared" si="8"/>
        <v>4.9289279581529488</v>
      </c>
      <c r="Q47" s="329">
        <f t="shared" si="9"/>
        <v>124.01862912013361</v>
      </c>
      <c r="R47" s="329">
        <f t="shared" si="9"/>
        <v>3.0069383810950008</v>
      </c>
      <c r="S47" s="329">
        <f t="shared" si="9"/>
        <v>6.2955859660608509</v>
      </c>
      <c r="T47" s="329">
        <f t="shared" si="9"/>
        <v>4.9289279581529488</v>
      </c>
      <c r="U47" s="329">
        <f t="shared" si="9"/>
        <v>0</v>
      </c>
      <c r="V47" s="329">
        <f t="shared" si="9"/>
        <v>6.2955859660608509</v>
      </c>
      <c r="W47" s="329">
        <f t="shared" si="9"/>
        <v>4.9289279581529488</v>
      </c>
      <c r="X47" s="329">
        <f t="shared" si="9"/>
        <v>3.0069383810950008</v>
      </c>
      <c r="Y47" s="329">
        <f t="shared" si="9"/>
        <v>386.36066988979189</v>
      </c>
      <c r="Z47" s="329">
        <f t="shared" si="9"/>
        <v>0.38963996426925313</v>
      </c>
      <c r="AA47" s="329">
        <f t="shared" si="9"/>
        <v>0</v>
      </c>
      <c r="AB47" s="329">
        <f t="shared" si="9"/>
        <v>0</v>
      </c>
      <c r="AC47" s="329">
        <f t="shared" si="9"/>
        <v>48.066711217553774</v>
      </c>
      <c r="AD47" s="329">
        <f t="shared" si="9"/>
        <v>136.54200831083281</v>
      </c>
    </row>
    <row r="48" spans="3:30" ht="14.25" customHeight="1" x14ac:dyDescent="0.2">
      <c r="C48" s="8" t="str">
        <v>Canada</v>
      </c>
      <c r="D48" s="8" t="str">
        <v>North America</v>
      </c>
      <c r="E48" s="13" t="s">
        <v>579</v>
      </c>
      <c r="F48" s="124" t="str">
        <f t="shared" si="3"/>
        <v>North America_High income</v>
      </c>
      <c r="G48" s="329">
        <f t="shared" si="8"/>
        <v>23.396072424363187</v>
      </c>
      <c r="H48" s="329">
        <f t="shared" si="8"/>
        <v>187.00281170809052</v>
      </c>
      <c r="I48" s="329">
        <f t="shared" si="8"/>
        <v>29.474320147863963</v>
      </c>
      <c r="J48" s="329">
        <f t="shared" si="8"/>
        <v>0.39235649407317141</v>
      </c>
      <c r="K48" s="329">
        <f t="shared" si="8"/>
        <v>187.00281170809052</v>
      </c>
      <c r="L48" s="329">
        <f t="shared" si="8"/>
        <v>29.474320147863963</v>
      </c>
      <c r="M48" s="329">
        <f t="shared" si="8"/>
        <v>386.46854653929398</v>
      </c>
      <c r="N48" s="329">
        <f t="shared" si="8"/>
        <v>1.1843764312750007</v>
      </c>
      <c r="O48" s="329">
        <f t="shared" si="8"/>
        <v>8.1597964232022555</v>
      </c>
      <c r="P48" s="329">
        <f t="shared" si="8"/>
        <v>4.9289279581529488</v>
      </c>
      <c r="Q48" s="329">
        <f t="shared" si="9"/>
        <v>130.31355653929404</v>
      </c>
      <c r="R48" s="329">
        <f t="shared" si="9"/>
        <v>1.1843764312750007</v>
      </c>
      <c r="S48" s="329">
        <f t="shared" si="9"/>
        <v>8.1597964232022555</v>
      </c>
      <c r="T48" s="329">
        <f t="shared" si="9"/>
        <v>4.9289279581529488</v>
      </c>
      <c r="U48" s="329">
        <f t="shared" si="9"/>
        <v>0</v>
      </c>
      <c r="V48" s="329">
        <f t="shared" si="9"/>
        <v>8.1597964232022555</v>
      </c>
      <c r="W48" s="329">
        <f t="shared" si="9"/>
        <v>4.9289279581529488</v>
      </c>
      <c r="X48" s="329">
        <f t="shared" si="9"/>
        <v>1.1843764312750007</v>
      </c>
      <c r="Y48" s="329">
        <f t="shared" si="9"/>
        <v>386.46854653929398</v>
      </c>
      <c r="Z48" s="329">
        <f t="shared" si="9"/>
        <v>0.39235649407317141</v>
      </c>
      <c r="AA48" s="329">
        <f t="shared" si="9"/>
        <v>0</v>
      </c>
      <c r="AB48" s="329">
        <f t="shared" si="9"/>
        <v>0</v>
      </c>
      <c r="AC48" s="329">
        <f t="shared" si="9"/>
        <v>29.474320147863963</v>
      </c>
      <c r="AD48" s="329">
        <f t="shared" si="9"/>
        <v>187.00281170809052</v>
      </c>
    </row>
    <row r="49" spans="3:30" ht="14.25" customHeight="1" x14ac:dyDescent="0.2">
      <c r="C49" s="8" t="str">
        <v>Cayman Islands</v>
      </c>
      <c r="D49" s="8" t="str">
        <v>Latin America &amp; Caribbean</v>
      </c>
      <c r="E49" s="13" t="s">
        <v>579</v>
      </c>
      <c r="F49" s="124" t="str">
        <f t="shared" si="3"/>
        <v>Latin America &amp; Caribbean_High income</v>
      </c>
      <c r="G49" s="329">
        <f t="shared" si="8"/>
        <v>20.148173869272608</v>
      </c>
      <c r="H49" s="329">
        <f t="shared" si="8"/>
        <v>152.33868437748353</v>
      </c>
      <c r="I49" s="329">
        <f t="shared" si="8"/>
        <v>3.0416344571758089</v>
      </c>
      <c r="J49" s="329">
        <f t="shared" si="8"/>
        <v>0.33569845745632426</v>
      </c>
      <c r="K49" s="329">
        <f t="shared" si="8"/>
        <v>152.33868437748353</v>
      </c>
      <c r="L49" s="329">
        <f t="shared" si="8"/>
        <v>3.0416344571758089</v>
      </c>
      <c r="M49" s="329">
        <f t="shared" si="8"/>
        <v>385.49779249232023</v>
      </c>
      <c r="N49" s="329">
        <f t="shared" si="8"/>
        <v>1.7137512604923126</v>
      </c>
      <c r="O49" s="329">
        <f t="shared" si="8"/>
        <v>4.1115263115021587</v>
      </c>
      <c r="P49" s="329">
        <f t="shared" si="8"/>
        <v>4.9289279581529488</v>
      </c>
      <c r="Q49" s="329">
        <f t="shared" si="9"/>
        <v>129.34280249232026</v>
      </c>
      <c r="R49" s="329">
        <f t="shared" si="9"/>
        <v>1.7137512604923126</v>
      </c>
      <c r="S49" s="329">
        <f t="shared" si="9"/>
        <v>4.1115263115021587</v>
      </c>
      <c r="T49" s="329">
        <f t="shared" si="9"/>
        <v>4.9289279581529488</v>
      </c>
      <c r="U49" s="329">
        <f t="shared" si="9"/>
        <v>0</v>
      </c>
      <c r="V49" s="329">
        <f t="shared" si="9"/>
        <v>4.1115263115021587</v>
      </c>
      <c r="W49" s="329">
        <f t="shared" si="9"/>
        <v>4.9289279581529488</v>
      </c>
      <c r="X49" s="329">
        <f t="shared" si="9"/>
        <v>1.7137512604923126</v>
      </c>
      <c r="Y49" s="329">
        <f t="shared" si="9"/>
        <v>385.49779249232023</v>
      </c>
      <c r="Z49" s="329">
        <f t="shared" si="9"/>
        <v>0.33569845745632426</v>
      </c>
      <c r="AA49" s="329">
        <f t="shared" si="9"/>
        <v>0</v>
      </c>
      <c r="AB49" s="329">
        <f t="shared" si="9"/>
        <v>0</v>
      </c>
      <c r="AC49" s="329">
        <f t="shared" si="9"/>
        <v>3.0416344571758089</v>
      </c>
      <c r="AD49" s="329">
        <f t="shared" si="9"/>
        <v>152.33868437748353</v>
      </c>
    </row>
    <row r="50" spans="3:30" ht="14.25" customHeight="1" x14ac:dyDescent="0.2">
      <c r="C50" s="8" t="str">
        <v>Central African Republic</v>
      </c>
      <c r="D50" s="8" t="str">
        <v>Sub-Saharan Africa</v>
      </c>
      <c r="E50" s="13" t="s">
        <v>586</v>
      </c>
      <c r="F50" s="124" t="str">
        <f t="shared" si="3"/>
        <v>Sub-Saharan Africa_Low income</v>
      </c>
      <c r="G50" s="329">
        <f t="shared" si="8"/>
        <v>23.309971460536438</v>
      </c>
      <c r="H50" s="329">
        <f t="shared" si="8"/>
        <v>136.54200831083281</v>
      </c>
      <c r="I50" s="329">
        <f t="shared" si="8"/>
        <v>48.066711217553774</v>
      </c>
      <c r="J50" s="329">
        <f t="shared" si="8"/>
        <v>0.38963996426925313</v>
      </c>
      <c r="K50" s="329">
        <f t="shared" si="8"/>
        <v>136.54200831083281</v>
      </c>
      <c r="L50" s="329">
        <f t="shared" si="8"/>
        <v>48.066711217553774</v>
      </c>
      <c r="M50" s="329">
        <f t="shared" si="8"/>
        <v>386.36066988979189</v>
      </c>
      <c r="N50" s="329">
        <f t="shared" si="8"/>
        <v>3.0069383810950008</v>
      </c>
      <c r="O50" s="329">
        <f t="shared" si="8"/>
        <v>6.2955859660608509</v>
      </c>
      <c r="P50" s="329">
        <f t="shared" si="8"/>
        <v>4.9289279581529488</v>
      </c>
      <c r="Q50" s="329">
        <f t="shared" si="9"/>
        <v>124.01862912013361</v>
      </c>
      <c r="R50" s="329">
        <f t="shared" si="9"/>
        <v>3.0069383810950008</v>
      </c>
      <c r="S50" s="329">
        <f t="shared" si="9"/>
        <v>6.2955859660608509</v>
      </c>
      <c r="T50" s="329">
        <f t="shared" si="9"/>
        <v>4.9289279581529488</v>
      </c>
      <c r="U50" s="329">
        <f t="shared" si="9"/>
        <v>0</v>
      </c>
      <c r="V50" s="329">
        <f t="shared" si="9"/>
        <v>6.2955859660608509</v>
      </c>
      <c r="W50" s="329">
        <f t="shared" si="9"/>
        <v>4.9289279581529488</v>
      </c>
      <c r="X50" s="329">
        <f t="shared" si="9"/>
        <v>3.0069383810950008</v>
      </c>
      <c r="Y50" s="329">
        <f t="shared" si="9"/>
        <v>386.36066988979189</v>
      </c>
      <c r="Z50" s="329">
        <f t="shared" si="9"/>
        <v>0.38963996426925313</v>
      </c>
      <c r="AA50" s="329">
        <f t="shared" si="9"/>
        <v>0</v>
      </c>
      <c r="AB50" s="329">
        <f t="shared" si="9"/>
        <v>0</v>
      </c>
      <c r="AC50" s="329">
        <f t="shared" si="9"/>
        <v>48.066711217553774</v>
      </c>
      <c r="AD50" s="329">
        <f t="shared" si="9"/>
        <v>136.54200831083281</v>
      </c>
    </row>
    <row r="51" spans="3:30" ht="14.25" customHeight="1" x14ac:dyDescent="0.2">
      <c r="C51" s="8" t="str">
        <v>Chad</v>
      </c>
      <c r="D51" s="8" t="str">
        <v>Sub-Saharan Africa</v>
      </c>
      <c r="E51" s="13" t="s">
        <v>586</v>
      </c>
      <c r="F51" s="124" t="str">
        <f t="shared" si="3"/>
        <v>Sub-Saharan Africa_Low income</v>
      </c>
      <c r="G51" s="329">
        <f t="shared" si="8"/>
        <v>23.309971460536438</v>
      </c>
      <c r="H51" s="329">
        <f t="shared" si="8"/>
        <v>136.54200831083281</v>
      </c>
      <c r="I51" s="329">
        <f t="shared" si="8"/>
        <v>48.066711217553774</v>
      </c>
      <c r="J51" s="329">
        <f t="shared" si="8"/>
        <v>0.38963996426925313</v>
      </c>
      <c r="K51" s="329">
        <f t="shared" si="8"/>
        <v>136.54200831083281</v>
      </c>
      <c r="L51" s="329">
        <f t="shared" si="8"/>
        <v>48.066711217553774</v>
      </c>
      <c r="M51" s="329">
        <f t="shared" si="8"/>
        <v>386.36066988979189</v>
      </c>
      <c r="N51" s="329">
        <f t="shared" si="8"/>
        <v>3.0069383810950008</v>
      </c>
      <c r="O51" s="329">
        <f t="shared" si="8"/>
        <v>6.2955859660608509</v>
      </c>
      <c r="P51" s="329">
        <f t="shared" si="8"/>
        <v>4.9289279581529488</v>
      </c>
      <c r="Q51" s="329">
        <f t="shared" si="9"/>
        <v>124.01862912013361</v>
      </c>
      <c r="R51" s="329">
        <f t="shared" si="9"/>
        <v>3.0069383810950008</v>
      </c>
      <c r="S51" s="329">
        <f t="shared" si="9"/>
        <v>6.2955859660608509</v>
      </c>
      <c r="T51" s="329">
        <f t="shared" si="9"/>
        <v>4.9289279581529488</v>
      </c>
      <c r="U51" s="329">
        <f t="shared" si="9"/>
        <v>0</v>
      </c>
      <c r="V51" s="329">
        <f t="shared" si="9"/>
        <v>6.2955859660608509</v>
      </c>
      <c r="W51" s="329">
        <f t="shared" si="9"/>
        <v>4.9289279581529488</v>
      </c>
      <c r="X51" s="329">
        <f t="shared" si="9"/>
        <v>3.0069383810950008</v>
      </c>
      <c r="Y51" s="329">
        <f t="shared" si="9"/>
        <v>386.36066988979189</v>
      </c>
      <c r="Z51" s="329">
        <f t="shared" si="9"/>
        <v>0.38963996426925313</v>
      </c>
      <c r="AA51" s="329">
        <f t="shared" si="9"/>
        <v>0</v>
      </c>
      <c r="AB51" s="329">
        <f t="shared" si="9"/>
        <v>0</v>
      </c>
      <c r="AC51" s="329">
        <f t="shared" si="9"/>
        <v>48.066711217553774</v>
      </c>
      <c r="AD51" s="329">
        <f t="shared" si="9"/>
        <v>136.54200831083281</v>
      </c>
    </row>
    <row r="52" spans="3:30" ht="14.25" customHeight="1" x14ac:dyDescent="0.2">
      <c r="C52" s="8" t="str">
        <v>Channel Islands</v>
      </c>
      <c r="D52" s="8" t="str">
        <v>Europe &amp; Central Asia</v>
      </c>
      <c r="E52" s="13" t="s">
        <v>579</v>
      </c>
      <c r="F52" s="124" t="str">
        <f t="shared" si="3"/>
        <v>Europe &amp; Central Asia_High income</v>
      </c>
      <c r="G52" s="329">
        <f t="shared" si="8"/>
        <v>32.401299306692998</v>
      </c>
      <c r="H52" s="329">
        <f t="shared" si="8"/>
        <v>185.85127347327975</v>
      </c>
      <c r="I52" s="329">
        <f t="shared" si="8"/>
        <v>371.75902354309056</v>
      </c>
      <c r="J52" s="329">
        <f t="shared" si="8"/>
        <v>0.53910505368023443</v>
      </c>
      <c r="K52" s="329">
        <f t="shared" si="8"/>
        <v>185.85127347327975</v>
      </c>
      <c r="L52" s="329">
        <f t="shared" si="8"/>
        <v>371.75902354309056</v>
      </c>
      <c r="M52" s="329">
        <f t="shared" si="8"/>
        <v>385.53377512854041</v>
      </c>
      <c r="N52" s="329">
        <f t="shared" si="8"/>
        <v>25.640462448793837</v>
      </c>
      <c r="O52" s="329">
        <f t="shared" si="8"/>
        <v>3.6681185273460932</v>
      </c>
      <c r="P52" s="329">
        <f t="shared" si="8"/>
        <v>4.9289279581529506</v>
      </c>
      <c r="Q52" s="329">
        <f t="shared" si="9"/>
        <v>97.069054585259593</v>
      </c>
      <c r="R52" s="329">
        <f t="shared" si="9"/>
        <v>25.640462448793837</v>
      </c>
      <c r="S52" s="329">
        <f t="shared" si="9"/>
        <v>3.6681185273460932</v>
      </c>
      <c r="T52" s="329">
        <f t="shared" si="9"/>
        <v>4.9289279581529506</v>
      </c>
      <c r="U52" s="329">
        <f t="shared" si="9"/>
        <v>32.401299306692998</v>
      </c>
      <c r="V52" s="329">
        <f t="shared" si="9"/>
        <v>0</v>
      </c>
      <c r="W52" s="329">
        <f t="shared" si="9"/>
        <v>0</v>
      </c>
      <c r="X52" s="329">
        <f t="shared" si="9"/>
        <v>371.75902354309056</v>
      </c>
      <c r="Y52" s="329">
        <f t="shared" si="9"/>
        <v>185.85127347327975</v>
      </c>
      <c r="Z52" s="329">
        <f t="shared" si="9"/>
        <v>0.53910505368023443</v>
      </c>
      <c r="AA52" s="329">
        <f t="shared" si="9"/>
        <v>0</v>
      </c>
      <c r="AB52" s="329">
        <f t="shared" si="9"/>
        <v>0</v>
      </c>
      <c r="AC52" s="329">
        <f t="shared" si="9"/>
        <v>371.75902354309056</v>
      </c>
      <c r="AD52" s="329">
        <f t="shared" si="9"/>
        <v>185.85127347327975</v>
      </c>
    </row>
    <row r="53" spans="3:30" ht="14.25" customHeight="1" x14ac:dyDescent="0.2">
      <c r="C53" s="8" t="str">
        <v>Chile</v>
      </c>
      <c r="D53" s="8" t="str">
        <v>Latin America &amp; Caribbean</v>
      </c>
      <c r="E53" s="13" t="s">
        <v>579</v>
      </c>
      <c r="F53" s="124" t="str">
        <f t="shared" si="3"/>
        <v>Latin America &amp; Caribbean_High income</v>
      </c>
      <c r="G53" s="329">
        <f t="shared" ref="G53:P62" si="10">IFERROR(IF(INDEX(Interim_Coefficients,MATCH($C53,Interim_Countries,0),MATCH(G$12,Interim_type,0))="No value",INDEX(Interim_CombinedCoefficients,MATCH($F53,Interim_CombinedTag,0),MATCH(G$12,Interim_CombinedType,0)),INDEX(Interim_Coefficients,MATCH($C53,Interim_Countries,0),MATCH(G$12,Interim_type,0))),INDEX(Interim_CombinedCoefficients,MATCH($F53,Interim_CombinedTag,0),MATCH(G$12,Interim_CombinedType,0)))</f>
        <v>13.022651286988481</v>
      </c>
      <c r="H53" s="329">
        <f t="shared" si="10"/>
        <v>178.32133445217278</v>
      </c>
      <c r="I53" s="329">
        <f t="shared" si="10"/>
        <v>1.3903375153362929</v>
      </c>
      <c r="J53" s="329">
        <f t="shared" si="10"/>
        <v>0.20816074236391982</v>
      </c>
      <c r="K53" s="329">
        <f t="shared" si="10"/>
        <v>178.32133445217278</v>
      </c>
      <c r="L53" s="329">
        <f t="shared" si="10"/>
        <v>1.3903375153362929</v>
      </c>
      <c r="M53" s="329">
        <f t="shared" si="10"/>
        <v>386.35059813977904</v>
      </c>
      <c r="N53" s="329">
        <f t="shared" si="10"/>
        <v>0</v>
      </c>
      <c r="O53" s="329">
        <f t="shared" si="10"/>
        <v>4.9096361640797461</v>
      </c>
      <c r="P53" s="329">
        <f t="shared" si="10"/>
        <v>4.9289279581529488</v>
      </c>
      <c r="Q53" s="329">
        <f t="shared" ref="Q53:AD62" si="11">IFERROR(IF(INDEX(Interim_Coefficients,MATCH($C53,Interim_Countries,0),MATCH(Q$12,Interim_type,0))="No value",INDEX(Interim_CombinedCoefficients,MATCH($F53,Interim_CombinedTag,0),MATCH(Q$12,Interim_CombinedType,0)),INDEX(Interim_Coefficients,MATCH($C53,Interim_Countries,0),MATCH(Q$12,Interim_type,0))),INDEX(Interim_CombinedCoefficients,MATCH($F53,Interim_CombinedTag,0),MATCH(Q$12,Interim_CombinedType,0)))</f>
        <v>130.1956081397791</v>
      </c>
      <c r="R53" s="329">
        <f t="shared" si="11"/>
        <v>0</v>
      </c>
      <c r="S53" s="329">
        <f t="shared" si="11"/>
        <v>4.9096361640797461</v>
      </c>
      <c r="T53" s="329">
        <f t="shared" si="11"/>
        <v>4.9289279581529488</v>
      </c>
      <c r="U53" s="329">
        <f t="shared" si="11"/>
        <v>0</v>
      </c>
      <c r="V53" s="329">
        <f t="shared" si="11"/>
        <v>4.9096361640797461</v>
      </c>
      <c r="W53" s="329">
        <f t="shared" si="11"/>
        <v>4.9289279581529488</v>
      </c>
      <c r="X53" s="329">
        <f t="shared" si="11"/>
        <v>0</v>
      </c>
      <c r="Y53" s="329">
        <f t="shared" si="11"/>
        <v>386.35059813977904</v>
      </c>
      <c r="Z53" s="329">
        <f t="shared" si="11"/>
        <v>0.20816074236391982</v>
      </c>
      <c r="AA53" s="329">
        <f t="shared" si="11"/>
        <v>0</v>
      </c>
      <c r="AB53" s="329">
        <f t="shared" si="11"/>
        <v>0</v>
      </c>
      <c r="AC53" s="329">
        <f t="shared" si="11"/>
        <v>1.3903375153362929</v>
      </c>
      <c r="AD53" s="329">
        <f t="shared" si="11"/>
        <v>178.32133445217278</v>
      </c>
    </row>
    <row r="54" spans="3:30" ht="14.25" customHeight="1" x14ac:dyDescent="0.2">
      <c r="C54" s="8" t="str">
        <v>China</v>
      </c>
      <c r="D54" s="8" t="str">
        <v>East Asia &amp; Pacific</v>
      </c>
      <c r="E54" s="13" t="s">
        <v>578</v>
      </c>
      <c r="F54" s="124" t="str">
        <f t="shared" si="3"/>
        <v>East Asia &amp; Pacific_Upper middle income</v>
      </c>
      <c r="G54" s="329">
        <f t="shared" si="10"/>
        <v>45.25330643918079</v>
      </c>
      <c r="H54" s="329">
        <f t="shared" si="10"/>
        <v>178.32133445217278</v>
      </c>
      <c r="I54" s="329">
        <f t="shared" si="10"/>
        <v>50.811741430688407</v>
      </c>
      <c r="J54" s="329">
        <f t="shared" si="10"/>
        <v>0.74534857664533072</v>
      </c>
      <c r="K54" s="329">
        <f t="shared" si="10"/>
        <v>178.32133445217278</v>
      </c>
      <c r="L54" s="329">
        <f t="shared" si="10"/>
        <v>50.811741430688407</v>
      </c>
      <c r="M54" s="329">
        <f t="shared" si="10"/>
        <v>360.05470558438958</v>
      </c>
      <c r="N54" s="329">
        <f t="shared" si="10"/>
        <v>35.114792891582788</v>
      </c>
      <c r="O54" s="329">
        <f t="shared" si="10"/>
        <v>4.1448170325693674</v>
      </c>
      <c r="P54" s="329">
        <f t="shared" si="10"/>
        <v>4.9289279581529488</v>
      </c>
      <c r="Q54" s="329">
        <f t="shared" si="11"/>
        <v>103.89971558438961</v>
      </c>
      <c r="R54" s="329">
        <f t="shared" si="11"/>
        <v>35.114792891582788</v>
      </c>
      <c r="S54" s="329">
        <f t="shared" si="11"/>
        <v>4.1448170325693674</v>
      </c>
      <c r="T54" s="329">
        <f t="shared" si="11"/>
        <v>4.9289279581529488</v>
      </c>
      <c r="U54" s="329">
        <f t="shared" si="11"/>
        <v>0</v>
      </c>
      <c r="V54" s="329">
        <f t="shared" si="11"/>
        <v>4.1448170325693674</v>
      </c>
      <c r="W54" s="329">
        <f t="shared" si="11"/>
        <v>4.9289279581529488</v>
      </c>
      <c r="X54" s="329">
        <f t="shared" si="11"/>
        <v>35.114792891582788</v>
      </c>
      <c r="Y54" s="329">
        <f t="shared" si="11"/>
        <v>360.05470558438958</v>
      </c>
      <c r="Z54" s="329">
        <f t="shared" si="11"/>
        <v>0.74534857664533072</v>
      </c>
      <c r="AA54" s="329">
        <f t="shared" si="11"/>
        <v>0</v>
      </c>
      <c r="AB54" s="329">
        <f t="shared" si="11"/>
        <v>0</v>
      </c>
      <c r="AC54" s="329">
        <f t="shared" si="11"/>
        <v>50.811741430688407</v>
      </c>
      <c r="AD54" s="329">
        <f t="shared" si="11"/>
        <v>178.32133445217278</v>
      </c>
    </row>
    <row r="55" spans="3:30" ht="14.25" customHeight="1" x14ac:dyDescent="0.2">
      <c r="C55" s="8" t="str">
        <v>Colombia</v>
      </c>
      <c r="D55" s="8" t="str">
        <v>Latin America &amp; Caribbean</v>
      </c>
      <c r="E55" s="13" t="s">
        <v>578</v>
      </c>
      <c r="F55" s="124" t="str">
        <f t="shared" si="3"/>
        <v>Latin America &amp; Caribbean_Upper middle income</v>
      </c>
      <c r="G55" s="329">
        <f t="shared" si="10"/>
        <v>16.193436238810186</v>
      </c>
      <c r="H55" s="329">
        <f t="shared" si="10"/>
        <v>18.556198883897437</v>
      </c>
      <c r="I55" s="329">
        <f t="shared" si="10"/>
        <v>1.4649326849518798</v>
      </c>
      <c r="J55" s="329">
        <f t="shared" si="10"/>
        <v>0.27292308267657617</v>
      </c>
      <c r="K55" s="329">
        <f t="shared" si="10"/>
        <v>18.556198883897437</v>
      </c>
      <c r="L55" s="329">
        <f t="shared" si="10"/>
        <v>1.4649326849518798</v>
      </c>
      <c r="M55" s="329">
        <f t="shared" si="10"/>
        <v>385.40009102559463</v>
      </c>
      <c r="N55" s="329">
        <f t="shared" si="10"/>
        <v>1.8146262936178121</v>
      </c>
      <c r="O55" s="329">
        <f t="shared" si="10"/>
        <v>7.2191118669130221</v>
      </c>
      <c r="P55" s="329">
        <f t="shared" si="10"/>
        <v>4.9289279581529488</v>
      </c>
      <c r="Q55" s="329">
        <f t="shared" si="11"/>
        <v>129.24510102559466</v>
      </c>
      <c r="R55" s="329">
        <f t="shared" si="11"/>
        <v>1.8146262936178121</v>
      </c>
      <c r="S55" s="329">
        <f t="shared" si="11"/>
        <v>7.2191118669130221</v>
      </c>
      <c r="T55" s="329">
        <f t="shared" si="11"/>
        <v>4.9289279581529488</v>
      </c>
      <c r="U55" s="329">
        <f t="shared" si="11"/>
        <v>0</v>
      </c>
      <c r="V55" s="329">
        <f t="shared" si="11"/>
        <v>7.2191118669130221</v>
      </c>
      <c r="W55" s="329">
        <f t="shared" si="11"/>
        <v>4.9289279581529488</v>
      </c>
      <c r="X55" s="329">
        <f t="shared" si="11"/>
        <v>1.8146262936178121</v>
      </c>
      <c r="Y55" s="329">
        <f t="shared" si="11"/>
        <v>385.40009102559463</v>
      </c>
      <c r="Z55" s="329">
        <f t="shared" si="11"/>
        <v>0</v>
      </c>
      <c r="AA55" s="329">
        <f t="shared" si="11"/>
        <v>7.2191118669130221</v>
      </c>
      <c r="AB55" s="329">
        <f t="shared" si="11"/>
        <v>4.9289279581529488</v>
      </c>
      <c r="AC55" s="329">
        <f t="shared" si="11"/>
        <v>1.8146262936178121</v>
      </c>
      <c r="AD55" s="329">
        <f t="shared" si="11"/>
        <v>129.24510102559466</v>
      </c>
    </row>
    <row r="56" spans="3:30" ht="14.25" customHeight="1" x14ac:dyDescent="0.2">
      <c r="C56" s="8" t="str">
        <v>Comoros</v>
      </c>
      <c r="D56" s="8" t="str">
        <v>Sub-Saharan Africa</v>
      </c>
      <c r="E56" s="13" t="s">
        <v>580</v>
      </c>
      <c r="F56" s="124" t="str">
        <f t="shared" si="3"/>
        <v>Sub-Saharan Africa_Lower middle income</v>
      </c>
      <c r="G56" s="329">
        <f t="shared" si="10"/>
        <v>23.309971460536438</v>
      </c>
      <c r="H56" s="329">
        <f t="shared" si="10"/>
        <v>136.54200831083281</v>
      </c>
      <c r="I56" s="329">
        <f t="shared" si="10"/>
        <v>48.066711217553774</v>
      </c>
      <c r="J56" s="329">
        <f t="shared" si="10"/>
        <v>0.38963996426925313</v>
      </c>
      <c r="K56" s="329">
        <f t="shared" si="10"/>
        <v>136.54200831083281</v>
      </c>
      <c r="L56" s="329">
        <f t="shared" si="10"/>
        <v>48.066711217553774</v>
      </c>
      <c r="M56" s="329">
        <f t="shared" si="10"/>
        <v>386.36066988979189</v>
      </c>
      <c r="N56" s="329">
        <f t="shared" si="10"/>
        <v>3.0069383810950008</v>
      </c>
      <c r="O56" s="329">
        <f t="shared" si="10"/>
        <v>6.2955859660608509</v>
      </c>
      <c r="P56" s="329">
        <f t="shared" si="10"/>
        <v>4.9289279581529488</v>
      </c>
      <c r="Q56" s="329">
        <f t="shared" si="11"/>
        <v>124.01862912013361</v>
      </c>
      <c r="R56" s="329">
        <f t="shared" si="11"/>
        <v>3.0069383810950008</v>
      </c>
      <c r="S56" s="329">
        <f t="shared" si="11"/>
        <v>6.2955859660608509</v>
      </c>
      <c r="T56" s="329">
        <f t="shared" si="11"/>
        <v>4.9289279581529488</v>
      </c>
      <c r="U56" s="329">
        <f t="shared" si="11"/>
        <v>0</v>
      </c>
      <c r="V56" s="329">
        <f t="shared" si="11"/>
        <v>6.2955859660608509</v>
      </c>
      <c r="W56" s="329">
        <f t="shared" si="11"/>
        <v>4.9289279581529488</v>
      </c>
      <c r="X56" s="329">
        <f t="shared" si="11"/>
        <v>3.0069383810950008</v>
      </c>
      <c r="Y56" s="329">
        <f t="shared" si="11"/>
        <v>386.36066988979189</v>
      </c>
      <c r="Z56" s="329">
        <f t="shared" si="11"/>
        <v>0.38963996426925313</v>
      </c>
      <c r="AA56" s="329">
        <f t="shared" si="11"/>
        <v>0</v>
      </c>
      <c r="AB56" s="329">
        <f t="shared" si="11"/>
        <v>0</v>
      </c>
      <c r="AC56" s="329">
        <f t="shared" si="11"/>
        <v>48.066711217553774</v>
      </c>
      <c r="AD56" s="329">
        <f t="shared" si="11"/>
        <v>136.54200831083281</v>
      </c>
    </row>
    <row r="57" spans="3:30" ht="14.25" customHeight="1" x14ac:dyDescent="0.2">
      <c r="C57" s="8" t="str">
        <v>Congo, Dem. Rep.</v>
      </c>
      <c r="D57" s="8" t="str">
        <v>Sub-Saharan Africa</v>
      </c>
      <c r="E57" s="13" t="s">
        <v>586</v>
      </c>
      <c r="F57" s="124" t="str">
        <f t="shared" si="3"/>
        <v>Sub-Saharan Africa_Low income</v>
      </c>
      <c r="G57" s="329">
        <f t="shared" si="10"/>
        <v>23.309971460536438</v>
      </c>
      <c r="H57" s="329">
        <f t="shared" si="10"/>
        <v>136.54200831083281</v>
      </c>
      <c r="I57" s="329">
        <f t="shared" si="10"/>
        <v>48.066711217553774</v>
      </c>
      <c r="J57" s="329">
        <f t="shared" si="10"/>
        <v>0.38963996426925313</v>
      </c>
      <c r="K57" s="329">
        <f t="shared" si="10"/>
        <v>136.54200831083281</v>
      </c>
      <c r="L57" s="329">
        <f t="shared" si="10"/>
        <v>48.066711217553774</v>
      </c>
      <c r="M57" s="329">
        <f t="shared" si="10"/>
        <v>386.36066988979189</v>
      </c>
      <c r="N57" s="329">
        <f t="shared" si="10"/>
        <v>3.0069383810950008</v>
      </c>
      <c r="O57" s="329">
        <f t="shared" si="10"/>
        <v>6.2955859660608509</v>
      </c>
      <c r="P57" s="329">
        <f t="shared" si="10"/>
        <v>4.9289279581529488</v>
      </c>
      <c r="Q57" s="329">
        <f t="shared" si="11"/>
        <v>124.01862912013361</v>
      </c>
      <c r="R57" s="329">
        <f t="shared" si="11"/>
        <v>3.0069383810950008</v>
      </c>
      <c r="S57" s="329">
        <f t="shared" si="11"/>
        <v>6.2955859660608509</v>
      </c>
      <c r="T57" s="329">
        <f t="shared" si="11"/>
        <v>4.9289279581529488</v>
      </c>
      <c r="U57" s="329">
        <f t="shared" si="11"/>
        <v>0</v>
      </c>
      <c r="V57" s="329">
        <f t="shared" si="11"/>
        <v>6.2955859660608509</v>
      </c>
      <c r="W57" s="329">
        <f t="shared" si="11"/>
        <v>4.9289279581529488</v>
      </c>
      <c r="X57" s="329">
        <f t="shared" si="11"/>
        <v>3.0069383810950008</v>
      </c>
      <c r="Y57" s="329">
        <f t="shared" si="11"/>
        <v>386.36066988979189</v>
      </c>
      <c r="Z57" s="329">
        <f t="shared" si="11"/>
        <v>0.38963996426925313</v>
      </c>
      <c r="AA57" s="329">
        <f t="shared" si="11"/>
        <v>0</v>
      </c>
      <c r="AB57" s="329">
        <f t="shared" si="11"/>
        <v>0</v>
      </c>
      <c r="AC57" s="329">
        <f t="shared" si="11"/>
        <v>48.066711217553774</v>
      </c>
      <c r="AD57" s="329">
        <f t="shared" si="11"/>
        <v>136.54200831083281</v>
      </c>
    </row>
    <row r="58" spans="3:30" ht="14.25" customHeight="1" x14ac:dyDescent="0.2">
      <c r="C58" s="8" t="str">
        <v>Congo, Rep.</v>
      </c>
      <c r="D58" s="8" t="str">
        <v>Sub-Saharan Africa</v>
      </c>
      <c r="E58" s="13" t="s">
        <v>580</v>
      </c>
      <c r="F58" s="124" t="str">
        <f t="shared" si="3"/>
        <v>Sub-Saharan Africa_Lower middle income</v>
      </c>
      <c r="G58" s="329">
        <f t="shared" si="10"/>
        <v>23.309971460536438</v>
      </c>
      <c r="H58" s="329">
        <f t="shared" si="10"/>
        <v>136.54200831083281</v>
      </c>
      <c r="I58" s="329">
        <f t="shared" si="10"/>
        <v>48.066711217553774</v>
      </c>
      <c r="J58" s="329">
        <f t="shared" si="10"/>
        <v>0.38963996426925313</v>
      </c>
      <c r="K58" s="329">
        <f t="shared" si="10"/>
        <v>136.54200831083281</v>
      </c>
      <c r="L58" s="329">
        <f t="shared" si="10"/>
        <v>48.066711217553774</v>
      </c>
      <c r="M58" s="329">
        <f t="shared" si="10"/>
        <v>386.36066988979189</v>
      </c>
      <c r="N58" s="329">
        <f t="shared" si="10"/>
        <v>3.0069383810950008</v>
      </c>
      <c r="O58" s="329">
        <f t="shared" si="10"/>
        <v>6.2955859660608509</v>
      </c>
      <c r="P58" s="329">
        <f t="shared" si="10"/>
        <v>4.9289279581529488</v>
      </c>
      <c r="Q58" s="329">
        <f t="shared" si="11"/>
        <v>124.01862912013361</v>
      </c>
      <c r="R58" s="329">
        <f t="shared" si="11"/>
        <v>3.0069383810950008</v>
      </c>
      <c r="S58" s="329">
        <f t="shared" si="11"/>
        <v>6.2955859660608509</v>
      </c>
      <c r="T58" s="329">
        <f t="shared" si="11"/>
        <v>4.9289279581529488</v>
      </c>
      <c r="U58" s="329">
        <f t="shared" si="11"/>
        <v>0</v>
      </c>
      <c r="V58" s="329">
        <f t="shared" si="11"/>
        <v>6.2955859660608509</v>
      </c>
      <c r="W58" s="329">
        <f t="shared" si="11"/>
        <v>4.9289279581529488</v>
      </c>
      <c r="X58" s="329">
        <f t="shared" si="11"/>
        <v>3.0069383810950008</v>
      </c>
      <c r="Y58" s="329">
        <f t="shared" si="11"/>
        <v>386.36066988979189</v>
      </c>
      <c r="Z58" s="329">
        <f t="shared" si="11"/>
        <v>0.38963996426925313</v>
      </c>
      <c r="AA58" s="329">
        <f t="shared" si="11"/>
        <v>0</v>
      </c>
      <c r="AB58" s="329">
        <f t="shared" si="11"/>
        <v>0</v>
      </c>
      <c r="AC58" s="329">
        <f t="shared" si="11"/>
        <v>48.066711217553774</v>
      </c>
      <c r="AD58" s="329">
        <f t="shared" si="11"/>
        <v>136.54200831083281</v>
      </c>
    </row>
    <row r="59" spans="3:30" ht="14.25" customHeight="1" x14ac:dyDescent="0.2">
      <c r="C59" s="8" t="str">
        <v>Costa Rica</v>
      </c>
      <c r="D59" s="8" t="str">
        <v>Latin America &amp; Caribbean</v>
      </c>
      <c r="E59" s="13" t="s">
        <v>578</v>
      </c>
      <c r="F59" s="124" t="str">
        <f t="shared" si="3"/>
        <v>Latin America &amp; Caribbean_Upper middle income</v>
      </c>
      <c r="G59" s="329">
        <f t="shared" si="10"/>
        <v>35.214461777182052</v>
      </c>
      <c r="H59" s="329">
        <f t="shared" si="10"/>
        <v>62.124424193596589</v>
      </c>
      <c r="I59" s="329">
        <f t="shared" si="10"/>
        <v>7.8788428794197474</v>
      </c>
      <c r="J59" s="329">
        <f t="shared" si="10"/>
        <v>0.58205721945755462</v>
      </c>
      <c r="K59" s="329">
        <f t="shared" si="10"/>
        <v>62.124424193596589</v>
      </c>
      <c r="L59" s="329">
        <f t="shared" si="10"/>
        <v>7.8788428794197474</v>
      </c>
      <c r="M59" s="329">
        <f t="shared" si="10"/>
        <v>387.8046721268953</v>
      </c>
      <c r="N59" s="329">
        <f t="shared" si="10"/>
        <v>0</v>
      </c>
      <c r="O59" s="329">
        <f t="shared" si="10"/>
        <v>3.5441018368552055</v>
      </c>
      <c r="P59" s="329">
        <f t="shared" si="10"/>
        <v>4.9289279581529488</v>
      </c>
      <c r="Q59" s="329">
        <f t="shared" si="11"/>
        <v>131.64968212689539</v>
      </c>
      <c r="R59" s="329">
        <f t="shared" si="11"/>
        <v>0</v>
      </c>
      <c r="S59" s="329">
        <f t="shared" si="11"/>
        <v>3.5441018368552055</v>
      </c>
      <c r="T59" s="329">
        <f t="shared" si="11"/>
        <v>4.9289279581529488</v>
      </c>
      <c r="U59" s="329">
        <f t="shared" si="11"/>
        <v>0</v>
      </c>
      <c r="V59" s="329">
        <f t="shared" si="11"/>
        <v>3.5441018368552055</v>
      </c>
      <c r="W59" s="329">
        <f t="shared" si="11"/>
        <v>4.9289279581529488</v>
      </c>
      <c r="X59" s="329">
        <f t="shared" si="11"/>
        <v>0</v>
      </c>
      <c r="Y59" s="329">
        <f t="shared" si="11"/>
        <v>387.8046721268953</v>
      </c>
      <c r="Z59" s="329">
        <f t="shared" si="11"/>
        <v>0</v>
      </c>
      <c r="AA59" s="329">
        <f t="shared" si="11"/>
        <v>3.5441018368552055</v>
      </c>
      <c r="AB59" s="329">
        <f t="shared" si="11"/>
        <v>4.9289279581529488</v>
      </c>
      <c r="AC59" s="329">
        <f t="shared" si="11"/>
        <v>0</v>
      </c>
      <c r="AD59" s="329">
        <f t="shared" si="11"/>
        <v>131.64968212689539</v>
      </c>
    </row>
    <row r="60" spans="3:30" ht="14.25" customHeight="1" x14ac:dyDescent="0.2">
      <c r="C60" s="8" t="str">
        <v>Cote d'Ivoire</v>
      </c>
      <c r="D60" s="8" t="str">
        <v>Sub-Saharan Africa</v>
      </c>
      <c r="E60" s="13" t="s">
        <v>580</v>
      </c>
      <c r="F60" s="124" t="str">
        <f t="shared" si="3"/>
        <v>Sub-Saharan Africa_Lower middle income</v>
      </c>
      <c r="G60" s="329">
        <f t="shared" si="10"/>
        <v>23.309971460536438</v>
      </c>
      <c r="H60" s="329">
        <f t="shared" si="10"/>
        <v>136.54200831083281</v>
      </c>
      <c r="I60" s="329">
        <f t="shared" si="10"/>
        <v>48.066711217553774</v>
      </c>
      <c r="J60" s="329">
        <f t="shared" si="10"/>
        <v>0.38963996426925313</v>
      </c>
      <c r="K60" s="329">
        <f t="shared" si="10"/>
        <v>136.54200831083281</v>
      </c>
      <c r="L60" s="329">
        <f t="shared" si="10"/>
        <v>48.066711217553774</v>
      </c>
      <c r="M60" s="329">
        <f t="shared" si="10"/>
        <v>386.36066988979189</v>
      </c>
      <c r="N60" s="329">
        <f t="shared" si="10"/>
        <v>3.0069383810950008</v>
      </c>
      <c r="O60" s="329">
        <f t="shared" si="10"/>
        <v>6.2955859660608509</v>
      </c>
      <c r="P60" s="329">
        <f t="shared" si="10"/>
        <v>4.9289279581529488</v>
      </c>
      <c r="Q60" s="329">
        <f t="shared" si="11"/>
        <v>124.01862912013361</v>
      </c>
      <c r="R60" s="329">
        <f t="shared" si="11"/>
        <v>3.0069383810950008</v>
      </c>
      <c r="S60" s="329">
        <f t="shared" si="11"/>
        <v>6.2955859660608509</v>
      </c>
      <c r="T60" s="329">
        <f t="shared" si="11"/>
        <v>4.9289279581529488</v>
      </c>
      <c r="U60" s="329">
        <f t="shared" si="11"/>
        <v>0</v>
      </c>
      <c r="V60" s="329">
        <f t="shared" si="11"/>
        <v>6.2955859660608509</v>
      </c>
      <c r="W60" s="329">
        <f t="shared" si="11"/>
        <v>4.9289279581529488</v>
      </c>
      <c r="X60" s="329">
        <f t="shared" si="11"/>
        <v>3.0069383810950008</v>
      </c>
      <c r="Y60" s="329">
        <f t="shared" si="11"/>
        <v>386.36066988979189</v>
      </c>
      <c r="Z60" s="329">
        <f t="shared" si="11"/>
        <v>0.38963996426925313</v>
      </c>
      <c r="AA60" s="329">
        <f t="shared" si="11"/>
        <v>0</v>
      </c>
      <c r="AB60" s="329">
        <f t="shared" si="11"/>
        <v>0</v>
      </c>
      <c r="AC60" s="329">
        <f t="shared" si="11"/>
        <v>48.066711217553774</v>
      </c>
      <c r="AD60" s="329">
        <f t="shared" si="11"/>
        <v>136.54200831083281</v>
      </c>
    </row>
    <row r="61" spans="3:30" ht="14.25" customHeight="1" x14ac:dyDescent="0.2">
      <c r="C61" s="8" t="str">
        <v>Croatia</v>
      </c>
      <c r="D61" s="8" t="str">
        <v>Europe &amp; Central Asia</v>
      </c>
      <c r="E61" s="13" t="s">
        <v>579</v>
      </c>
      <c r="F61" s="124" t="str">
        <f t="shared" si="3"/>
        <v>Europe &amp; Central Asia_High income</v>
      </c>
      <c r="G61" s="329">
        <f t="shared" si="10"/>
        <v>32.401299306692998</v>
      </c>
      <c r="H61" s="329">
        <f t="shared" si="10"/>
        <v>185.85127347327975</v>
      </c>
      <c r="I61" s="329">
        <f t="shared" si="10"/>
        <v>371.75902354309056</v>
      </c>
      <c r="J61" s="329">
        <f t="shared" si="10"/>
        <v>0.53910505368023443</v>
      </c>
      <c r="K61" s="329">
        <f t="shared" si="10"/>
        <v>185.85127347327975</v>
      </c>
      <c r="L61" s="329">
        <f t="shared" si="10"/>
        <v>371.75902354309056</v>
      </c>
      <c r="M61" s="329">
        <f t="shared" si="10"/>
        <v>385.53377512854041</v>
      </c>
      <c r="N61" s="329">
        <f t="shared" si="10"/>
        <v>25.640462448793837</v>
      </c>
      <c r="O61" s="329">
        <f t="shared" si="10"/>
        <v>3.6681185273460932</v>
      </c>
      <c r="P61" s="329">
        <f t="shared" si="10"/>
        <v>4.9289279581529506</v>
      </c>
      <c r="Q61" s="329">
        <f t="shared" si="11"/>
        <v>97.069054585259593</v>
      </c>
      <c r="R61" s="329">
        <f t="shared" si="11"/>
        <v>25.640462448793837</v>
      </c>
      <c r="S61" s="329">
        <f t="shared" si="11"/>
        <v>3.6681185273460932</v>
      </c>
      <c r="T61" s="329">
        <f t="shared" si="11"/>
        <v>4.9289279581529506</v>
      </c>
      <c r="U61" s="329">
        <f t="shared" si="11"/>
        <v>32.401299306692998</v>
      </c>
      <c r="V61" s="329">
        <f t="shared" si="11"/>
        <v>0</v>
      </c>
      <c r="W61" s="329">
        <f t="shared" si="11"/>
        <v>0</v>
      </c>
      <c r="X61" s="329">
        <f t="shared" si="11"/>
        <v>371.75902354309056</v>
      </c>
      <c r="Y61" s="329">
        <f t="shared" si="11"/>
        <v>185.85127347327975</v>
      </c>
      <c r="Z61" s="329">
        <f t="shared" si="11"/>
        <v>0.53910505368023443</v>
      </c>
      <c r="AA61" s="329">
        <f t="shared" si="11"/>
        <v>0</v>
      </c>
      <c r="AB61" s="329">
        <f t="shared" si="11"/>
        <v>0</v>
      </c>
      <c r="AC61" s="329">
        <f t="shared" si="11"/>
        <v>371.75902354309056</v>
      </c>
      <c r="AD61" s="329">
        <f t="shared" si="11"/>
        <v>185.85127347327975</v>
      </c>
    </row>
    <row r="62" spans="3:30" ht="14.25" customHeight="1" x14ac:dyDescent="0.2">
      <c r="C62" s="8" t="str">
        <v>Cuba</v>
      </c>
      <c r="D62" s="8" t="str">
        <v>Latin America &amp; Caribbean</v>
      </c>
      <c r="E62" s="13" t="s">
        <v>578</v>
      </c>
      <c r="F62" s="124" t="str">
        <f t="shared" si="3"/>
        <v>Latin America &amp; Caribbean_Upper middle income</v>
      </c>
      <c r="G62" s="329">
        <f t="shared" si="10"/>
        <v>22.111961568366297</v>
      </c>
      <c r="H62" s="329">
        <f t="shared" si="10"/>
        <v>112.53582479053843</v>
      </c>
      <c r="I62" s="329">
        <f t="shared" si="10"/>
        <v>6.830402213100033</v>
      </c>
      <c r="J62" s="329">
        <f t="shared" si="10"/>
        <v>0.36505142784704681</v>
      </c>
      <c r="K62" s="329">
        <f t="shared" si="10"/>
        <v>112.53582479053843</v>
      </c>
      <c r="L62" s="329">
        <f t="shared" si="10"/>
        <v>6.830402213100033</v>
      </c>
      <c r="M62" s="329">
        <f t="shared" si="10"/>
        <v>385.61651384685882</v>
      </c>
      <c r="N62" s="329">
        <f t="shared" si="10"/>
        <v>2.2139650608027845</v>
      </c>
      <c r="O62" s="329">
        <f t="shared" si="10"/>
        <v>4.0000741704248659</v>
      </c>
      <c r="P62" s="329">
        <f t="shared" si="10"/>
        <v>4.9289279581529479</v>
      </c>
      <c r="Q62" s="329">
        <f t="shared" si="11"/>
        <v>122.08344331569037</v>
      </c>
      <c r="R62" s="329">
        <f t="shared" si="11"/>
        <v>2.2139650608027845</v>
      </c>
      <c r="S62" s="329">
        <f t="shared" si="11"/>
        <v>4.0000741704248659</v>
      </c>
      <c r="T62" s="329">
        <f t="shared" si="11"/>
        <v>4.9289279581529479</v>
      </c>
      <c r="U62" s="329">
        <f t="shared" si="11"/>
        <v>0</v>
      </c>
      <c r="V62" s="329">
        <f t="shared" si="11"/>
        <v>4.0000741704248659</v>
      </c>
      <c r="W62" s="329">
        <f t="shared" si="11"/>
        <v>4.9289279581529479</v>
      </c>
      <c r="X62" s="329">
        <f t="shared" si="11"/>
        <v>2.2139650608027845</v>
      </c>
      <c r="Y62" s="329">
        <f t="shared" si="11"/>
        <v>385.61651384685882</v>
      </c>
      <c r="Z62" s="329">
        <f t="shared" si="11"/>
        <v>0</v>
      </c>
      <c r="AA62" s="329">
        <f t="shared" si="11"/>
        <v>4.0000741704248659</v>
      </c>
      <c r="AB62" s="329">
        <f t="shared" si="11"/>
        <v>4.9289279581529479</v>
      </c>
      <c r="AC62" s="329">
        <f t="shared" si="11"/>
        <v>2.2139650608027845</v>
      </c>
      <c r="AD62" s="329">
        <f t="shared" si="11"/>
        <v>122.08344331569037</v>
      </c>
    </row>
    <row r="63" spans="3:30" ht="14.25" customHeight="1" x14ac:dyDescent="0.2">
      <c r="C63" s="8" t="str">
        <v>Curacao</v>
      </c>
      <c r="D63" s="8" t="str">
        <v>Latin America &amp; Caribbean</v>
      </c>
      <c r="E63" s="13" t="s">
        <v>579</v>
      </c>
      <c r="F63" s="124" t="str">
        <f t="shared" si="3"/>
        <v>Latin America &amp; Caribbean_High income</v>
      </c>
      <c r="G63" s="329">
        <f t="shared" ref="G63:P72" si="12">IFERROR(IF(INDEX(Interim_Coefficients,MATCH($C63,Interim_Countries,0),MATCH(G$12,Interim_type,0))="No value",INDEX(Interim_CombinedCoefficients,MATCH($F63,Interim_CombinedTag,0),MATCH(G$12,Interim_CombinedType,0)),INDEX(Interim_Coefficients,MATCH($C63,Interim_Countries,0),MATCH(G$12,Interim_type,0))),INDEX(Interim_CombinedCoefficients,MATCH($F63,Interim_CombinedTag,0),MATCH(G$12,Interim_CombinedType,0)))</f>
        <v>20.148173869272608</v>
      </c>
      <c r="H63" s="329">
        <f t="shared" si="12"/>
        <v>152.33868437748353</v>
      </c>
      <c r="I63" s="329">
        <f t="shared" si="12"/>
        <v>3.0416344571758089</v>
      </c>
      <c r="J63" s="329">
        <f t="shared" si="12"/>
        <v>0.33569845745632426</v>
      </c>
      <c r="K63" s="329">
        <f t="shared" si="12"/>
        <v>152.33868437748353</v>
      </c>
      <c r="L63" s="329">
        <f t="shared" si="12"/>
        <v>3.0416344571758089</v>
      </c>
      <c r="M63" s="329">
        <f t="shared" si="12"/>
        <v>385.49779249232023</v>
      </c>
      <c r="N63" s="329">
        <f t="shared" si="12"/>
        <v>1.7137512604923126</v>
      </c>
      <c r="O63" s="329">
        <f t="shared" si="12"/>
        <v>4.1115263115021587</v>
      </c>
      <c r="P63" s="329">
        <f t="shared" si="12"/>
        <v>4.9289279581529488</v>
      </c>
      <c r="Q63" s="329">
        <f t="shared" ref="Q63:AD72" si="13">IFERROR(IF(INDEX(Interim_Coefficients,MATCH($C63,Interim_Countries,0),MATCH(Q$12,Interim_type,0))="No value",INDEX(Interim_CombinedCoefficients,MATCH($F63,Interim_CombinedTag,0),MATCH(Q$12,Interim_CombinedType,0)),INDEX(Interim_Coefficients,MATCH($C63,Interim_Countries,0),MATCH(Q$12,Interim_type,0))),INDEX(Interim_CombinedCoefficients,MATCH($F63,Interim_CombinedTag,0),MATCH(Q$12,Interim_CombinedType,0)))</f>
        <v>129.34280249232026</v>
      </c>
      <c r="R63" s="329">
        <f t="shared" si="13"/>
        <v>1.7137512604923126</v>
      </c>
      <c r="S63" s="329">
        <f t="shared" si="13"/>
        <v>4.1115263115021587</v>
      </c>
      <c r="T63" s="329">
        <f t="shared" si="13"/>
        <v>4.9289279581529488</v>
      </c>
      <c r="U63" s="329">
        <f t="shared" si="13"/>
        <v>0</v>
      </c>
      <c r="V63" s="329">
        <f t="shared" si="13"/>
        <v>4.1115263115021587</v>
      </c>
      <c r="W63" s="329">
        <f t="shared" si="13"/>
        <v>4.9289279581529488</v>
      </c>
      <c r="X63" s="329">
        <f t="shared" si="13"/>
        <v>1.7137512604923126</v>
      </c>
      <c r="Y63" s="329">
        <f t="shared" si="13"/>
        <v>385.49779249232023</v>
      </c>
      <c r="Z63" s="329">
        <f t="shared" si="13"/>
        <v>0.33569845745632426</v>
      </c>
      <c r="AA63" s="329">
        <f t="shared" si="13"/>
        <v>0</v>
      </c>
      <c r="AB63" s="329">
        <f t="shared" si="13"/>
        <v>0</v>
      </c>
      <c r="AC63" s="329">
        <f t="shared" si="13"/>
        <v>3.0416344571758089</v>
      </c>
      <c r="AD63" s="329">
        <f t="shared" si="13"/>
        <v>152.33868437748353</v>
      </c>
    </row>
    <row r="64" spans="3:30" ht="14.25" customHeight="1" x14ac:dyDescent="0.2">
      <c r="C64" s="8" t="str">
        <v>Cyprus</v>
      </c>
      <c r="D64" s="8" t="str">
        <v>Europe &amp; Central Asia</v>
      </c>
      <c r="E64" s="13" t="s">
        <v>579</v>
      </c>
      <c r="F64" s="124" t="str">
        <f t="shared" si="3"/>
        <v>Europe &amp; Central Asia_High income</v>
      </c>
      <c r="G64" s="329">
        <f t="shared" si="12"/>
        <v>32.401299306692998</v>
      </c>
      <c r="H64" s="329">
        <f t="shared" si="12"/>
        <v>185.85127347327975</v>
      </c>
      <c r="I64" s="329">
        <f t="shared" si="12"/>
        <v>371.75902354309056</v>
      </c>
      <c r="J64" s="329">
        <f t="shared" si="12"/>
        <v>0.53910505368023443</v>
      </c>
      <c r="K64" s="329">
        <f t="shared" si="12"/>
        <v>185.85127347327975</v>
      </c>
      <c r="L64" s="329">
        <f t="shared" si="12"/>
        <v>371.75902354309056</v>
      </c>
      <c r="M64" s="329">
        <f t="shared" si="12"/>
        <v>385.53377512854041</v>
      </c>
      <c r="N64" s="329">
        <f t="shared" si="12"/>
        <v>25.640462448793837</v>
      </c>
      <c r="O64" s="329">
        <f t="shared" si="12"/>
        <v>3.6681185273460932</v>
      </c>
      <c r="P64" s="329">
        <f t="shared" si="12"/>
        <v>4.9289279581529506</v>
      </c>
      <c r="Q64" s="329">
        <f t="shared" si="13"/>
        <v>97.069054585259593</v>
      </c>
      <c r="R64" s="329">
        <f t="shared" si="13"/>
        <v>25.640462448793837</v>
      </c>
      <c r="S64" s="329">
        <f t="shared" si="13"/>
        <v>3.6681185273460932</v>
      </c>
      <c r="T64" s="329">
        <f t="shared" si="13"/>
        <v>4.9289279581529506</v>
      </c>
      <c r="U64" s="329">
        <f t="shared" si="13"/>
        <v>32.401299306692998</v>
      </c>
      <c r="V64" s="329">
        <f t="shared" si="13"/>
        <v>0</v>
      </c>
      <c r="W64" s="329">
        <f t="shared" si="13"/>
        <v>0</v>
      </c>
      <c r="X64" s="329">
        <f t="shared" si="13"/>
        <v>371.75902354309056</v>
      </c>
      <c r="Y64" s="329">
        <f t="shared" si="13"/>
        <v>185.85127347327975</v>
      </c>
      <c r="Z64" s="329">
        <f t="shared" si="13"/>
        <v>0.53910505368023443</v>
      </c>
      <c r="AA64" s="329">
        <f t="shared" si="13"/>
        <v>0</v>
      </c>
      <c r="AB64" s="329">
        <f t="shared" si="13"/>
        <v>0</v>
      </c>
      <c r="AC64" s="329">
        <f t="shared" si="13"/>
        <v>371.75902354309056</v>
      </c>
      <c r="AD64" s="329">
        <f t="shared" si="13"/>
        <v>185.85127347327975</v>
      </c>
    </row>
    <row r="65" spans="3:30" ht="14.25" customHeight="1" x14ac:dyDescent="0.2">
      <c r="C65" s="8" t="str">
        <v>Czechia</v>
      </c>
      <c r="D65" s="8" t="str">
        <v>Europe &amp; Central Asia</v>
      </c>
      <c r="E65" s="13" t="s">
        <v>579</v>
      </c>
      <c r="F65" s="124" t="str">
        <f t="shared" si="3"/>
        <v>Europe &amp; Central Asia_High income</v>
      </c>
      <c r="G65" s="329">
        <f t="shared" si="12"/>
        <v>60.358476995655671</v>
      </c>
      <c r="H65" s="329">
        <f t="shared" si="12"/>
        <v>187.00281170809052</v>
      </c>
      <c r="I65" s="329">
        <f t="shared" si="12"/>
        <v>41.903917860622528</v>
      </c>
      <c r="J65" s="329">
        <f t="shared" si="12"/>
        <v>0.99824573761517066</v>
      </c>
      <c r="K65" s="329">
        <f t="shared" si="12"/>
        <v>187.00281170809052</v>
      </c>
      <c r="L65" s="329">
        <f t="shared" si="12"/>
        <v>41.903917860622528</v>
      </c>
      <c r="M65" s="329">
        <f t="shared" si="12"/>
        <v>382.15703629082719</v>
      </c>
      <c r="N65" s="329">
        <f t="shared" si="12"/>
        <v>27.704199088345199</v>
      </c>
      <c r="O65" s="329">
        <f t="shared" si="12"/>
        <v>3.4453626163710207</v>
      </c>
      <c r="P65" s="329">
        <f t="shared" si="12"/>
        <v>4.9289279581529488</v>
      </c>
      <c r="Q65" s="329">
        <f t="shared" si="13"/>
        <v>68.155561517172842</v>
      </c>
      <c r="R65" s="329">
        <f t="shared" si="13"/>
        <v>27.704199088345199</v>
      </c>
      <c r="S65" s="329">
        <f t="shared" si="13"/>
        <v>3.4453626163710207</v>
      </c>
      <c r="T65" s="329">
        <f t="shared" si="13"/>
        <v>4.9289279581529488</v>
      </c>
      <c r="U65" s="329">
        <f t="shared" si="13"/>
        <v>0</v>
      </c>
      <c r="V65" s="329">
        <f t="shared" si="13"/>
        <v>3.4453626163710207</v>
      </c>
      <c r="W65" s="329">
        <f t="shared" si="13"/>
        <v>4.9289279581529488</v>
      </c>
      <c r="X65" s="329">
        <f t="shared" si="13"/>
        <v>27.704199088345199</v>
      </c>
      <c r="Y65" s="329">
        <f t="shared" si="13"/>
        <v>382.15703629082719</v>
      </c>
      <c r="Z65" s="329">
        <f t="shared" si="13"/>
        <v>0.99824573761517066</v>
      </c>
      <c r="AA65" s="329">
        <f t="shared" si="13"/>
        <v>0</v>
      </c>
      <c r="AB65" s="329">
        <f t="shared" si="13"/>
        <v>0</v>
      </c>
      <c r="AC65" s="329">
        <f t="shared" si="13"/>
        <v>41.903917860622528</v>
      </c>
      <c r="AD65" s="329">
        <f t="shared" si="13"/>
        <v>187.00281170809052</v>
      </c>
    </row>
    <row r="66" spans="3:30" ht="14.25" customHeight="1" x14ac:dyDescent="0.2">
      <c r="C66" s="8" t="str">
        <v>Denmark</v>
      </c>
      <c r="D66" s="8" t="str">
        <v>Europe &amp; Central Asia</v>
      </c>
      <c r="E66" s="13" t="s">
        <v>579</v>
      </c>
      <c r="F66" s="124" t="str">
        <f t="shared" si="3"/>
        <v>Europe &amp; Central Asia_High income</v>
      </c>
      <c r="G66" s="329">
        <f t="shared" si="12"/>
        <v>10.116811423629924</v>
      </c>
      <c r="H66" s="329">
        <f t="shared" si="12"/>
        <v>187.00281170809052</v>
      </c>
      <c r="I66" s="329">
        <f t="shared" si="12"/>
        <v>4055.1048676593637</v>
      </c>
      <c r="J66" s="329">
        <f t="shared" si="12"/>
        <v>0.17179491096730062</v>
      </c>
      <c r="K66" s="329">
        <f t="shared" si="12"/>
        <v>187.00281170809052</v>
      </c>
      <c r="L66" s="329">
        <f t="shared" si="12"/>
        <v>4055.1048676593637</v>
      </c>
      <c r="M66" s="329">
        <f t="shared" si="12"/>
        <v>387.75977198089089</v>
      </c>
      <c r="N66" s="329">
        <f t="shared" si="12"/>
        <v>36.767307223732864</v>
      </c>
      <c r="O66" s="329">
        <f t="shared" si="12"/>
        <v>3.2639434914007102</v>
      </c>
      <c r="P66" s="329">
        <f t="shared" si="12"/>
        <v>4.9289279581529488</v>
      </c>
      <c r="Q66" s="329">
        <f t="shared" si="13"/>
        <v>103.12407198710913</v>
      </c>
      <c r="R66" s="329">
        <f t="shared" si="13"/>
        <v>36.767307223732864</v>
      </c>
      <c r="S66" s="329">
        <f t="shared" si="13"/>
        <v>3.2639434914007102</v>
      </c>
      <c r="T66" s="329">
        <f t="shared" si="13"/>
        <v>4.9289279581529488</v>
      </c>
      <c r="U66" s="329">
        <f t="shared" si="13"/>
        <v>10.116811423629924</v>
      </c>
      <c r="V66" s="329">
        <f t="shared" si="13"/>
        <v>0</v>
      </c>
      <c r="W66" s="329">
        <f t="shared" si="13"/>
        <v>0</v>
      </c>
      <c r="X66" s="329">
        <f t="shared" si="13"/>
        <v>4055.1048676593637</v>
      </c>
      <c r="Y66" s="329">
        <f t="shared" si="13"/>
        <v>187.00281170809052</v>
      </c>
      <c r="Z66" s="329">
        <f t="shared" si="13"/>
        <v>0.17179491096730062</v>
      </c>
      <c r="AA66" s="329">
        <f t="shared" si="13"/>
        <v>0</v>
      </c>
      <c r="AB66" s="329">
        <f t="shared" si="13"/>
        <v>0</v>
      </c>
      <c r="AC66" s="329">
        <f t="shared" si="13"/>
        <v>4055.1048676593637</v>
      </c>
      <c r="AD66" s="329">
        <f t="shared" si="13"/>
        <v>187.00281170809052</v>
      </c>
    </row>
    <row r="67" spans="3:30" ht="14.25" customHeight="1" x14ac:dyDescent="0.2">
      <c r="C67" s="8" t="str">
        <v>Djibouti</v>
      </c>
      <c r="D67" s="8" t="str">
        <v>Middle East &amp; North Africa</v>
      </c>
      <c r="E67" s="13" t="s">
        <v>580</v>
      </c>
      <c r="F67" s="124" t="str">
        <f t="shared" si="3"/>
        <v>Middle East &amp; North Africa_Lower middle income</v>
      </c>
      <c r="G67" s="329">
        <f t="shared" si="12"/>
        <v>18.10397927927896</v>
      </c>
      <c r="H67" s="329">
        <f t="shared" si="12"/>
        <v>183.05003240919942</v>
      </c>
      <c r="I67" s="329">
        <f t="shared" si="12"/>
        <v>8.9537853227281001</v>
      </c>
      <c r="J67" s="329">
        <f t="shared" si="12"/>
        <v>0.29929645004290506</v>
      </c>
      <c r="K67" s="329">
        <f t="shared" si="12"/>
        <v>183.05003240919942</v>
      </c>
      <c r="L67" s="329">
        <f t="shared" si="12"/>
        <v>8.9537853227281001</v>
      </c>
      <c r="M67" s="329">
        <f t="shared" si="12"/>
        <v>386.45224005661373</v>
      </c>
      <c r="N67" s="329">
        <f t="shared" si="12"/>
        <v>0.93587167759875556</v>
      </c>
      <c r="O67" s="329">
        <f t="shared" si="12"/>
        <v>4.1054973591834791</v>
      </c>
      <c r="P67" s="329">
        <f t="shared" si="12"/>
        <v>4.9289279581529488</v>
      </c>
      <c r="Q67" s="329">
        <f t="shared" si="13"/>
        <v>92.061010441720953</v>
      </c>
      <c r="R67" s="329">
        <f t="shared" si="13"/>
        <v>0.93587167759875556</v>
      </c>
      <c r="S67" s="329">
        <f t="shared" si="13"/>
        <v>4.1054973591834791</v>
      </c>
      <c r="T67" s="329">
        <f t="shared" si="13"/>
        <v>4.9289279581529488</v>
      </c>
      <c r="U67" s="329">
        <f t="shared" si="13"/>
        <v>0</v>
      </c>
      <c r="V67" s="329">
        <f t="shared" si="13"/>
        <v>4.1054973591834791</v>
      </c>
      <c r="W67" s="329">
        <f t="shared" si="13"/>
        <v>4.9289279581529488</v>
      </c>
      <c r="X67" s="329">
        <f t="shared" si="13"/>
        <v>0.93587167759875556</v>
      </c>
      <c r="Y67" s="329">
        <f t="shared" si="13"/>
        <v>386.45224005661373</v>
      </c>
      <c r="Z67" s="329">
        <f t="shared" si="13"/>
        <v>0.29929645004290506</v>
      </c>
      <c r="AA67" s="329">
        <f t="shared" si="13"/>
        <v>0</v>
      </c>
      <c r="AB67" s="329">
        <f t="shared" si="13"/>
        <v>0</v>
      </c>
      <c r="AC67" s="329">
        <f t="shared" si="13"/>
        <v>8.9537853227281001</v>
      </c>
      <c r="AD67" s="329">
        <f t="shared" si="13"/>
        <v>183.05003240919942</v>
      </c>
    </row>
    <row r="68" spans="3:30" ht="14.25" customHeight="1" x14ac:dyDescent="0.2">
      <c r="C68" s="8" t="str">
        <v>Dominica</v>
      </c>
      <c r="D68" s="8" t="str">
        <v>Latin America &amp; Caribbean</v>
      </c>
      <c r="E68" s="13" t="s">
        <v>578</v>
      </c>
      <c r="F68" s="124" t="str">
        <f t="shared" si="3"/>
        <v>Latin America &amp; Caribbean_Upper middle income</v>
      </c>
      <c r="G68" s="329">
        <f t="shared" si="12"/>
        <v>22.111961568366297</v>
      </c>
      <c r="H68" s="329">
        <f t="shared" si="12"/>
        <v>112.53582479053843</v>
      </c>
      <c r="I68" s="329">
        <f t="shared" si="12"/>
        <v>6.830402213100033</v>
      </c>
      <c r="J68" s="329">
        <f t="shared" si="12"/>
        <v>0.36505142784704681</v>
      </c>
      <c r="K68" s="329">
        <f t="shared" si="12"/>
        <v>112.53582479053843</v>
      </c>
      <c r="L68" s="329">
        <f t="shared" si="12"/>
        <v>6.830402213100033</v>
      </c>
      <c r="M68" s="329">
        <f t="shared" si="12"/>
        <v>385.61651384685882</v>
      </c>
      <c r="N68" s="329">
        <f t="shared" si="12"/>
        <v>2.2139650608027845</v>
      </c>
      <c r="O68" s="329">
        <f t="shared" si="12"/>
        <v>4.0000741704248659</v>
      </c>
      <c r="P68" s="329">
        <f t="shared" si="12"/>
        <v>4.9289279581529479</v>
      </c>
      <c r="Q68" s="329">
        <f t="shared" si="13"/>
        <v>122.08344331569037</v>
      </c>
      <c r="R68" s="329">
        <f t="shared" si="13"/>
        <v>2.2139650608027845</v>
      </c>
      <c r="S68" s="329">
        <f t="shared" si="13"/>
        <v>4.0000741704248659</v>
      </c>
      <c r="T68" s="329">
        <f t="shared" si="13"/>
        <v>4.9289279581529479</v>
      </c>
      <c r="U68" s="329">
        <f t="shared" si="13"/>
        <v>0</v>
      </c>
      <c r="V68" s="329">
        <f t="shared" si="13"/>
        <v>4.0000741704248659</v>
      </c>
      <c r="W68" s="329">
        <f t="shared" si="13"/>
        <v>4.9289279581529479</v>
      </c>
      <c r="X68" s="329">
        <f t="shared" si="13"/>
        <v>2.2139650608027845</v>
      </c>
      <c r="Y68" s="329">
        <f t="shared" si="13"/>
        <v>385.61651384685882</v>
      </c>
      <c r="Z68" s="329">
        <f t="shared" si="13"/>
        <v>0</v>
      </c>
      <c r="AA68" s="329">
        <f t="shared" si="13"/>
        <v>4.0000741704248659</v>
      </c>
      <c r="AB68" s="329">
        <f t="shared" si="13"/>
        <v>4.9289279581529479</v>
      </c>
      <c r="AC68" s="329">
        <f t="shared" si="13"/>
        <v>2.2139650608027845</v>
      </c>
      <c r="AD68" s="329">
        <f t="shared" si="13"/>
        <v>122.08344331569037</v>
      </c>
    </row>
    <row r="69" spans="3:30" ht="14.25" customHeight="1" x14ac:dyDescent="0.2">
      <c r="C69" s="8" t="str">
        <v>Dominican Republic</v>
      </c>
      <c r="D69" s="8" t="str">
        <v>Latin America &amp; Caribbean</v>
      </c>
      <c r="E69" s="13" t="s">
        <v>578</v>
      </c>
      <c r="F69" s="124" t="str">
        <f t="shared" si="3"/>
        <v>Latin America &amp; Caribbean_Upper middle income</v>
      </c>
      <c r="G69" s="329">
        <f t="shared" si="12"/>
        <v>33.115902429738242</v>
      </c>
      <c r="H69" s="329">
        <f t="shared" si="12"/>
        <v>191.51208825999299</v>
      </c>
      <c r="I69" s="329">
        <f t="shared" si="12"/>
        <v>14.495418884780062</v>
      </c>
      <c r="J69" s="329">
        <f t="shared" si="12"/>
        <v>0.547370288094847</v>
      </c>
      <c r="K69" s="329">
        <f t="shared" si="12"/>
        <v>191.51208825999299</v>
      </c>
      <c r="L69" s="329">
        <f t="shared" si="12"/>
        <v>14.495418884780062</v>
      </c>
      <c r="M69" s="329">
        <f t="shared" si="12"/>
        <v>381.30462167204018</v>
      </c>
      <c r="N69" s="329">
        <f t="shared" si="12"/>
        <v>7.9203667051473641</v>
      </c>
      <c r="O69" s="329">
        <f t="shared" si="12"/>
        <v>3.7269606165335363</v>
      </c>
      <c r="P69" s="329">
        <f t="shared" si="12"/>
        <v>4.9289279581529488</v>
      </c>
      <c r="Q69" s="329">
        <f t="shared" si="13"/>
        <v>125.14963167204023</v>
      </c>
      <c r="R69" s="329">
        <f t="shared" si="13"/>
        <v>7.9203667051473641</v>
      </c>
      <c r="S69" s="329">
        <f t="shared" si="13"/>
        <v>3.7269606165335363</v>
      </c>
      <c r="T69" s="329">
        <f t="shared" si="13"/>
        <v>4.9289279581529488</v>
      </c>
      <c r="U69" s="329">
        <f t="shared" si="13"/>
        <v>0</v>
      </c>
      <c r="V69" s="329">
        <f t="shared" si="13"/>
        <v>3.7269606165335363</v>
      </c>
      <c r="W69" s="329">
        <f t="shared" si="13"/>
        <v>4.9289279581529488</v>
      </c>
      <c r="X69" s="329">
        <f t="shared" si="13"/>
        <v>7.9203667051473641</v>
      </c>
      <c r="Y69" s="329">
        <f t="shared" si="13"/>
        <v>381.30462167204018</v>
      </c>
      <c r="Z69" s="329">
        <f t="shared" si="13"/>
        <v>0.547370288094847</v>
      </c>
      <c r="AA69" s="329">
        <f t="shared" si="13"/>
        <v>0</v>
      </c>
      <c r="AB69" s="329">
        <f t="shared" si="13"/>
        <v>0</v>
      </c>
      <c r="AC69" s="329">
        <f t="shared" si="13"/>
        <v>14.495418884780062</v>
      </c>
      <c r="AD69" s="329">
        <f t="shared" si="13"/>
        <v>191.51208825999299</v>
      </c>
    </row>
    <row r="70" spans="3:30" ht="14.25" customHeight="1" x14ac:dyDescent="0.2">
      <c r="C70" s="8" t="str">
        <v>Ecuador</v>
      </c>
      <c r="D70" s="8" t="str">
        <v>Latin America &amp; Caribbean</v>
      </c>
      <c r="E70" s="13" t="s">
        <v>578</v>
      </c>
      <c r="F70" s="124" t="str">
        <f t="shared" si="3"/>
        <v>Latin America &amp; Caribbean_Upper middle income</v>
      </c>
      <c r="G70" s="329">
        <f t="shared" si="12"/>
        <v>12.385967406230321</v>
      </c>
      <c r="H70" s="329">
        <f t="shared" si="12"/>
        <v>89.04431585911496</v>
      </c>
      <c r="I70" s="329">
        <f t="shared" si="12"/>
        <v>3.3081813672020712</v>
      </c>
      <c r="J70" s="329">
        <f t="shared" si="12"/>
        <v>0.20875225965556721</v>
      </c>
      <c r="K70" s="329">
        <f t="shared" si="12"/>
        <v>89.04431585911496</v>
      </c>
      <c r="L70" s="329">
        <f t="shared" si="12"/>
        <v>3.3081813672020712</v>
      </c>
      <c r="M70" s="329">
        <f t="shared" si="12"/>
        <v>386.11858253095892</v>
      </c>
      <c r="N70" s="329">
        <f t="shared" si="12"/>
        <v>2.5583269239696023</v>
      </c>
      <c r="O70" s="329">
        <f t="shared" si="12"/>
        <v>3.2961811477410645</v>
      </c>
      <c r="P70" s="329">
        <f t="shared" si="12"/>
        <v>4.9289279581529488</v>
      </c>
      <c r="Q70" s="329">
        <f t="shared" si="13"/>
        <v>129.96359253095895</v>
      </c>
      <c r="R70" s="329">
        <f t="shared" si="13"/>
        <v>2.5583269239696023</v>
      </c>
      <c r="S70" s="329">
        <f t="shared" si="13"/>
        <v>3.2961811477410645</v>
      </c>
      <c r="T70" s="329">
        <f t="shared" si="13"/>
        <v>4.9289279581529488</v>
      </c>
      <c r="U70" s="329">
        <f t="shared" si="13"/>
        <v>0</v>
      </c>
      <c r="V70" s="329">
        <f t="shared" si="13"/>
        <v>3.2961811477410645</v>
      </c>
      <c r="W70" s="329">
        <f t="shared" si="13"/>
        <v>4.9289279581529488</v>
      </c>
      <c r="X70" s="329">
        <f t="shared" si="13"/>
        <v>2.5583269239696023</v>
      </c>
      <c r="Y70" s="329">
        <f t="shared" si="13"/>
        <v>386.11858253095892</v>
      </c>
      <c r="Z70" s="329">
        <f t="shared" si="13"/>
        <v>0</v>
      </c>
      <c r="AA70" s="329">
        <f t="shared" si="13"/>
        <v>3.2961811477410645</v>
      </c>
      <c r="AB70" s="329">
        <f t="shared" si="13"/>
        <v>4.9289279581529488</v>
      </c>
      <c r="AC70" s="329">
        <f t="shared" si="13"/>
        <v>2.5583269239696023</v>
      </c>
      <c r="AD70" s="329">
        <f t="shared" si="13"/>
        <v>129.96359253095895</v>
      </c>
    </row>
    <row r="71" spans="3:30" ht="14.25" customHeight="1" x14ac:dyDescent="0.2">
      <c r="C71" s="8" t="str">
        <v>Egypt, Arab Rep.</v>
      </c>
      <c r="D71" s="8" t="str">
        <v>Middle East &amp; North Africa</v>
      </c>
      <c r="E71" s="13" t="s">
        <v>580</v>
      </c>
      <c r="F71" s="124" t="str">
        <f t="shared" si="3"/>
        <v>Middle East &amp; North Africa_Lower middle income</v>
      </c>
      <c r="G71" s="329">
        <f t="shared" si="12"/>
        <v>24.419599679346106</v>
      </c>
      <c r="H71" s="329">
        <f t="shared" si="12"/>
        <v>183.05003240919942</v>
      </c>
      <c r="I71" s="329">
        <f t="shared" si="12"/>
        <v>1.8717433551975107</v>
      </c>
      <c r="J71" s="329">
        <f t="shared" si="12"/>
        <v>0.40362974676605134</v>
      </c>
      <c r="K71" s="329">
        <f t="shared" si="12"/>
        <v>183.05003240919942</v>
      </c>
      <c r="L71" s="329">
        <f t="shared" si="12"/>
        <v>1.8717433551975107</v>
      </c>
      <c r="M71" s="329">
        <f t="shared" si="12"/>
        <v>385.16040491833468</v>
      </c>
      <c r="N71" s="329">
        <f t="shared" si="12"/>
        <v>1.8717433551975111</v>
      </c>
      <c r="O71" s="329">
        <f t="shared" si="12"/>
        <v>4.2083183931999297</v>
      </c>
      <c r="P71" s="329">
        <f t="shared" si="12"/>
        <v>4.9289279581529488</v>
      </c>
      <c r="Q71" s="329">
        <f t="shared" si="13"/>
        <v>129.00541491833468</v>
      </c>
      <c r="R71" s="329">
        <f t="shared" si="13"/>
        <v>1.8717433551975111</v>
      </c>
      <c r="S71" s="329">
        <f t="shared" si="13"/>
        <v>4.2083183931999297</v>
      </c>
      <c r="T71" s="329">
        <f t="shared" si="13"/>
        <v>4.9289279581529488</v>
      </c>
      <c r="U71" s="329">
        <f t="shared" si="13"/>
        <v>0</v>
      </c>
      <c r="V71" s="329">
        <f t="shared" si="13"/>
        <v>4.2083183931999297</v>
      </c>
      <c r="W71" s="329">
        <f t="shared" si="13"/>
        <v>4.9289279581529488</v>
      </c>
      <c r="X71" s="329">
        <f t="shared" si="13"/>
        <v>1.8717433551975111</v>
      </c>
      <c r="Y71" s="329">
        <f t="shared" si="13"/>
        <v>385.16040491833468</v>
      </c>
      <c r="Z71" s="329">
        <f t="shared" si="13"/>
        <v>0.40362974676605134</v>
      </c>
      <c r="AA71" s="329">
        <f t="shared" si="13"/>
        <v>0</v>
      </c>
      <c r="AB71" s="329">
        <f t="shared" si="13"/>
        <v>0</v>
      </c>
      <c r="AC71" s="329">
        <f t="shared" si="13"/>
        <v>1.8717433551975107</v>
      </c>
      <c r="AD71" s="329">
        <f t="shared" si="13"/>
        <v>183.05003240919942</v>
      </c>
    </row>
    <row r="72" spans="3:30" ht="14.25" customHeight="1" x14ac:dyDescent="0.2">
      <c r="C72" s="8" t="str">
        <v>El Salvador</v>
      </c>
      <c r="D72" s="8" t="str">
        <v>Latin America &amp; Caribbean</v>
      </c>
      <c r="E72" s="13" t="s">
        <v>578</v>
      </c>
      <c r="F72" s="124" t="str">
        <f t="shared" si="3"/>
        <v>Latin America &amp; Caribbean_Upper middle income</v>
      </c>
      <c r="G72" s="329">
        <f t="shared" si="12"/>
        <v>22.111961568366297</v>
      </c>
      <c r="H72" s="329">
        <f t="shared" si="12"/>
        <v>112.53582479053843</v>
      </c>
      <c r="I72" s="329">
        <f t="shared" si="12"/>
        <v>6.830402213100033</v>
      </c>
      <c r="J72" s="329">
        <f t="shared" si="12"/>
        <v>0.36505142784704681</v>
      </c>
      <c r="K72" s="329">
        <f t="shared" si="12"/>
        <v>112.53582479053843</v>
      </c>
      <c r="L72" s="329">
        <f t="shared" si="12"/>
        <v>6.830402213100033</v>
      </c>
      <c r="M72" s="329">
        <f t="shared" si="12"/>
        <v>385.61651384685882</v>
      </c>
      <c r="N72" s="329">
        <f t="shared" si="12"/>
        <v>2.2139650608027845</v>
      </c>
      <c r="O72" s="329">
        <f t="shared" si="12"/>
        <v>4.0000741704248659</v>
      </c>
      <c r="P72" s="329">
        <f t="shared" si="12"/>
        <v>4.9289279581529479</v>
      </c>
      <c r="Q72" s="329">
        <f t="shared" si="13"/>
        <v>122.08344331569037</v>
      </c>
      <c r="R72" s="329">
        <f t="shared" si="13"/>
        <v>2.2139650608027845</v>
      </c>
      <c r="S72" s="329">
        <f t="shared" si="13"/>
        <v>4.0000741704248659</v>
      </c>
      <c r="T72" s="329">
        <f t="shared" si="13"/>
        <v>4.9289279581529479</v>
      </c>
      <c r="U72" s="329">
        <f t="shared" si="13"/>
        <v>0</v>
      </c>
      <c r="V72" s="329">
        <f t="shared" si="13"/>
        <v>4.0000741704248659</v>
      </c>
      <c r="W72" s="329">
        <f t="shared" si="13"/>
        <v>4.9289279581529479</v>
      </c>
      <c r="X72" s="329">
        <f t="shared" si="13"/>
        <v>2.2139650608027845</v>
      </c>
      <c r="Y72" s="329">
        <f t="shared" si="13"/>
        <v>385.61651384685882</v>
      </c>
      <c r="Z72" s="329">
        <f t="shared" si="13"/>
        <v>0</v>
      </c>
      <c r="AA72" s="329">
        <f t="shared" si="13"/>
        <v>4.0000741704248659</v>
      </c>
      <c r="AB72" s="329">
        <f t="shared" si="13"/>
        <v>4.9289279581529479</v>
      </c>
      <c r="AC72" s="329">
        <f t="shared" si="13"/>
        <v>2.2139650608027845</v>
      </c>
      <c r="AD72" s="329">
        <f t="shared" si="13"/>
        <v>122.08344331569037</v>
      </c>
    </row>
    <row r="73" spans="3:30" ht="14.25" customHeight="1" x14ac:dyDescent="0.2">
      <c r="C73" s="8" t="str">
        <v>Equatorial Guinea</v>
      </c>
      <c r="D73" s="8" t="str">
        <v>Sub-Saharan Africa</v>
      </c>
      <c r="E73" s="13" t="s">
        <v>578</v>
      </c>
      <c r="F73" s="124" t="str">
        <f t="shared" si="3"/>
        <v>Sub-Saharan Africa_Upper middle income</v>
      </c>
      <c r="G73" s="329">
        <f t="shared" ref="G73:P82" si="14">IFERROR(IF(INDEX(Interim_Coefficients,MATCH($C73,Interim_Countries,0),MATCH(G$12,Interim_type,0))="No value",INDEX(Interim_CombinedCoefficients,MATCH($F73,Interim_CombinedTag,0),MATCH(G$12,Interim_CombinedType,0)),INDEX(Interim_Coefficients,MATCH($C73,Interim_Countries,0),MATCH(G$12,Interim_type,0))),INDEX(Interim_CombinedCoefficients,MATCH($F73,Interim_CombinedTag,0),MATCH(G$12,Interim_CombinedType,0)))</f>
        <v>28.925537175275039</v>
      </c>
      <c r="H73" s="329">
        <f t="shared" si="14"/>
        <v>96.257196814715272</v>
      </c>
      <c r="I73" s="329">
        <f t="shared" si="14"/>
        <v>20.369852633192828</v>
      </c>
      <c r="J73" s="329">
        <f t="shared" si="14"/>
        <v>0.48750905351587148</v>
      </c>
      <c r="K73" s="329">
        <f t="shared" si="14"/>
        <v>96.257196814715272</v>
      </c>
      <c r="L73" s="329">
        <f t="shared" si="14"/>
        <v>20.369852633192828</v>
      </c>
      <c r="M73" s="329">
        <f t="shared" si="14"/>
        <v>387.80522999999999</v>
      </c>
      <c r="N73" s="329">
        <f t="shared" si="14"/>
        <v>0</v>
      </c>
      <c r="O73" s="329">
        <f t="shared" si="14"/>
        <v>1.3825221310123885</v>
      </c>
      <c r="P73" s="329">
        <f t="shared" si="14"/>
        <v>4.9289279581529488</v>
      </c>
      <c r="Q73" s="329">
        <f t="shared" ref="Q73:AD82" si="15">IFERROR(IF(INDEX(Interim_Coefficients,MATCH($C73,Interim_Countries,0),MATCH(Q$12,Interim_type,0))="No value",INDEX(Interim_CombinedCoefficients,MATCH($F73,Interim_CombinedTag,0),MATCH(Q$12,Interim_CombinedType,0)),INDEX(Interim_Coefficients,MATCH($C73,Interim_Countries,0),MATCH(Q$12,Interim_type,0))),INDEX(Interim_CombinedCoefficients,MATCH($F73,Interim_CombinedTag,0),MATCH(Q$12,Interim_CombinedType,0)))</f>
        <v>131.65024000000003</v>
      </c>
      <c r="R73" s="329">
        <f t="shared" si="15"/>
        <v>0</v>
      </c>
      <c r="S73" s="329">
        <f t="shared" si="15"/>
        <v>1.3825221310123885</v>
      </c>
      <c r="T73" s="329">
        <f t="shared" si="15"/>
        <v>4.9289279581529488</v>
      </c>
      <c r="U73" s="329">
        <f t="shared" si="15"/>
        <v>0</v>
      </c>
      <c r="V73" s="329">
        <f t="shared" si="15"/>
        <v>1.3825221310123885</v>
      </c>
      <c r="W73" s="329">
        <f t="shared" si="15"/>
        <v>4.9289279581529488</v>
      </c>
      <c r="X73" s="329">
        <f t="shared" si="15"/>
        <v>0</v>
      </c>
      <c r="Y73" s="329">
        <f t="shared" si="15"/>
        <v>387.80522999999999</v>
      </c>
      <c r="Z73" s="329">
        <f t="shared" si="15"/>
        <v>0</v>
      </c>
      <c r="AA73" s="329">
        <f t="shared" si="15"/>
        <v>1.3825221310123885</v>
      </c>
      <c r="AB73" s="329">
        <f t="shared" si="15"/>
        <v>4.9289279581529488</v>
      </c>
      <c r="AC73" s="329">
        <f t="shared" si="15"/>
        <v>0</v>
      </c>
      <c r="AD73" s="329">
        <f t="shared" si="15"/>
        <v>131.65024000000003</v>
      </c>
    </row>
    <row r="74" spans="3:30" ht="14.25" customHeight="1" x14ac:dyDescent="0.2">
      <c r="C74" s="8" t="str">
        <v>Eritrea</v>
      </c>
      <c r="D74" s="8" t="str">
        <v>Sub-Saharan Africa</v>
      </c>
      <c r="E74" s="13" t="s">
        <v>586</v>
      </c>
      <c r="F74" s="124" t="str">
        <f t="shared" si="3"/>
        <v>Sub-Saharan Africa_Low income</v>
      </c>
      <c r="G74" s="329">
        <f t="shared" si="14"/>
        <v>23.309971460536438</v>
      </c>
      <c r="H74" s="329">
        <f t="shared" si="14"/>
        <v>136.54200831083281</v>
      </c>
      <c r="I74" s="329">
        <f t="shared" si="14"/>
        <v>48.066711217553774</v>
      </c>
      <c r="J74" s="329">
        <f t="shared" si="14"/>
        <v>0.38963996426925313</v>
      </c>
      <c r="K74" s="329">
        <f t="shared" si="14"/>
        <v>136.54200831083281</v>
      </c>
      <c r="L74" s="329">
        <f t="shared" si="14"/>
        <v>48.066711217553774</v>
      </c>
      <c r="M74" s="329">
        <f t="shared" si="14"/>
        <v>386.36066988979189</v>
      </c>
      <c r="N74" s="329">
        <f t="shared" si="14"/>
        <v>3.0069383810950008</v>
      </c>
      <c r="O74" s="329">
        <f t="shared" si="14"/>
        <v>6.2955859660608509</v>
      </c>
      <c r="P74" s="329">
        <f t="shared" si="14"/>
        <v>4.9289279581529488</v>
      </c>
      <c r="Q74" s="329">
        <f t="shared" si="15"/>
        <v>124.01862912013361</v>
      </c>
      <c r="R74" s="329">
        <f t="shared" si="15"/>
        <v>3.0069383810950008</v>
      </c>
      <c r="S74" s="329">
        <f t="shared" si="15"/>
        <v>6.2955859660608509</v>
      </c>
      <c r="T74" s="329">
        <f t="shared" si="15"/>
        <v>4.9289279581529488</v>
      </c>
      <c r="U74" s="329">
        <f t="shared" si="15"/>
        <v>0</v>
      </c>
      <c r="V74" s="329">
        <f t="shared" si="15"/>
        <v>6.2955859660608509</v>
      </c>
      <c r="W74" s="329">
        <f t="shared" si="15"/>
        <v>4.9289279581529488</v>
      </c>
      <c r="X74" s="329">
        <f t="shared" si="15"/>
        <v>3.0069383810950008</v>
      </c>
      <c r="Y74" s="329">
        <f t="shared" si="15"/>
        <v>386.36066988979189</v>
      </c>
      <c r="Z74" s="329">
        <f t="shared" si="15"/>
        <v>0.38963996426925313</v>
      </c>
      <c r="AA74" s="329">
        <f t="shared" si="15"/>
        <v>0</v>
      </c>
      <c r="AB74" s="329">
        <f t="shared" si="15"/>
        <v>0</v>
      </c>
      <c r="AC74" s="329">
        <f t="shared" si="15"/>
        <v>48.066711217553774</v>
      </c>
      <c r="AD74" s="329">
        <f t="shared" si="15"/>
        <v>136.54200831083281</v>
      </c>
    </row>
    <row r="75" spans="3:30" ht="14.25" customHeight="1" x14ac:dyDescent="0.2">
      <c r="C75" s="8" t="str">
        <v>Estonia</v>
      </c>
      <c r="D75" s="8" t="str">
        <v>Europe &amp; Central Asia</v>
      </c>
      <c r="E75" s="13" t="s">
        <v>579</v>
      </c>
      <c r="F75" s="124" t="str">
        <f t="shared" si="3"/>
        <v>Europe &amp; Central Asia_High income</v>
      </c>
      <c r="G75" s="329">
        <f t="shared" si="14"/>
        <v>33.600442071705643</v>
      </c>
      <c r="H75" s="329">
        <f t="shared" si="14"/>
        <v>187.00281170809052</v>
      </c>
      <c r="I75" s="329">
        <f t="shared" si="14"/>
        <v>7.3486713827829089</v>
      </c>
      <c r="J75" s="329">
        <f t="shared" si="14"/>
        <v>0.56578063969538717</v>
      </c>
      <c r="K75" s="329">
        <f t="shared" si="14"/>
        <v>187.00281170809052</v>
      </c>
      <c r="L75" s="329">
        <f t="shared" si="14"/>
        <v>7.3486713827829089</v>
      </c>
      <c r="M75" s="329">
        <f t="shared" si="14"/>
        <v>387.78895432003696</v>
      </c>
      <c r="N75" s="329">
        <f t="shared" si="14"/>
        <v>5.8051213687625154</v>
      </c>
      <c r="O75" s="329">
        <f t="shared" si="14"/>
        <v>2.5811743565849707</v>
      </c>
      <c r="P75" s="329">
        <f t="shared" si="14"/>
        <v>4.9289279581529488</v>
      </c>
      <c r="Q75" s="329">
        <f t="shared" si="15"/>
        <v>62.298417359963082</v>
      </c>
      <c r="R75" s="329">
        <f t="shared" si="15"/>
        <v>5.8051213687625154</v>
      </c>
      <c r="S75" s="329">
        <f t="shared" si="15"/>
        <v>2.5811743565849707</v>
      </c>
      <c r="T75" s="329">
        <f t="shared" si="15"/>
        <v>4.9289279581529488</v>
      </c>
      <c r="U75" s="329">
        <f t="shared" si="15"/>
        <v>0</v>
      </c>
      <c r="V75" s="329">
        <f t="shared" si="15"/>
        <v>2.5811743565849707</v>
      </c>
      <c r="W75" s="329">
        <f t="shared" si="15"/>
        <v>4.9289279581529488</v>
      </c>
      <c r="X75" s="329">
        <f t="shared" si="15"/>
        <v>5.8051213687625154</v>
      </c>
      <c r="Y75" s="329">
        <f t="shared" si="15"/>
        <v>387.78895432003696</v>
      </c>
      <c r="Z75" s="329">
        <f t="shared" si="15"/>
        <v>0.56578063969538717</v>
      </c>
      <c r="AA75" s="329">
        <f t="shared" si="15"/>
        <v>0</v>
      </c>
      <c r="AB75" s="329">
        <f t="shared" si="15"/>
        <v>0</v>
      </c>
      <c r="AC75" s="329">
        <f t="shared" si="15"/>
        <v>7.3486713827829089</v>
      </c>
      <c r="AD75" s="329">
        <f t="shared" si="15"/>
        <v>187.00281170809052</v>
      </c>
    </row>
    <row r="76" spans="3:30" ht="14.25" customHeight="1" x14ac:dyDescent="0.2">
      <c r="C76" s="8" t="str">
        <v>Eswatini</v>
      </c>
      <c r="D76" s="8" t="str">
        <v>Sub-Saharan Africa</v>
      </c>
      <c r="E76" s="13" t="s">
        <v>580</v>
      </c>
      <c r="F76" s="124" t="str">
        <f t="shared" si="3"/>
        <v>Sub-Saharan Africa_Lower middle income</v>
      </c>
      <c r="G76" s="329">
        <f t="shared" si="14"/>
        <v>23.309971460536438</v>
      </c>
      <c r="H76" s="329">
        <f t="shared" si="14"/>
        <v>136.54200831083281</v>
      </c>
      <c r="I76" s="329">
        <f t="shared" si="14"/>
        <v>48.066711217553774</v>
      </c>
      <c r="J76" s="329">
        <f t="shared" si="14"/>
        <v>0.38963996426925313</v>
      </c>
      <c r="K76" s="329">
        <f t="shared" si="14"/>
        <v>136.54200831083281</v>
      </c>
      <c r="L76" s="329">
        <f t="shared" si="14"/>
        <v>48.066711217553774</v>
      </c>
      <c r="M76" s="329">
        <f t="shared" si="14"/>
        <v>386.36066988979189</v>
      </c>
      <c r="N76" s="329">
        <f t="shared" si="14"/>
        <v>3.0069383810950008</v>
      </c>
      <c r="O76" s="329">
        <f t="shared" si="14"/>
        <v>6.2955859660608509</v>
      </c>
      <c r="P76" s="329">
        <f t="shared" si="14"/>
        <v>4.9289279581529488</v>
      </c>
      <c r="Q76" s="329">
        <f t="shared" si="15"/>
        <v>124.01862912013361</v>
      </c>
      <c r="R76" s="329">
        <f t="shared" si="15"/>
        <v>3.0069383810950008</v>
      </c>
      <c r="S76" s="329">
        <f t="shared" si="15"/>
        <v>6.2955859660608509</v>
      </c>
      <c r="T76" s="329">
        <f t="shared" si="15"/>
        <v>4.9289279581529488</v>
      </c>
      <c r="U76" s="329">
        <f t="shared" si="15"/>
        <v>0</v>
      </c>
      <c r="V76" s="329">
        <f t="shared" si="15"/>
        <v>6.2955859660608509</v>
      </c>
      <c r="W76" s="329">
        <f t="shared" si="15"/>
        <v>4.9289279581529488</v>
      </c>
      <c r="X76" s="329">
        <f t="shared" si="15"/>
        <v>3.0069383810950008</v>
      </c>
      <c r="Y76" s="329">
        <f t="shared" si="15"/>
        <v>386.36066988979189</v>
      </c>
      <c r="Z76" s="329">
        <f t="shared" si="15"/>
        <v>0.38963996426925313</v>
      </c>
      <c r="AA76" s="329">
        <f t="shared" si="15"/>
        <v>0</v>
      </c>
      <c r="AB76" s="329">
        <f t="shared" si="15"/>
        <v>0</v>
      </c>
      <c r="AC76" s="329">
        <f t="shared" si="15"/>
        <v>48.066711217553774</v>
      </c>
      <c r="AD76" s="329">
        <f t="shared" si="15"/>
        <v>136.54200831083281</v>
      </c>
    </row>
    <row r="77" spans="3:30" ht="14.25" customHeight="1" x14ac:dyDescent="0.2">
      <c r="C77" s="8" t="str">
        <v>Ethiopia</v>
      </c>
      <c r="D77" s="8" t="str">
        <v>Sub-Saharan Africa</v>
      </c>
      <c r="E77" s="13" t="s">
        <v>586</v>
      </c>
      <c r="F77" s="124" t="str">
        <f t="shared" si="3"/>
        <v>Sub-Saharan Africa_Low income</v>
      </c>
      <c r="G77" s="329">
        <f t="shared" si="14"/>
        <v>23.309971460536438</v>
      </c>
      <c r="H77" s="329">
        <f t="shared" si="14"/>
        <v>136.54200831083281</v>
      </c>
      <c r="I77" s="329">
        <f t="shared" si="14"/>
        <v>48.066711217553774</v>
      </c>
      <c r="J77" s="329">
        <f t="shared" si="14"/>
        <v>0.38963996426925313</v>
      </c>
      <c r="K77" s="329">
        <f t="shared" si="14"/>
        <v>136.54200831083281</v>
      </c>
      <c r="L77" s="329">
        <f t="shared" si="14"/>
        <v>48.066711217553774</v>
      </c>
      <c r="M77" s="329">
        <f t="shared" si="14"/>
        <v>386.36066988979189</v>
      </c>
      <c r="N77" s="329">
        <f t="shared" si="14"/>
        <v>3.0069383810950008</v>
      </c>
      <c r="O77" s="329">
        <f t="shared" si="14"/>
        <v>6.2955859660608509</v>
      </c>
      <c r="P77" s="329">
        <f t="shared" si="14"/>
        <v>4.9289279581529488</v>
      </c>
      <c r="Q77" s="329">
        <f t="shared" si="15"/>
        <v>124.01862912013361</v>
      </c>
      <c r="R77" s="329">
        <f t="shared" si="15"/>
        <v>3.0069383810950008</v>
      </c>
      <c r="S77" s="329">
        <f t="shared" si="15"/>
        <v>6.2955859660608509</v>
      </c>
      <c r="T77" s="329">
        <f t="shared" si="15"/>
        <v>4.9289279581529488</v>
      </c>
      <c r="U77" s="329">
        <f t="shared" si="15"/>
        <v>0</v>
      </c>
      <c r="V77" s="329">
        <f t="shared" si="15"/>
        <v>6.2955859660608509</v>
      </c>
      <c r="W77" s="329">
        <f t="shared" si="15"/>
        <v>4.9289279581529488</v>
      </c>
      <c r="X77" s="329">
        <f t="shared" si="15"/>
        <v>3.0069383810950008</v>
      </c>
      <c r="Y77" s="329">
        <f t="shared" si="15"/>
        <v>386.36066988979189</v>
      </c>
      <c r="Z77" s="329">
        <f t="shared" si="15"/>
        <v>0.38963996426925313</v>
      </c>
      <c r="AA77" s="329">
        <f t="shared" si="15"/>
        <v>0</v>
      </c>
      <c r="AB77" s="329">
        <f t="shared" si="15"/>
        <v>0</v>
      </c>
      <c r="AC77" s="329">
        <f t="shared" si="15"/>
        <v>48.066711217553774</v>
      </c>
      <c r="AD77" s="329">
        <f t="shared" si="15"/>
        <v>136.54200831083281</v>
      </c>
    </row>
    <row r="78" spans="3:30" ht="14.25" customHeight="1" x14ac:dyDescent="0.2">
      <c r="C78" s="8" t="str">
        <v>Faroe Islands</v>
      </c>
      <c r="D78" s="8" t="str">
        <v>Europe &amp; Central Asia</v>
      </c>
      <c r="E78" s="13" t="s">
        <v>579</v>
      </c>
      <c r="F78" s="124" t="str">
        <f t="shared" ref="F78:F141" si="16">D78&amp;"_"&amp;E78</f>
        <v>Europe &amp; Central Asia_High income</v>
      </c>
      <c r="G78" s="329">
        <f t="shared" si="14"/>
        <v>32.401299306692998</v>
      </c>
      <c r="H78" s="329">
        <f t="shared" si="14"/>
        <v>185.85127347327975</v>
      </c>
      <c r="I78" s="329">
        <f t="shared" si="14"/>
        <v>371.75902354309056</v>
      </c>
      <c r="J78" s="329">
        <f t="shared" si="14"/>
        <v>0.53910505368023443</v>
      </c>
      <c r="K78" s="329">
        <f t="shared" si="14"/>
        <v>185.85127347327975</v>
      </c>
      <c r="L78" s="329">
        <f t="shared" si="14"/>
        <v>371.75902354309056</v>
      </c>
      <c r="M78" s="329">
        <f t="shared" si="14"/>
        <v>385.53377512854041</v>
      </c>
      <c r="N78" s="329">
        <f t="shared" si="14"/>
        <v>25.640462448793837</v>
      </c>
      <c r="O78" s="329">
        <f t="shared" si="14"/>
        <v>3.6681185273460932</v>
      </c>
      <c r="P78" s="329">
        <f t="shared" si="14"/>
        <v>4.9289279581529506</v>
      </c>
      <c r="Q78" s="329">
        <f t="shared" si="15"/>
        <v>97.069054585259593</v>
      </c>
      <c r="R78" s="329">
        <f t="shared" si="15"/>
        <v>25.640462448793837</v>
      </c>
      <c r="S78" s="329">
        <f t="shared" si="15"/>
        <v>3.6681185273460932</v>
      </c>
      <c r="T78" s="329">
        <f t="shared" si="15"/>
        <v>4.9289279581529506</v>
      </c>
      <c r="U78" s="329">
        <f t="shared" si="15"/>
        <v>32.401299306692998</v>
      </c>
      <c r="V78" s="329">
        <f t="shared" si="15"/>
        <v>0</v>
      </c>
      <c r="W78" s="329">
        <f t="shared" si="15"/>
        <v>0</v>
      </c>
      <c r="X78" s="329">
        <f t="shared" si="15"/>
        <v>371.75902354309056</v>
      </c>
      <c r="Y78" s="329">
        <f t="shared" si="15"/>
        <v>185.85127347327975</v>
      </c>
      <c r="Z78" s="329">
        <f t="shared" si="15"/>
        <v>0.53910505368023443</v>
      </c>
      <c r="AA78" s="329">
        <f t="shared" si="15"/>
        <v>0</v>
      </c>
      <c r="AB78" s="329">
        <f t="shared" si="15"/>
        <v>0</v>
      </c>
      <c r="AC78" s="329">
        <f t="shared" si="15"/>
        <v>371.75902354309056</v>
      </c>
      <c r="AD78" s="329">
        <f t="shared" si="15"/>
        <v>185.85127347327975</v>
      </c>
    </row>
    <row r="79" spans="3:30" ht="14.25" customHeight="1" x14ac:dyDescent="0.2">
      <c r="C79" s="8" t="str">
        <v>Fiji</v>
      </c>
      <c r="D79" s="8" t="str">
        <v>East Asia &amp; Pacific</v>
      </c>
      <c r="E79" s="13" t="s">
        <v>578</v>
      </c>
      <c r="F79" s="124" t="str">
        <f t="shared" si="16"/>
        <v>East Asia &amp; Pacific_Upper middle income</v>
      </c>
      <c r="G79" s="329">
        <f t="shared" si="14"/>
        <v>34.298020437149731</v>
      </c>
      <c r="H79" s="329">
        <f t="shared" si="14"/>
        <v>181.37962313864892</v>
      </c>
      <c r="I79" s="329">
        <f t="shared" si="14"/>
        <v>27.549263552056701</v>
      </c>
      <c r="J79" s="329">
        <f t="shared" si="14"/>
        <v>0.56631726229035517</v>
      </c>
      <c r="K79" s="329">
        <f t="shared" si="14"/>
        <v>181.37962313864892</v>
      </c>
      <c r="L79" s="329">
        <f t="shared" si="14"/>
        <v>27.549263552056701</v>
      </c>
      <c r="M79" s="329">
        <f t="shared" si="14"/>
        <v>374.08105300516564</v>
      </c>
      <c r="N79" s="329">
        <f t="shared" si="14"/>
        <v>17.323676083160976</v>
      </c>
      <c r="O79" s="329">
        <f t="shared" si="14"/>
        <v>4.3699928165963389</v>
      </c>
      <c r="P79" s="329">
        <f t="shared" si="14"/>
        <v>4.9289279581529488</v>
      </c>
      <c r="Q79" s="329">
        <f t="shared" si="15"/>
        <v>80.512983968132318</v>
      </c>
      <c r="R79" s="329">
        <f t="shared" si="15"/>
        <v>17.323676083160976</v>
      </c>
      <c r="S79" s="329">
        <f t="shared" si="15"/>
        <v>4.3699928165963389</v>
      </c>
      <c r="T79" s="329">
        <f t="shared" si="15"/>
        <v>4.9289279581529488</v>
      </c>
      <c r="U79" s="329">
        <f t="shared" si="15"/>
        <v>0</v>
      </c>
      <c r="V79" s="329">
        <f t="shared" si="15"/>
        <v>4.3699928165963389</v>
      </c>
      <c r="W79" s="329">
        <f t="shared" si="15"/>
        <v>4.9289279581529488</v>
      </c>
      <c r="X79" s="329">
        <f t="shared" si="15"/>
        <v>17.323676083160976</v>
      </c>
      <c r="Y79" s="329">
        <f t="shared" si="15"/>
        <v>374.08105300516564</v>
      </c>
      <c r="Z79" s="329">
        <f t="shared" si="15"/>
        <v>0.56631726229035517</v>
      </c>
      <c r="AA79" s="329">
        <f t="shared" si="15"/>
        <v>0</v>
      </c>
      <c r="AB79" s="329">
        <f t="shared" si="15"/>
        <v>0</v>
      </c>
      <c r="AC79" s="329">
        <f t="shared" si="15"/>
        <v>27.549263552056701</v>
      </c>
      <c r="AD79" s="329">
        <f t="shared" si="15"/>
        <v>181.37962313864892</v>
      </c>
    </row>
    <row r="80" spans="3:30" ht="14.25" customHeight="1" x14ac:dyDescent="0.2">
      <c r="C80" s="8" t="str">
        <v>Finland</v>
      </c>
      <c r="D80" s="8" t="str">
        <v>Europe &amp; Central Asia</v>
      </c>
      <c r="E80" s="13" t="s">
        <v>579</v>
      </c>
      <c r="F80" s="124" t="str">
        <f t="shared" si="16"/>
        <v>Europe &amp; Central Asia_High income</v>
      </c>
      <c r="G80" s="329">
        <f t="shared" si="14"/>
        <v>4.7809890948482172</v>
      </c>
      <c r="H80" s="329">
        <f t="shared" si="14"/>
        <v>187.00281170809052</v>
      </c>
      <c r="I80" s="329">
        <f t="shared" si="14"/>
        <v>856.78539801614158</v>
      </c>
      <c r="J80" s="329">
        <f t="shared" si="14"/>
        <v>7.7112727336261566E-2</v>
      </c>
      <c r="K80" s="329">
        <f t="shared" si="14"/>
        <v>187.00281170809052</v>
      </c>
      <c r="L80" s="329">
        <f t="shared" si="14"/>
        <v>856.78539801614158</v>
      </c>
      <c r="M80" s="329">
        <f t="shared" si="14"/>
        <v>387.28226294343227</v>
      </c>
      <c r="N80" s="329">
        <f t="shared" si="14"/>
        <v>4.9115271331125614</v>
      </c>
      <c r="O80" s="329">
        <f t="shared" si="14"/>
        <v>3.0632758540748468</v>
      </c>
      <c r="P80" s="329">
        <f t="shared" si="14"/>
        <v>4.9289279581529488</v>
      </c>
      <c r="Q80" s="329">
        <f t="shared" si="15"/>
        <v>113.73191406456775</v>
      </c>
      <c r="R80" s="329">
        <f t="shared" si="15"/>
        <v>4.9115271331125614</v>
      </c>
      <c r="S80" s="329">
        <f t="shared" si="15"/>
        <v>3.0632758540748468</v>
      </c>
      <c r="T80" s="329">
        <f t="shared" si="15"/>
        <v>4.9289279581529488</v>
      </c>
      <c r="U80" s="329">
        <f t="shared" si="15"/>
        <v>4.7809890948482172</v>
      </c>
      <c r="V80" s="329">
        <f t="shared" si="15"/>
        <v>0</v>
      </c>
      <c r="W80" s="329">
        <f t="shared" si="15"/>
        <v>0</v>
      </c>
      <c r="X80" s="329">
        <f t="shared" si="15"/>
        <v>856.78539801614158</v>
      </c>
      <c r="Y80" s="329">
        <f t="shared" si="15"/>
        <v>187.00281170809052</v>
      </c>
      <c r="Z80" s="329">
        <f t="shared" si="15"/>
        <v>7.7112727336261566E-2</v>
      </c>
      <c r="AA80" s="329">
        <f t="shared" si="15"/>
        <v>0</v>
      </c>
      <c r="AB80" s="329">
        <f t="shared" si="15"/>
        <v>0</v>
      </c>
      <c r="AC80" s="329">
        <f t="shared" si="15"/>
        <v>856.78539801614158</v>
      </c>
      <c r="AD80" s="329">
        <f t="shared" si="15"/>
        <v>187.00281170809052</v>
      </c>
    </row>
    <row r="81" spans="3:30" ht="14.25" customHeight="1" x14ac:dyDescent="0.2">
      <c r="C81" s="8" t="str">
        <v>France</v>
      </c>
      <c r="D81" s="8" t="str">
        <v>Europe &amp; Central Asia</v>
      </c>
      <c r="E81" s="13" t="s">
        <v>579</v>
      </c>
      <c r="F81" s="124" t="str">
        <f t="shared" si="16"/>
        <v>Europe &amp; Central Asia_High income</v>
      </c>
      <c r="G81" s="329">
        <f t="shared" si="14"/>
        <v>7.6628161416315876</v>
      </c>
      <c r="H81" s="329">
        <f t="shared" si="14"/>
        <v>187.00281170809052</v>
      </c>
      <c r="I81" s="329">
        <f t="shared" si="14"/>
        <v>123.01730807765232</v>
      </c>
      <c r="J81" s="329">
        <f t="shared" si="14"/>
        <v>0.13012329297110242</v>
      </c>
      <c r="K81" s="329">
        <f t="shared" si="14"/>
        <v>187.00281170809052</v>
      </c>
      <c r="L81" s="329">
        <f t="shared" si="14"/>
        <v>123.01730807765232</v>
      </c>
      <c r="M81" s="329">
        <f t="shared" si="14"/>
        <v>386.47990188601875</v>
      </c>
      <c r="N81" s="329">
        <f t="shared" si="14"/>
        <v>33.378829844420217</v>
      </c>
      <c r="O81" s="329">
        <f t="shared" si="14"/>
        <v>1.0012756480094129</v>
      </c>
      <c r="P81" s="329">
        <f t="shared" si="14"/>
        <v>4.9289279581529488</v>
      </c>
      <c r="Q81" s="329">
        <f t="shared" si="15"/>
        <v>121.81591210598123</v>
      </c>
      <c r="R81" s="329">
        <f t="shared" si="15"/>
        <v>33.378829844420217</v>
      </c>
      <c r="S81" s="329">
        <f t="shared" si="15"/>
        <v>1.0012756480094129</v>
      </c>
      <c r="T81" s="329">
        <f t="shared" si="15"/>
        <v>4.9289279581529488</v>
      </c>
      <c r="U81" s="329">
        <f t="shared" si="15"/>
        <v>0</v>
      </c>
      <c r="V81" s="329">
        <f t="shared" si="15"/>
        <v>1.0012756480094129</v>
      </c>
      <c r="W81" s="329">
        <f t="shared" si="15"/>
        <v>4.9289279581529488</v>
      </c>
      <c r="X81" s="329">
        <f t="shared" si="15"/>
        <v>33.378829844420217</v>
      </c>
      <c r="Y81" s="329">
        <f t="shared" si="15"/>
        <v>386.47990188601875</v>
      </c>
      <c r="Z81" s="329">
        <f t="shared" si="15"/>
        <v>0.13012329297110242</v>
      </c>
      <c r="AA81" s="329">
        <f t="shared" si="15"/>
        <v>0</v>
      </c>
      <c r="AB81" s="329">
        <f t="shared" si="15"/>
        <v>0</v>
      </c>
      <c r="AC81" s="329">
        <f t="shared" si="15"/>
        <v>123.01730807765232</v>
      </c>
      <c r="AD81" s="329">
        <f t="shared" si="15"/>
        <v>187.00281170809052</v>
      </c>
    </row>
    <row r="82" spans="3:30" ht="14.25" customHeight="1" x14ac:dyDescent="0.2">
      <c r="C82" s="8" t="str">
        <v>French Polynesia</v>
      </c>
      <c r="D82" s="8" t="str">
        <v>East Asia &amp; Pacific</v>
      </c>
      <c r="E82" s="13" t="s">
        <v>579</v>
      </c>
      <c r="F82" s="124" t="str">
        <f t="shared" si="16"/>
        <v>East Asia &amp; Pacific_High income</v>
      </c>
      <c r="G82" s="329">
        <f t="shared" si="14"/>
        <v>44.443145199894367</v>
      </c>
      <c r="H82" s="329">
        <f t="shared" si="14"/>
        <v>183.8442475693883</v>
      </c>
      <c r="I82" s="329">
        <f t="shared" si="14"/>
        <v>105.92574003437052</v>
      </c>
      <c r="J82" s="329">
        <f t="shared" si="14"/>
        <v>0.74702806793375442</v>
      </c>
      <c r="K82" s="329">
        <f t="shared" si="14"/>
        <v>183.8442475693883</v>
      </c>
      <c r="L82" s="329">
        <f t="shared" si="14"/>
        <v>105.92574003437052</v>
      </c>
      <c r="M82" s="329">
        <f t="shared" si="14"/>
        <v>369.66231455327676</v>
      </c>
      <c r="N82" s="329">
        <f t="shared" si="14"/>
        <v>87.076870251981461</v>
      </c>
      <c r="O82" s="329">
        <f t="shared" si="14"/>
        <v>2.6357425797782517</v>
      </c>
      <c r="P82" s="329">
        <f t="shared" si="14"/>
        <v>4.9289279581529488</v>
      </c>
      <c r="Q82" s="329">
        <f t="shared" si="15"/>
        <v>113.50732455327682</v>
      </c>
      <c r="R82" s="329">
        <f t="shared" si="15"/>
        <v>87.076870251981461</v>
      </c>
      <c r="S82" s="329">
        <f t="shared" si="15"/>
        <v>2.6357425797782517</v>
      </c>
      <c r="T82" s="329">
        <f t="shared" si="15"/>
        <v>4.9289279581529488</v>
      </c>
      <c r="U82" s="329">
        <f t="shared" si="15"/>
        <v>0</v>
      </c>
      <c r="V82" s="329">
        <f t="shared" si="15"/>
        <v>2.6357425797782517</v>
      </c>
      <c r="W82" s="329">
        <f t="shared" si="15"/>
        <v>4.9289279581529488</v>
      </c>
      <c r="X82" s="329">
        <f t="shared" si="15"/>
        <v>87.076870251981461</v>
      </c>
      <c r="Y82" s="329">
        <f t="shared" si="15"/>
        <v>369.66231455327676</v>
      </c>
      <c r="Z82" s="329">
        <f t="shared" si="15"/>
        <v>0.74702806793375442</v>
      </c>
      <c r="AA82" s="329">
        <f t="shared" si="15"/>
        <v>0</v>
      </c>
      <c r="AB82" s="329">
        <f t="shared" si="15"/>
        <v>0</v>
      </c>
      <c r="AC82" s="329">
        <f t="shared" si="15"/>
        <v>105.92574003437052</v>
      </c>
      <c r="AD82" s="329">
        <f t="shared" si="15"/>
        <v>183.8442475693883</v>
      </c>
    </row>
    <row r="83" spans="3:30" ht="14.25" customHeight="1" x14ac:dyDescent="0.2">
      <c r="C83" s="8" t="str">
        <v>Gabon</v>
      </c>
      <c r="D83" s="8" t="str">
        <v>Sub-Saharan Africa</v>
      </c>
      <c r="E83" s="13" t="s">
        <v>578</v>
      </c>
      <c r="F83" s="124" t="str">
        <f t="shared" si="16"/>
        <v>Sub-Saharan Africa_Upper middle income</v>
      </c>
      <c r="G83" s="329">
        <f t="shared" ref="G83:P92" si="17">IFERROR(IF(INDEX(Interim_Coefficients,MATCH($C83,Interim_Countries,0),MATCH(G$12,Interim_type,0))="No value",INDEX(Interim_CombinedCoefficients,MATCH($F83,Interim_CombinedTag,0),MATCH(G$12,Interim_CombinedType,0)),INDEX(Interim_Coefficients,MATCH($C83,Interim_Countries,0),MATCH(G$12,Interim_type,0))),INDEX(Interim_CombinedCoefficients,MATCH($F83,Interim_CombinedTag,0),MATCH(G$12,Interim_CombinedType,0)))</f>
        <v>28.925537175275039</v>
      </c>
      <c r="H83" s="329">
        <f t="shared" si="17"/>
        <v>96.257196814715272</v>
      </c>
      <c r="I83" s="329">
        <f t="shared" si="17"/>
        <v>20.369852633192828</v>
      </c>
      <c r="J83" s="329">
        <f t="shared" si="17"/>
        <v>0.48750905351587148</v>
      </c>
      <c r="K83" s="329">
        <f t="shared" si="17"/>
        <v>96.257196814715272</v>
      </c>
      <c r="L83" s="329">
        <f t="shared" si="17"/>
        <v>20.369852633192828</v>
      </c>
      <c r="M83" s="329">
        <f t="shared" si="17"/>
        <v>387.80522999999999</v>
      </c>
      <c r="N83" s="329">
        <f t="shared" si="17"/>
        <v>0</v>
      </c>
      <c r="O83" s="329">
        <f t="shared" si="17"/>
        <v>1.3825221310123885</v>
      </c>
      <c r="P83" s="329">
        <f t="shared" si="17"/>
        <v>4.9289279581529488</v>
      </c>
      <c r="Q83" s="329">
        <f t="shared" ref="Q83:AD92" si="18">IFERROR(IF(INDEX(Interim_Coefficients,MATCH($C83,Interim_Countries,0),MATCH(Q$12,Interim_type,0))="No value",INDEX(Interim_CombinedCoefficients,MATCH($F83,Interim_CombinedTag,0),MATCH(Q$12,Interim_CombinedType,0)),INDEX(Interim_Coefficients,MATCH($C83,Interim_Countries,0),MATCH(Q$12,Interim_type,0))),INDEX(Interim_CombinedCoefficients,MATCH($F83,Interim_CombinedTag,0),MATCH(Q$12,Interim_CombinedType,0)))</f>
        <v>131.65024000000003</v>
      </c>
      <c r="R83" s="329">
        <f t="shared" si="18"/>
        <v>0</v>
      </c>
      <c r="S83" s="329">
        <f t="shared" si="18"/>
        <v>1.3825221310123885</v>
      </c>
      <c r="T83" s="329">
        <f t="shared" si="18"/>
        <v>4.9289279581529488</v>
      </c>
      <c r="U83" s="329">
        <f t="shared" si="18"/>
        <v>0</v>
      </c>
      <c r="V83" s="329">
        <f t="shared" si="18"/>
        <v>1.3825221310123885</v>
      </c>
      <c r="W83" s="329">
        <f t="shared" si="18"/>
        <v>4.9289279581529488</v>
      </c>
      <c r="X83" s="329">
        <f t="shared" si="18"/>
        <v>0</v>
      </c>
      <c r="Y83" s="329">
        <f t="shared" si="18"/>
        <v>387.80522999999999</v>
      </c>
      <c r="Z83" s="329">
        <f t="shared" si="18"/>
        <v>0</v>
      </c>
      <c r="AA83" s="329">
        <f t="shared" si="18"/>
        <v>1.3825221310123885</v>
      </c>
      <c r="AB83" s="329">
        <f t="shared" si="18"/>
        <v>4.9289279581529488</v>
      </c>
      <c r="AC83" s="329">
        <f t="shared" si="18"/>
        <v>0</v>
      </c>
      <c r="AD83" s="329">
        <f t="shared" si="18"/>
        <v>131.65024000000003</v>
      </c>
    </row>
    <row r="84" spans="3:30" ht="14.25" customHeight="1" x14ac:dyDescent="0.2">
      <c r="C84" s="8" t="str">
        <v>Gambia, The</v>
      </c>
      <c r="D84" s="8" t="str">
        <v>Sub-Saharan Africa</v>
      </c>
      <c r="E84" s="13" t="s">
        <v>586</v>
      </c>
      <c r="F84" s="124" t="str">
        <f t="shared" si="16"/>
        <v>Sub-Saharan Africa_Low income</v>
      </c>
      <c r="G84" s="329">
        <f t="shared" si="17"/>
        <v>23.309971460536438</v>
      </c>
      <c r="H84" s="329">
        <f t="shared" si="17"/>
        <v>136.54200831083281</v>
      </c>
      <c r="I84" s="329">
        <f t="shared" si="17"/>
        <v>48.066711217553774</v>
      </c>
      <c r="J84" s="329">
        <f t="shared" si="17"/>
        <v>0.38963996426925313</v>
      </c>
      <c r="K84" s="329">
        <f t="shared" si="17"/>
        <v>136.54200831083281</v>
      </c>
      <c r="L84" s="329">
        <f t="shared" si="17"/>
        <v>48.066711217553774</v>
      </c>
      <c r="M84" s="329">
        <f t="shared" si="17"/>
        <v>386.36066988979189</v>
      </c>
      <c r="N84" s="329">
        <f t="shared" si="17"/>
        <v>3.0069383810950008</v>
      </c>
      <c r="O84" s="329">
        <f t="shared" si="17"/>
        <v>6.2955859660608509</v>
      </c>
      <c r="P84" s="329">
        <f t="shared" si="17"/>
        <v>4.9289279581529488</v>
      </c>
      <c r="Q84" s="329">
        <f t="shared" si="18"/>
        <v>124.01862912013361</v>
      </c>
      <c r="R84" s="329">
        <f t="shared" si="18"/>
        <v>3.0069383810950008</v>
      </c>
      <c r="S84" s="329">
        <f t="shared" si="18"/>
        <v>6.2955859660608509</v>
      </c>
      <c r="T84" s="329">
        <f t="shared" si="18"/>
        <v>4.9289279581529488</v>
      </c>
      <c r="U84" s="329">
        <f t="shared" si="18"/>
        <v>0</v>
      </c>
      <c r="V84" s="329">
        <f t="shared" si="18"/>
        <v>6.2955859660608509</v>
      </c>
      <c r="W84" s="329">
        <f t="shared" si="18"/>
        <v>4.9289279581529488</v>
      </c>
      <c r="X84" s="329">
        <f t="shared" si="18"/>
        <v>3.0069383810950008</v>
      </c>
      <c r="Y84" s="329">
        <f t="shared" si="18"/>
        <v>386.36066988979189</v>
      </c>
      <c r="Z84" s="329">
        <f t="shared" si="18"/>
        <v>0.38963996426925313</v>
      </c>
      <c r="AA84" s="329">
        <f t="shared" si="18"/>
        <v>0</v>
      </c>
      <c r="AB84" s="329">
        <f t="shared" si="18"/>
        <v>0</v>
      </c>
      <c r="AC84" s="329">
        <f t="shared" si="18"/>
        <v>48.066711217553774</v>
      </c>
      <c r="AD84" s="329">
        <f t="shared" si="18"/>
        <v>136.54200831083281</v>
      </c>
    </row>
    <row r="85" spans="3:30" ht="14.25" customHeight="1" x14ac:dyDescent="0.2">
      <c r="C85" s="8" t="str">
        <v>Georgia</v>
      </c>
      <c r="D85" s="8" t="str">
        <v>Europe &amp; Central Asia</v>
      </c>
      <c r="E85" s="13" t="s">
        <v>578</v>
      </c>
      <c r="F85" s="124" t="str">
        <f t="shared" si="16"/>
        <v>Europe &amp; Central Asia_Upper middle income</v>
      </c>
      <c r="G85" s="329">
        <f t="shared" si="17"/>
        <v>19.63003739407586</v>
      </c>
      <c r="H85" s="329">
        <f t="shared" si="17"/>
        <v>187.00281170809052</v>
      </c>
      <c r="I85" s="329">
        <f t="shared" si="17"/>
        <v>152.66999372239431</v>
      </c>
      <c r="J85" s="329">
        <f t="shared" si="17"/>
        <v>0.33005732005694194</v>
      </c>
      <c r="K85" s="329">
        <f t="shared" si="17"/>
        <v>187.00281170809052</v>
      </c>
      <c r="L85" s="329">
        <f t="shared" si="17"/>
        <v>152.66999372239431</v>
      </c>
      <c r="M85" s="329">
        <f t="shared" si="17"/>
        <v>380.27773922168274</v>
      </c>
      <c r="N85" s="329">
        <f t="shared" si="17"/>
        <v>4.5928298109575465</v>
      </c>
      <c r="O85" s="329">
        <f t="shared" si="17"/>
        <v>3.6994518758026187</v>
      </c>
      <c r="P85" s="329">
        <f t="shared" si="17"/>
        <v>4.9289279581529488</v>
      </c>
      <c r="Q85" s="329">
        <f t="shared" si="18"/>
        <v>94.874795267611404</v>
      </c>
      <c r="R85" s="329">
        <f t="shared" si="18"/>
        <v>4.5928298109575465</v>
      </c>
      <c r="S85" s="329">
        <f t="shared" si="18"/>
        <v>3.6994518758026187</v>
      </c>
      <c r="T85" s="329">
        <f t="shared" si="18"/>
        <v>4.9289279581529488</v>
      </c>
      <c r="U85" s="329">
        <f t="shared" si="18"/>
        <v>0</v>
      </c>
      <c r="V85" s="329">
        <f t="shared" si="18"/>
        <v>3.6994518758026187</v>
      </c>
      <c r="W85" s="329">
        <f t="shared" si="18"/>
        <v>4.9289279581529488</v>
      </c>
      <c r="X85" s="329">
        <f t="shared" si="18"/>
        <v>4.5928298109575465</v>
      </c>
      <c r="Y85" s="329">
        <f t="shared" si="18"/>
        <v>380.27773922168274</v>
      </c>
      <c r="Z85" s="329">
        <f t="shared" si="18"/>
        <v>0.33005732005694194</v>
      </c>
      <c r="AA85" s="329">
        <f t="shared" si="18"/>
        <v>0</v>
      </c>
      <c r="AB85" s="329">
        <f t="shared" si="18"/>
        <v>0</v>
      </c>
      <c r="AC85" s="329">
        <f t="shared" si="18"/>
        <v>152.66999372239431</v>
      </c>
      <c r="AD85" s="329">
        <f t="shared" si="18"/>
        <v>187.00281170809052</v>
      </c>
    </row>
    <row r="86" spans="3:30" ht="14.25" customHeight="1" x14ac:dyDescent="0.2">
      <c r="C86" s="8" t="str">
        <v>Germany</v>
      </c>
      <c r="D86" s="8" t="str">
        <v>Europe &amp; Central Asia</v>
      </c>
      <c r="E86" s="13" t="s">
        <v>579</v>
      </c>
      <c r="F86" s="124" t="str">
        <f t="shared" si="16"/>
        <v>Europe &amp; Central Asia_High income</v>
      </c>
      <c r="G86" s="329">
        <f t="shared" si="17"/>
        <v>8.959450425139222</v>
      </c>
      <c r="H86" s="329">
        <f t="shared" si="17"/>
        <v>187.00281170809052</v>
      </c>
      <c r="I86" s="329">
        <f t="shared" si="17"/>
        <v>19.921034359002203</v>
      </c>
      <c r="J86" s="329">
        <f t="shared" si="17"/>
        <v>0.15214161099293019</v>
      </c>
      <c r="K86" s="329">
        <f t="shared" si="17"/>
        <v>187.00281170809052</v>
      </c>
      <c r="L86" s="329">
        <f t="shared" si="17"/>
        <v>19.921034359002203</v>
      </c>
      <c r="M86" s="329">
        <f t="shared" si="17"/>
        <v>383.89209214826758</v>
      </c>
      <c r="N86" s="329">
        <f t="shared" si="17"/>
        <v>73.549514272475037</v>
      </c>
      <c r="O86" s="329">
        <f t="shared" si="17"/>
        <v>3.0978954937676075</v>
      </c>
      <c r="P86" s="329">
        <f t="shared" si="17"/>
        <v>4.9289279581529488</v>
      </c>
      <c r="Q86" s="329">
        <f t="shared" si="18"/>
        <v>76.083245763732407</v>
      </c>
      <c r="R86" s="329">
        <f t="shared" si="18"/>
        <v>73.549514272475037</v>
      </c>
      <c r="S86" s="329">
        <f t="shared" si="18"/>
        <v>3.0978954937676075</v>
      </c>
      <c r="T86" s="329">
        <f t="shared" si="18"/>
        <v>4.9289279581529488</v>
      </c>
      <c r="U86" s="329">
        <f t="shared" si="18"/>
        <v>0</v>
      </c>
      <c r="V86" s="329">
        <f t="shared" si="18"/>
        <v>3.0978954937676075</v>
      </c>
      <c r="W86" s="329">
        <f t="shared" si="18"/>
        <v>4.9289279581529488</v>
      </c>
      <c r="X86" s="329">
        <f t="shared" si="18"/>
        <v>73.549514272475037</v>
      </c>
      <c r="Y86" s="329">
        <f t="shared" si="18"/>
        <v>383.89209214826758</v>
      </c>
      <c r="Z86" s="329">
        <f t="shared" si="18"/>
        <v>0.15214161099293019</v>
      </c>
      <c r="AA86" s="329">
        <f t="shared" si="18"/>
        <v>0</v>
      </c>
      <c r="AB86" s="329">
        <f t="shared" si="18"/>
        <v>0</v>
      </c>
      <c r="AC86" s="329">
        <f t="shared" si="18"/>
        <v>19.921034359002203</v>
      </c>
      <c r="AD86" s="329">
        <f t="shared" si="18"/>
        <v>187.00281170809052</v>
      </c>
    </row>
    <row r="87" spans="3:30" ht="14.25" customHeight="1" x14ac:dyDescent="0.2">
      <c r="C87" s="8" t="str">
        <v>Ghana</v>
      </c>
      <c r="D87" s="8" t="str">
        <v>Sub-Saharan Africa</v>
      </c>
      <c r="E87" s="13" t="s">
        <v>580</v>
      </c>
      <c r="F87" s="124" t="str">
        <f t="shared" si="16"/>
        <v>Sub-Saharan Africa_Lower middle income</v>
      </c>
      <c r="G87" s="329">
        <f t="shared" si="17"/>
        <v>23.309971460536438</v>
      </c>
      <c r="H87" s="329">
        <f t="shared" si="17"/>
        <v>136.54200831083281</v>
      </c>
      <c r="I87" s="329">
        <f t="shared" si="17"/>
        <v>48.066711217553774</v>
      </c>
      <c r="J87" s="329">
        <f t="shared" si="17"/>
        <v>0.38963996426925313</v>
      </c>
      <c r="K87" s="329">
        <f t="shared" si="17"/>
        <v>136.54200831083281</v>
      </c>
      <c r="L87" s="329">
        <f t="shared" si="17"/>
        <v>48.066711217553774</v>
      </c>
      <c r="M87" s="329">
        <f t="shared" si="17"/>
        <v>386.36066988979189</v>
      </c>
      <c r="N87" s="329">
        <f t="shared" si="17"/>
        <v>3.0069383810950008</v>
      </c>
      <c r="O87" s="329">
        <f t="shared" si="17"/>
        <v>6.2955859660608509</v>
      </c>
      <c r="P87" s="329">
        <f t="shared" si="17"/>
        <v>4.9289279581529488</v>
      </c>
      <c r="Q87" s="329">
        <f t="shared" si="18"/>
        <v>124.01862912013361</v>
      </c>
      <c r="R87" s="329">
        <f t="shared" si="18"/>
        <v>3.0069383810950008</v>
      </c>
      <c r="S87" s="329">
        <f t="shared" si="18"/>
        <v>6.2955859660608509</v>
      </c>
      <c r="T87" s="329">
        <f t="shared" si="18"/>
        <v>4.9289279581529488</v>
      </c>
      <c r="U87" s="329">
        <f t="shared" si="18"/>
        <v>0</v>
      </c>
      <c r="V87" s="329">
        <f t="shared" si="18"/>
        <v>6.2955859660608509</v>
      </c>
      <c r="W87" s="329">
        <f t="shared" si="18"/>
        <v>4.9289279581529488</v>
      </c>
      <c r="X87" s="329">
        <f t="shared" si="18"/>
        <v>3.0069383810950008</v>
      </c>
      <c r="Y87" s="329">
        <f t="shared" si="18"/>
        <v>386.36066988979189</v>
      </c>
      <c r="Z87" s="329">
        <f t="shared" si="18"/>
        <v>0.38963996426925313</v>
      </c>
      <c r="AA87" s="329">
        <f t="shared" si="18"/>
        <v>0</v>
      </c>
      <c r="AB87" s="329">
        <f t="shared" si="18"/>
        <v>0</v>
      </c>
      <c r="AC87" s="329">
        <f t="shared" si="18"/>
        <v>48.066711217553774</v>
      </c>
      <c r="AD87" s="329">
        <f t="shared" si="18"/>
        <v>136.54200831083281</v>
      </c>
    </row>
    <row r="88" spans="3:30" ht="14.25" customHeight="1" x14ac:dyDescent="0.2">
      <c r="C88" s="8" t="str">
        <v>Gibraltar</v>
      </c>
      <c r="D88" s="8" t="str">
        <v>Europe &amp; Central Asia</v>
      </c>
      <c r="E88" s="13" t="s">
        <v>579</v>
      </c>
      <c r="F88" s="124" t="str">
        <f t="shared" si="16"/>
        <v>Europe &amp; Central Asia_High income</v>
      </c>
      <c r="G88" s="329">
        <f t="shared" si="17"/>
        <v>32.401299306692998</v>
      </c>
      <c r="H88" s="329">
        <f t="shared" si="17"/>
        <v>185.85127347327975</v>
      </c>
      <c r="I88" s="329">
        <f t="shared" si="17"/>
        <v>371.75902354309056</v>
      </c>
      <c r="J88" s="329">
        <f t="shared" si="17"/>
        <v>0.53910505368023443</v>
      </c>
      <c r="K88" s="329">
        <f t="shared" si="17"/>
        <v>185.85127347327975</v>
      </c>
      <c r="L88" s="329">
        <f t="shared" si="17"/>
        <v>371.75902354309056</v>
      </c>
      <c r="M88" s="329">
        <f t="shared" si="17"/>
        <v>385.53377512854041</v>
      </c>
      <c r="N88" s="329">
        <f t="shared" si="17"/>
        <v>25.640462448793837</v>
      </c>
      <c r="O88" s="329">
        <f t="shared" si="17"/>
        <v>3.6681185273460932</v>
      </c>
      <c r="P88" s="329">
        <f t="shared" si="17"/>
        <v>4.9289279581529506</v>
      </c>
      <c r="Q88" s="329">
        <f t="shared" si="18"/>
        <v>97.069054585259593</v>
      </c>
      <c r="R88" s="329">
        <f t="shared" si="18"/>
        <v>25.640462448793837</v>
      </c>
      <c r="S88" s="329">
        <f t="shared" si="18"/>
        <v>3.6681185273460932</v>
      </c>
      <c r="T88" s="329">
        <f t="shared" si="18"/>
        <v>4.9289279581529506</v>
      </c>
      <c r="U88" s="329">
        <f t="shared" si="18"/>
        <v>32.401299306692998</v>
      </c>
      <c r="V88" s="329">
        <f t="shared" si="18"/>
        <v>0</v>
      </c>
      <c r="W88" s="329">
        <f t="shared" si="18"/>
        <v>0</v>
      </c>
      <c r="X88" s="329">
        <f t="shared" si="18"/>
        <v>371.75902354309056</v>
      </c>
      <c r="Y88" s="329">
        <f t="shared" si="18"/>
        <v>185.85127347327975</v>
      </c>
      <c r="Z88" s="329">
        <f t="shared" si="18"/>
        <v>0.53910505368023443</v>
      </c>
      <c r="AA88" s="329">
        <f t="shared" si="18"/>
        <v>0</v>
      </c>
      <c r="AB88" s="329">
        <f t="shared" si="18"/>
        <v>0</v>
      </c>
      <c r="AC88" s="329">
        <f t="shared" si="18"/>
        <v>371.75902354309056</v>
      </c>
      <c r="AD88" s="329">
        <f t="shared" si="18"/>
        <v>185.85127347327975</v>
      </c>
    </row>
    <row r="89" spans="3:30" ht="14.25" customHeight="1" x14ac:dyDescent="0.2">
      <c r="C89" s="8" t="str">
        <v>Greece</v>
      </c>
      <c r="D89" s="8" t="str">
        <v>Europe &amp; Central Asia</v>
      </c>
      <c r="E89" s="13" t="s">
        <v>579</v>
      </c>
      <c r="F89" s="124" t="str">
        <f t="shared" si="16"/>
        <v>Europe &amp; Central Asia_High income</v>
      </c>
      <c r="G89" s="329">
        <f t="shared" si="17"/>
        <v>30.646849866171095</v>
      </c>
      <c r="H89" s="329">
        <f t="shared" si="17"/>
        <v>178.32133445217278</v>
      </c>
      <c r="I89" s="329">
        <f t="shared" si="17"/>
        <v>10.449559015227155</v>
      </c>
      <c r="J89" s="329">
        <f t="shared" si="17"/>
        <v>0.5165199415646814</v>
      </c>
      <c r="K89" s="329">
        <f t="shared" si="17"/>
        <v>178.32133445217278</v>
      </c>
      <c r="L89" s="329">
        <f t="shared" si="17"/>
        <v>10.449559015227155</v>
      </c>
      <c r="M89" s="329">
        <f t="shared" si="17"/>
        <v>384.15548500932306</v>
      </c>
      <c r="N89" s="329">
        <f t="shared" si="17"/>
        <v>12.30253314292732</v>
      </c>
      <c r="O89" s="329">
        <f t="shared" si="17"/>
        <v>4.2380325995413868</v>
      </c>
      <c r="P89" s="329">
        <f t="shared" si="17"/>
        <v>4.9289279581529488</v>
      </c>
      <c r="Q89" s="329">
        <f t="shared" si="18"/>
        <v>81.963343070676942</v>
      </c>
      <c r="R89" s="329">
        <f t="shared" si="18"/>
        <v>12.30253314292732</v>
      </c>
      <c r="S89" s="329">
        <f t="shared" si="18"/>
        <v>4.2380325995413868</v>
      </c>
      <c r="T89" s="329">
        <f t="shared" si="18"/>
        <v>4.9289279581529488</v>
      </c>
      <c r="U89" s="329">
        <f t="shared" si="18"/>
        <v>0</v>
      </c>
      <c r="V89" s="329">
        <f t="shared" si="18"/>
        <v>4.2380325995413868</v>
      </c>
      <c r="W89" s="329">
        <f t="shared" si="18"/>
        <v>4.9289279581529488</v>
      </c>
      <c r="X89" s="329">
        <f t="shared" si="18"/>
        <v>12.30253314292732</v>
      </c>
      <c r="Y89" s="329">
        <f t="shared" si="18"/>
        <v>384.15548500932306</v>
      </c>
      <c r="Z89" s="329">
        <f t="shared" si="18"/>
        <v>0.5165199415646814</v>
      </c>
      <c r="AA89" s="329">
        <f t="shared" si="18"/>
        <v>0</v>
      </c>
      <c r="AB89" s="329">
        <f t="shared" si="18"/>
        <v>0</v>
      </c>
      <c r="AC89" s="329">
        <f t="shared" si="18"/>
        <v>10.449559015227155</v>
      </c>
      <c r="AD89" s="329">
        <f t="shared" si="18"/>
        <v>178.32133445217278</v>
      </c>
    </row>
    <row r="90" spans="3:30" ht="14.25" customHeight="1" x14ac:dyDescent="0.2">
      <c r="C90" s="8" t="str">
        <v>Greenland</v>
      </c>
      <c r="D90" s="8" t="str">
        <v>Europe &amp; Central Asia</v>
      </c>
      <c r="E90" s="13" t="s">
        <v>579</v>
      </c>
      <c r="F90" s="124" t="str">
        <f t="shared" si="16"/>
        <v>Europe &amp; Central Asia_High income</v>
      </c>
      <c r="G90" s="329">
        <f t="shared" si="17"/>
        <v>32.401299306692998</v>
      </c>
      <c r="H90" s="329">
        <f t="shared" si="17"/>
        <v>185.85127347327975</v>
      </c>
      <c r="I90" s="329">
        <f t="shared" si="17"/>
        <v>371.75902354309056</v>
      </c>
      <c r="J90" s="329">
        <f t="shared" si="17"/>
        <v>0.53910505368023443</v>
      </c>
      <c r="K90" s="329">
        <f t="shared" si="17"/>
        <v>185.85127347327975</v>
      </c>
      <c r="L90" s="329">
        <f t="shared" si="17"/>
        <v>371.75902354309056</v>
      </c>
      <c r="M90" s="329">
        <f t="shared" si="17"/>
        <v>385.53377512854041</v>
      </c>
      <c r="N90" s="329">
        <f t="shared" si="17"/>
        <v>25.640462448793837</v>
      </c>
      <c r="O90" s="329">
        <f t="shared" si="17"/>
        <v>3.6681185273460932</v>
      </c>
      <c r="P90" s="329">
        <f t="shared" si="17"/>
        <v>4.9289279581529506</v>
      </c>
      <c r="Q90" s="329">
        <f t="shared" si="18"/>
        <v>97.069054585259593</v>
      </c>
      <c r="R90" s="329">
        <f t="shared" si="18"/>
        <v>25.640462448793837</v>
      </c>
      <c r="S90" s="329">
        <f t="shared" si="18"/>
        <v>3.6681185273460932</v>
      </c>
      <c r="T90" s="329">
        <f t="shared" si="18"/>
        <v>4.9289279581529506</v>
      </c>
      <c r="U90" s="329">
        <f t="shared" si="18"/>
        <v>32.401299306692998</v>
      </c>
      <c r="V90" s="329">
        <f t="shared" si="18"/>
        <v>0</v>
      </c>
      <c r="W90" s="329">
        <f t="shared" si="18"/>
        <v>0</v>
      </c>
      <c r="X90" s="329">
        <f t="shared" si="18"/>
        <v>371.75902354309056</v>
      </c>
      <c r="Y90" s="329">
        <f t="shared" si="18"/>
        <v>185.85127347327975</v>
      </c>
      <c r="Z90" s="329">
        <f t="shared" si="18"/>
        <v>0.53910505368023443</v>
      </c>
      <c r="AA90" s="329">
        <f t="shared" si="18"/>
        <v>0</v>
      </c>
      <c r="AB90" s="329">
        <f t="shared" si="18"/>
        <v>0</v>
      </c>
      <c r="AC90" s="329">
        <f t="shared" si="18"/>
        <v>371.75902354309056</v>
      </c>
      <c r="AD90" s="329">
        <f t="shared" si="18"/>
        <v>185.85127347327975</v>
      </c>
    </row>
    <row r="91" spans="3:30" ht="14.25" customHeight="1" x14ac:dyDescent="0.2">
      <c r="C91" s="8" t="str">
        <v>Grenada</v>
      </c>
      <c r="D91" s="8" t="str">
        <v>Latin America &amp; Caribbean</v>
      </c>
      <c r="E91" s="13" t="s">
        <v>578</v>
      </c>
      <c r="F91" s="124" t="str">
        <f t="shared" si="16"/>
        <v>Latin America &amp; Caribbean_Upper middle income</v>
      </c>
      <c r="G91" s="329">
        <f t="shared" si="17"/>
        <v>22.111961568366297</v>
      </c>
      <c r="H91" s="329">
        <f t="shared" si="17"/>
        <v>112.53582479053843</v>
      </c>
      <c r="I91" s="329">
        <f t="shared" si="17"/>
        <v>6.830402213100033</v>
      </c>
      <c r="J91" s="329">
        <f t="shared" si="17"/>
        <v>0.36505142784704681</v>
      </c>
      <c r="K91" s="329">
        <f t="shared" si="17"/>
        <v>112.53582479053843</v>
      </c>
      <c r="L91" s="329">
        <f t="shared" si="17"/>
        <v>6.830402213100033</v>
      </c>
      <c r="M91" s="329">
        <f t="shared" si="17"/>
        <v>385.61651384685882</v>
      </c>
      <c r="N91" s="329">
        <f t="shared" si="17"/>
        <v>2.2139650608027845</v>
      </c>
      <c r="O91" s="329">
        <f t="shared" si="17"/>
        <v>4.0000741704248659</v>
      </c>
      <c r="P91" s="329">
        <f t="shared" si="17"/>
        <v>4.9289279581529479</v>
      </c>
      <c r="Q91" s="329">
        <f t="shared" si="18"/>
        <v>122.08344331569037</v>
      </c>
      <c r="R91" s="329">
        <f t="shared" si="18"/>
        <v>2.2139650608027845</v>
      </c>
      <c r="S91" s="329">
        <f t="shared" si="18"/>
        <v>4.0000741704248659</v>
      </c>
      <c r="T91" s="329">
        <f t="shared" si="18"/>
        <v>4.9289279581529479</v>
      </c>
      <c r="U91" s="329">
        <f t="shared" si="18"/>
        <v>0</v>
      </c>
      <c r="V91" s="329">
        <f t="shared" si="18"/>
        <v>4.0000741704248659</v>
      </c>
      <c r="W91" s="329">
        <f t="shared" si="18"/>
        <v>4.9289279581529479</v>
      </c>
      <c r="X91" s="329">
        <f t="shared" si="18"/>
        <v>2.2139650608027845</v>
      </c>
      <c r="Y91" s="329">
        <f t="shared" si="18"/>
        <v>385.61651384685882</v>
      </c>
      <c r="Z91" s="329">
        <f t="shared" si="18"/>
        <v>0</v>
      </c>
      <c r="AA91" s="329">
        <f t="shared" si="18"/>
        <v>4.0000741704248659</v>
      </c>
      <c r="AB91" s="329">
        <f t="shared" si="18"/>
        <v>4.9289279581529479</v>
      </c>
      <c r="AC91" s="329">
        <f t="shared" si="18"/>
        <v>2.2139650608027845</v>
      </c>
      <c r="AD91" s="329">
        <f t="shared" si="18"/>
        <v>122.08344331569037</v>
      </c>
    </row>
    <row r="92" spans="3:30" ht="14.25" customHeight="1" x14ac:dyDescent="0.2">
      <c r="C92" s="8" t="str">
        <v>Guam</v>
      </c>
      <c r="D92" s="8" t="str">
        <v>East Asia &amp; Pacific</v>
      </c>
      <c r="E92" s="13" t="s">
        <v>579</v>
      </c>
      <c r="F92" s="124" t="str">
        <f t="shared" si="16"/>
        <v>East Asia &amp; Pacific_High income</v>
      </c>
      <c r="G92" s="329">
        <f t="shared" si="17"/>
        <v>44.443145199894367</v>
      </c>
      <c r="H92" s="329">
        <f t="shared" si="17"/>
        <v>183.8442475693883</v>
      </c>
      <c r="I92" s="329">
        <f t="shared" si="17"/>
        <v>105.92574003437052</v>
      </c>
      <c r="J92" s="329">
        <f t="shared" si="17"/>
        <v>0.74702806793375442</v>
      </c>
      <c r="K92" s="329">
        <f t="shared" si="17"/>
        <v>183.8442475693883</v>
      </c>
      <c r="L92" s="329">
        <f t="shared" si="17"/>
        <v>105.92574003437052</v>
      </c>
      <c r="M92" s="329">
        <f t="shared" si="17"/>
        <v>369.66231455327676</v>
      </c>
      <c r="N92" s="329">
        <f t="shared" si="17"/>
        <v>87.076870251981461</v>
      </c>
      <c r="O92" s="329">
        <f t="shared" si="17"/>
        <v>2.6357425797782517</v>
      </c>
      <c r="P92" s="329">
        <f t="shared" si="17"/>
        <v>4.9289279581529488</v>
      </c>
      <c r="Q92" s="329">
        <f t="shared" si="18"/>
        <v>113.50732455327682</v>
      </c>
      <c r="R92" s="329">
        <f t="shared" si="18"/>
        <v>87.076870251981461</v>
      </c>
      <c r="S92" s="329">
        <f t="shared" si="18"/>
        <v>2.6357425797782517</v>
      </c>
      <c r="T92" s="329">
        <f t="shared" si="18"/>
        <v>4.9289279581529488</v>
      </c>
      <c r="U92" s="329">
        <f t="shared" si="18"/>
        <v>0</v>
      </c>
      <c r="V92" s="329">
        <f t="shared" si="18"/>
        <v>2.6357425797782517</v>
      </c>
      <c r="W92" s="329">
        <f t="shared" si="18"/>
        <v>4.9289279581529488</v>
      </c>
      <c r="X92" s="329">
        <f t="shared" si="18"/>
        <v>87.076870251981461</v>
      </c>
      <c r="Y92" s="329">
        <f t="shared" si="18"/>
        <v>369.66231455327676</v>
      </c>
      <c r="Z92" s="329">
        <f t="shared" si="18"/>
        <v>0.74702806793375442</v>
      </c>
      <c r="AA92" s="329">
        <f t="shared" si="18"/>
        <v>0</v>
      </c>
      <c r="AB92" s="329">
        <f t="shared" si="18"/>
        <v>0</v>
      </c>
      <c r="AC92" s="329">
        <f t="shared" si="18"/>
        <v>105.92574003437052</v>
      </c>
      <c r="AD92" s="329">
        <f t="shared" si="18"/>
        <v>183.8442475693883</v>
      </c>
    </row>
    <row r="93" spans="3:30" ht="14.25" customHeight="1" x14ac:dyDescent="0.2">
      <c r="C93" s="8" t="str">
        <v>Guatemala</v>
      </c>
      <c r="D93" s="8" t="str">
        <v>Latin America &amp; Caribbean</v>
      </c>
      <c r="E93" s="13" t="s">
        <v>578</v>
      </c>
      <c r="F93" s="124" t="str">
        <f t="shared" si="16"/>
        <v>Latin America &amp; Caribbean_Upper middle income</v>
      </c>
      <c r="G93" s="329">
        <f t="shared" ref="G93:P102" si="19">IFERROR(IF(INDEX(Interim_Coefficients,MATCH($C93,Interim_Countries,0),MATCH(G$12,Interim_type,0))="No value",INDEX(Interim_CombinedCoefficients,MATCH($F93,Interim_CombinedTag,0),MATCH(G$12,Interim_CombinedType,0)),INDEX(Interim_Coefficients,MATCH($C93,Interim_Countries,0),MATCH(G$12,Interim_type,0))),INDEX(Interim_CombinedCoefficients,MATCH($F93,Interim_CombinedTag,0),MATCH(G$12,Interim_CombinedType,0)))</f>
        <v>18.775746888872238</v>
      </c>
      <c r="H93" s="329">
        <f t="shared" si="19"/>
        <v>162.06563864305602</v>
      </c>
      <c r="I93" s="329">
        <f t="shared" si="19"/>
        <v>7.3200654279513495</v>
      </c>
      <c r="J93" s="329">
        <f t="shared" si="19"/>
        <v>0.3103429237830122</v>
      </c>
      <c r="K93" s="329">
        <f t="shared" si="19"/>
        <v>162.06563864305602</v>
      </c>
      <c r="L93" s="329">
        <f t="shared" si="19"/>
        <v>7.3200654279513495</v>
      </c>
      <c r="M93" s="329">
        <f t="shared" si="19"/>
        <v>387.35098223614142</v>
      </c>
      <c r="N93" s="329">
        <f t="shared" si="19"/>
        <v>5.416848416684001</v>
      </c>
      <c r="O93" s="329">
        <f t="shared" si="19"/>
        <v>3.4981462003857211</v>
      </c>
      <c r="P93" s="329">
        <f t="shared" si="19"/>
        <v>4.9289279581529488</v>
      </c>
      <c r="Q93" s="329">
        <f t="shared" ref="Q93:AD102" si="20">IFERROR(IF(INDEX(Interim_Coefficients,MATCH($C93,Interim_Countries,0),MATCH(Q$12,Interim_type,0))="No value",INDEX(Interim_CombinedCoefficients,MATCH($F93,Interim_CombinedTag,0),MATCH(Q$12,Interim_CombinedType,0)),INDEX(Interim_Coefficients,MATCH($C93,Interim_Countries,0),MATCH(Q$12,Interim_type,0))),INDEX(Interim_CombinedCoefficients,MATCH($F93,Interim_CombinedTag,0),MATCH(Q$12,Interim_CombinedType,0)))</f>
        <v>85.6218069318586</v>
      </c>
      <c r="R93" s="329">
        <f t="shared" si="20"/>
        <v>5.416848416684001</v>
      </c>
      <c r="S93" s="329">
        <f t="shared" si="20"/>
        <v>3.4981462003857211</v>
      </c>
      <c r="T93" s="329">
        <f t="shared" si="20"/>
        <v>4.9289279581529488</v>
      </c>
      <c r="U93" s="329">
        <f t="shared" si="20"/>
        <v>0</v>
      </c>
      <c r="V93" s="329">
        <f t="shared" si="20"/>
        <v>3.4981462003857211</v>
      </c>
      <c r="W93" s="329">
        <f t="shared" si="20"/>
        <v>4.9289279581529488</v>
      </c>
      <c r="X93" s="329">
        <f t="shared" si="20"/>
        <v>5.416848416684001</v>
      </c>
      <c r="Y93" s="329">
        <f t="shared" si="20"/>
        <v>387.35098223614142</v>
      </c>
      <c r="Z93" s="329">
        <f t="shared" si="20"/>
        <v>0.3103429237830122</v>
      </c>
      <c r="AA93" s="329">
        <f t="shared" si="20"/>
        <v>0</v>
      </c>
      <c r="AB93" s="329">
        <f t="shared" si="20"/>
        <v>0</v>
      </c>
      <c r="AC93" s="329">
        <f t="shared" si="20"/>
        <v>7.3200654279513495</v>
      </c>
      <c r="AD93" s="329">
        <f t="shared" si="20"/>
        <v>162.06563864305602</v>
      </c>
    </row>
    <row r="94" spans="3:30" ht="14.25" customHeight="1" x14ac:dyDescent="0.2">
      <c r="C94" s="8" t="str">
        <v>Guinea</v>
      </c>
      <c r="D94" s="8" t="str">
        <v>Sub-Saharan Africa</v>
      </c>
      <c r="E94" s="13" t="s">
        <v>580</v>
      </c>
      <c r="F94" s="124" t="str">
        <f t="shared" si="16"/>
        <v>Sub-Saharan Africa_Lower middle income</v>
      </c>
      <c r="G94" s="329">
        <f t="shared" si="19"/>
        <v>23.309971460536438</v>
      </c>
      <c r="H94" s="329">
        <f t="shared" si="19"/>
        <v>136.54200831083281</v>
      </c>
      <c r="I94" s="329">
        <f t="shared" si="19"/>
        <v>48.066711217553774</v>
      </c>
      <c r="J94" s="329">
        <f t="shared" si="19"/>
        <v>0.38963996426925313</v>
      </c>
      <c r="K94" s="329">
        <f t="shared" si="19"/>
        <v>136.54200831083281</v>
      </c>
      <c r="L94" s="329">
        <f t="shared" si="19"/>
        <v>48.066711217553774</v>
      </c>
      <c r="M94" s="329">
        <f t="shared" si="19"/>
        <v>386.36066988979189</v>
      </c>
      <c r="N94" s="329">
        <f t="shared" si="19"/>
        <v>3.0069383810950008</v>
      </c>
      <c r="O94" s="329">
        <f t="shared" si="19"/>
        <v>6.2955859660608509</v>
      </c>
      <c r="P94" s="329">
        <f t="shared" si="19"/>
        <v>4.9289279581529488</v>
      </c>
      <c r="Q94" s="329">
        <f t="shared" si="20"/>
        <v>124.01862912013361</v>
      </c>
      <c r="R94" s="329">
        <f t="shared" si="20"/>
        <v>3.0069383810950008</v>
      </c>
      <c r="S94" s="329">
        <f t="shared" si="20"/>
        <v>6.2955859660608509</v>
      </c>
      <c r="T94" s="329">
        <f t="shared" si="20"/>
        <v>4.9289279581529488</v>
      </c>
      <c r="U94" s="329">
        <f t="shared" si="20"/>
        <v>0</v>
      </c>
      <c r="V94" s="329">
        <f t="shared" si="20"/>
        <v>6.2955859660608509</v>
      </c>
      <c r="W94" s="329">
        <f t="shared" si="20"/>
        <v>4.9289279581529488</v>
      </c>
      <c r="X94" s="329">
        <f t="shared" si="20"/>
        <v>3.0069383810950008</v>
      </c>
      <c r="Y94" s="329">
        <f t="shared" si="20"/>
        <v>386.36066988979189</v>
      </c>
      <c r="Z94" s="329">
        <f t="shared" si="20"/>
        <v>0.38963996426925313</v>
      </c>
      <c r="AA94" s="329">
        <f t="shared" si="20"/>
        <v>0</v>
      </c>
      <c r="AB94" s="329">
        <f t="shared" si="20"/>
        <v>0</v>
      </c>
      <c r="AC94" s="329">
        <f t="shared" si="20"/>
        <v>48.066711217553774</v>
      </c>
      <c r="AD94" s="329">
        <f t="shared" si="20"/>
        <v>136.54200831083281</v>
      </c>
    </row>
    <row r="95" spans="3:30" ht="14.25" customHeight="1" x14ac:dyDescent="0.2">
      <c r="C95" s="8" t="str">
        <v>Guinea-Bissau</v>
      </c>
      <c r="D95" s="8" t="str">
        <v>Sub-Saharan Africa</v>
      </c>
      <c r="E95" s="13" t="s">
        <v>586</v>
      </c>
      <c r="F95" s="124" t="str">
        <f t="shared" si="16"/>
        <v>Sub-Saharan Africa_Low income</v>
      </c>
      <c r="G95" s="329">
        <f t="shared" si="19"/>
        <v>23.309971460536438</v>
      </c>
      <c r="H95" s="329">
        <f t="shared" si="19"/>
        <v>136.54200831083281</v>
      </c>
      <c r="I95" s="329">
        <f t="shared" si="19"/>
        <v>48.066711217553774</v>
      </c>
      <c r="J95" s="329">
        <f t="shared" si="19"/>
        <v>0.38963996426925313</v>
      </c>
      <c r="K95" s="329">
        <f t="shared" si="19"/>
        <v>136.54200831083281</v>
      </c>
      <c r="L95" s="329">
        <f t="shared" si="19"/>
        <v>48.066711217553774</v>
      </c>
      <c r="M95" s="329">
        <f t="shared" si="19"/>
        <v>386.36066988979189</v>
      </c>
      <c r="N95" s="329">
        <f t="shared" si="19"/>
        <v>3.0069383810950008</v>
      </c>
      <c r="O95" s="329">
        <f t="shared" si="19"/>
        <v>6.2955859660608509</v>
      </c>
      <c r="P95" s="329">
        <f t="shared" si="19"/>
        <v>4.9289279581529488</v>
      </c>
      <c r="Q95" s="329">
        <f t="shared" si="20"/>
        <v>124.01862912013361</v>
      </c>
      <c r="R95" s="329">
        <f t="shared" si="20"/>
        <v>3.0069383810950008</v>
      </c>
      <c r="S95" s="329">
        <f t="shared" si="20"/>
        <v>6.2955859660608509</v>
      </c>
      <c r="T95" s="329">
        <f t="shared" si="20"/>
        <v>4.9289279581529488</v>
      </c>
      <c r="U95" s="329">
        <f t="shared" si="20"/>
        <v>0</v>
      </c>
      <c r="V95" s="329">
        <f t="shared" si="20"/>
        <v>6.2955859660608509</v>
      </c>
      <c r="W95" s="329">
        <f t="shared" si="20"/>
        <v>4.9289279581529488</v>
      </c>
      <c r="X95" s="329">
        <f t="shared" si="20"/>
        <v>3.0069383810950008</v>
      </c>
      <c r="Y95" s="329">
        <f t="shared" si="20"/>
        <v>386.36066988979189</v>
      </c>
      <c r="Z95" s="329">
        <f t="shared" si="20"/>
        <v>0.38963996426925313</v>
      </c>
      <c r="AA95" s="329">
        <f t="shared" si="20"/>
        <v>0</v>
      </c>
      <c r="AB95" s="329">
        <f t="shared" si="20"/>
        <v>0</v>
      </c>
      <c r="AC95" s="329">
        <f t="shared" si="20"/>
        <v>48.066711217553774</v>
      </c>
      <c r="AD95" s="329">
        <f t="shared" si="20"/>
        <v>136.54200831083281</v>
      </c>
    </row>
    <row r="96" spans="3:30" ht="14.25" customHeight="1" x14ac:dyDescent="0.2">
      <c r="C96" s="8" t="str">
        <v>Guyana</v>
      </c>
      <c r="D96" s="8" t="str">
        <v>Latin America &amp; Caribbean</v>
      </c>
      <c r="E96" s="13" t="s">
        <v>579</v>
      </c>
      <c r="F96" s="124" t="str">
        <f t="shared" si="16"/>
        <v>Latin America &amp; Caribbean_High income</v>
      </c>
      <c r="G96" s="329">
        <f t="shared" si="19"/>
        <v>20.148173869272608</v>
      </c>
      <c r="H96" s="329">
        <f t="shared" si="19"/>
        <v>152.33868437748353</v>
      </c>
      <c r="I96" s="329">
        <f t="shared" si="19"/>
        <v>3.0416344571758089</v>
      </c>
      <c r="J96" s="329">
        <f t="shared" si="19"/>
        <v>0.33569845745632426</v>
      </c>
      <c r="K96" s="329">
        <f t="shared" si="19"/>
        <v>152.33868437748353</v>
      </c>
      <c r="L96" s="329">
        <f t="shared" si="19"/>
        <v>3.0416344571758089</v>
      </c>
      <c r="M96" s="329">
        <f t="shared" si="19"/>
        <v>385.49779249232023</v>
      </c>
      <c r="N96" s="329">
        <f t="shared" si="19"/>
        <v>1.7137512604923126</v>
      </c>
      <c r="O96" s="329">
        <f t="shared" si="19"/>
        <v>4.1115263115021587</v>
      </c>
      <c r="P96" s="329">
        <f t="shared" si="19"/>
        <v>4.9289279581529488</v>
      </c>
      <c r="Q96" s="329">
        <f t="shared" si="20"/>
        <v>129.34280249232026</v>
      </c>
      <c r="R96" s="329">
        <f t="shared" si="20"/>
        <v>1.7137512604923126</v>
      </c>
      <c r="S96" s="329">
        <f t="shared" si="20"/>
        <v>4.1115263115021587</v>
      </c>
      <c r="T96" s="329">
        <f t="shared" si="20"/>
        <v>4.9289279581529488</v>
      </c>
      <c r="U96" s="329">
        <f t="shared" si="20"/>
        <v>0</v>
      </c>
      <c r="V96" s="329">
        <f t="shared" si="20"/>
        <v>4.1115263115021587</v>
      </c>
      <c r="W96" s="329">
        <f t="shared" si="20"/>
        <v>4.9289279581529488</v>
      </c>
      <c r="X96" s="329">
        <f t="shared" si="20"/>
        <v>1.7137512604923126</v>
      </c>
      <c r="Y96" s="329">
        <f t="shared" si="20"/>
        <v>385.49779249232023</v>
      </c>
      <c r="Z96" s="329">
        <f t="shared" si="20"/>
        <v>0.33569845745632426</v>
      </c>
      <c r="AA96" s="329">
        <f t="shared" si="20"/>
        <v>0</v>
      </c>
      <c r="AB96" s="329">
        <f t="shared" si="20"/>
        <v>0</v>
      </c>
      <c r="AC96" s="329">
        <f t="shared" si="20"/>
        <v>3.0416344571758089</v>
      </c>
      <c r="AD96" s="329">
        <f t="shared" si="20"/>
        <v>152.33868437748353</v>
      </c>
    </row>
    <row r="97" spans="3:30" ht="14.25" customHeight="1" x14ac:dyDescent="0.2">
      <c r="C97" s="8" t="str">
        <v>Haiti</v>
      </c>
      <c r="D97" s="8" t="str">
        <v>Latin America &amp; Caribbean</v>
      </c>
      <c r="E97" s="13" t="s">
        <v>580</v>
      </c>
      <c r="F97" s="124" t="str">
        <f t="shared" si="16"/>
        <v>Latin America &amp; Caribbean_Lower middle income</v>
      </c>
      <c r="G97" s="329">
        <f t="shared" si="19"/>
        <v>8.5223688119908019</v>
      </c>
      <c r="H97" s="329">
        <f t="shared" si="19"/>
        <v>123.89196731561637</v>
      </c>
      <c r="I97" s="329">
        <f t="shared" si="19"/>
        <v>0</v>
      </c>
      <c r="J97" s="329">
        <f t="shared" si="19"/>
        <v>0.14363542941557531</v>
      </c>
      <c r="K97" s="329">
        <f t="shared" si="19"/>
        <v>123.89196731561637</v>
      </c>
      <c r="L97" s="329">
        <f t="shared" si="19"/>
        <v>0</v>
      </c>
      <c r="M97" s="329">
        <f t="shared" si="19"/>
        <v>387.80522999999999</v>
      </c>
      <c r="N97" s="329">
        <f t="shared" si="19"/>
        <v>0</v>
      </c>
      <c r="O97" s="329">
        <f t="shared" si="19"/>
        <v>4.0413508996351162</v>
      </c>
      <c r="P97" s="329">
        <f t="shared" si="19"/>
        <v>4.9289279581529488</v>
      </c>
      <c r="Q97" s="329">
        <f t="shared" si="20"/>
        <v>131.65024000000003</v>
      </c>
      <c r="R97" s="329">
        <f t="shared" si="20"/>
        <v>0</v>
      </c>
      <c r="S97" s="329">
        <f t="shared" si="20"/>
        <v>4.0413508996351162</v>
      </c>
      <c r="T97" s="329">
        <f t="shared" si="20"/>
        <v>4.9289279581529488</v>
      </c>
      <c r="U97" s="329">
        <f t="shared" si="20"/>
        <v>0</v>
      </c>
      <c r="V97" s="329">
        <f t="shared" si="20"/>
        <v>4.0413508996351162</v>
      </c>
      <c r="W97" s="329">
        <f t="shared" si="20"/>
        <v>4.9289279581529488</v>
      </c>
      <c r="X97" s="329">
        <f t="shared" si="20"/>
        <v>0</v>
      </c>
      <c r="Y97" s="329">
        <f t="shared" si="20"/>
        <v>387.80522999999999</v>
      </c>
      <c r="Z97" s="329">
        <f t="shared" si="20"/>
        <v>0</v>
      </c>
      <c r="AA97" s="329">
        <f t="shared" si="20"/>
        <v>4.0413508996351162</v>
      </c>
      <c r="AB97" s="329">
        <f t="shared" si="20"/>
        <v>4.9289279581529488</v>
      </c>
      <c r="AC97" s="329">
        <f t="shared" si="20"/>
        <v>0</v>
      </c>
      <c r="AD97" s="329">
        <f t="shared" si="20"/>
        <v>131.65024000000003</v>
      </c>
    </row>
    <row r="98" spans="3:30" ht="14.25" customHeight="1" x14ac:dyDescent="0.2">
      <c r="C98" s="8" t="str">
        <v>Honduras</v>
      </c>
      <c r="D98" s="8" t="str">
        <v>Latin America &amp; Caribbean</v>
      </c>
      <c r="E98" s="13" t="s">
        <v>580</v>
      </c>
      <c r="F98" s="124" t="str">
        <f t="shared" si="16"/>
        <v>Latin America &amp; Caribbean_Lower middle income</v>
      </c>
      <c r="G98" s="329">
        <f t="shared" si="19"/>
        <v>8.5223688119908019</v>
      </c>
      <c r="H98" s="329">
        <f t="shared" si="19"/>
        <v>123.89196731561637</v>
      </c>
      <c r="I98" s="329">
        <f t="shared" si="19"/>
        <v>0</v>
      </c>
      <c r="J98" s="329">
        <f t="shared" si="19"/>
        <v>0.14363542941557531</v>
      </c>
      <c r="K98" s="329">
        <f t="shared" si="19"/>
        <v>123.89196731561637</v>
      </c>
      <c r="L98" s="329">
        <f t="shared" si="19"/>
        <v>0</v>
      </c>
      <c r="M98" s="329">
        <f t="shared" si="19"/>
        <v>387.80522999999999</v>
      </c>
      <c r="N98" s="329">
        <f t="shared" si="19"/>
        <v>0</v>
      </c>
      <c r="O98" s="329">
        <f t="shared" si="19"/>
        <v>4.0413508996351162</v>
      </c>
      <c r="P98" s="329">
        <f t="shared" si="19"/>
        <v>4.9289279581529488</v>
      </c>
      <c r="Q98" s="329">
        <f t="shared" si="20"/>
        <v>131.65024000000003</v>
      </c>
      <c r="R98" s="329">
        <f t="shared" si="20"/>
        <v>0</v>
      </c>
      <c r="S98" s="329">
        <f t="shared" si="20"/>
        <v>4.0413508996351162</v>
      </c>
      <c r="T98" s="329">
        <f t="shared" si="20"/>
        <v>4.9289279581529488</v>
      </c>
      <c r="U98" s="329">
        <f t="shared" si="20"/>
        <v>0</v>
      </c>
      <c r="V98" s="329">
        <f t="shared" si="20"/>
        <v>4.0413508996351162</v>
      </c>
      <c r="W98" s="329">
        <f t="shared" si="20"/>
        <v>4.9289279581529488</v>
      </c>
      <c r="X98" s="329">
        <f t="shared" si="20"/>
        <v>0</v>
      </c>
      <c r="Y98" s="329">
        <f t="shared" si="20"/>
        <v>387.80522999999999</v>
      </c>
      <c r="Z98" s="329">
        <f t="shared" si="20"/>
        <v>0</v>
      </c>
      <c r="AA98" s="329">
        <f t="shared" si="20"/>
        <v>4.0413508996351162</v>
      </c>
      <c r="AB98" s="329">
        <f t="shared" si="20"/>
        <v>4.9289279581529488</v>
      </c>
      <c r="AC98" s="329">
        <f t="shared" si="20"/>
        <v>0</v>
      </c>
      <c r="AD98" s="329">
        <f t="shared" si="20"/>
        <v>131.65024000000003</v>
      </c>
    </row>
    <row r="99" spans="3:30" ht="14.25" customHeight="1" x14ac:dyDescent="0.2">
      <c r="C99" s="8" t="str">
        <v>Hong Kong SAR, China</v>
      </c>
      <c r="D99" s="8" t="str">
        <v>East Asia &amp; Pacific</v>
      </c>
      <c r="E99" s="13" t="s">
        <v>579</v>
      </c>
      <c r="F99" s="124" t="str">
        <f t="shared" si="16"/>
        <v>East Asia &amp; Pacific_High income</v>
      </c>
      <c r="G99" s="329">
        <f t="shared" si="19"/>
        <v>44.443145199894367</v>
      </c>
      <c r="H99" s="329">
        <f t="shared" si="19"/>
        <v>183.8442475693883</v>
      </c>
      <c r="I99" s="329">
        <f t="shared" si="19"/>
        <v>105.92574003437052</v>
      </c>
      <c r="J99" s="329">
        <f t="shared" si="19"/>
        <v>0.74702806793375442</v>
      </c>
      <c r="K99" s="329">
        <f t="shared" si="19"/>
        <v>183.8442475693883</v>
      </c>
      <c r="L99" s="329">
        <f t="shared" si="19"/>
        <v>105.92574003437052</v>
      </c>
      <c r="M99" s="329">
        <f t="shared" si="19"/>
        <v>369.66231455327676</v>
      </c>
      <c r="N99" s="329">
        <f t="shared" si="19"/>
        <v>87.076870251981461</v>
      </c>
      <c r="O99" s="329">
        <f t="shared" si="19"/>
        <v>2.6357425797782517</v>
      </c>
      <c r="P99" s="329">
        <f t="shared" si="19"/>
        <v>4.9289279581529488</v>
      </c>
      <c r="Q99" s="329">
        <f t="shared" si="20"/>
        <v>113.50732455327682</v>
      </c>
      <c r="R99" s="329">
        <f t="shared" si="20"/>
        <v>87.076870251981461</v>
      </c>
      <c r="S99" s="329">
        <f t="shared" si="20"/>
        <v>2.6357425797782517</v>
      </c>
      <c r="T99" s="329">
        <f t="shared" si="20"/>
        <v>4.9289279581529488</v>
      </c>
      <c r="U99" s="329">
        <f t="shared" si="20"/>
        <v>0</v>
      </c>
      <c r="V99" s="329">
        <f t="shared" si="20"/>
        <v>2.6357425797782517</v>
      </c>
      <c r="W99" s="329">
        <f t="shared" si="20"/>
        <v>4.9289279581529488</v>
      </c>
      <c r="X99" s="329">
        <f t="shared" si="20"/>
        <v>87.076870251981461</v>
      </c>
      <c r="Y99" s="329">
        <f t="shared" si="20"/>
        <v>369.66231455327676</v>
      </c>
      <c r="Z99" s="329">
        <f t="shared" si="20"/>
        <v>0.74702806793375442</v>
      </c>
      <c r="AA99" s="329">
        <f t="shared" si="20"/>
        <v>0</v>
      </c>
      <c r="AB99" s="329">
        <f t="shared" si="20"/>
        <v>0</v>
      </c>
      <c r="AC99" s="329">
        <f t="shared" si="20"/>
        <v>105.92574003437052</v>
      </c>
      <c r="AD99" s="329">
        <f t="shared" si="20"/>
        <v>183.8442475693883</v>
      </c>
    </row>
    <row r="100" spans="3:30" ht="14.25" customHeight="1" x14ac:dyDescent="0.2">
      <c r="C100" s="8" t="str">
        <v>Hungary</v>
      </c>
      <c r="D100" s="8" t="str">
        <v>Europe &amp; Central Asia</v>
      </c>
      <c r="E100" s="13" t="s">
        <v>579</v>
      </c>
      <c r="F100" s="124" t="str">
        <f t="shared" si="16"/>
        <v>Europe &amp; Central Asia_High income</v>
      </c>
      <c r="G100" s="329">
        <f t="shared" si="19"/>
        <v>48.635103556792309</v>
      </c>
      <c r="H100" s="329">
        <f t="shared" si="19"/>
        <v>187.00281170809052</v>
      </c>
      <c r="I100" s="329">
        <f t="shared" si="19"/>
        <v>19.239051817856989</v>
      </c>
      <c r="J100" s="329">
        <f t="shared" si="19"/>
        <v>0.80435735360808958</v>
      </c>
      <c r="K100" s="329">
        <f t="shared" si="19"/>
        <v>187.00281170809052</v>
      </c>
      <c r="L100" s="329">
        <f t="shared" si="19"/>
        <v>19.239051817856989</v>
      </c>
      <c r="M100" s="329">
        <f t="shared" si="19"/>
        <v>383.30847670900584</v>
      </c>
      <c r="N100" s="329">
        <f t="shared" si="19"/>
        <v>15.382075226962264</v>
      </c>
      <c r="O100" s="329">
        <f t="shared" si="19"/>
        <v>4.37515187303116</v>
      </c>
      <c r="P100" s="329">
        <f t="shared" si="19"/>
        <v>4.9289279581529488</v>
      </c>
      <c r="Q100" s="329">
        <f t="shared" si="20"/>
        <v>103.75638693899415</v>
      </c>
      <c r="R100" s="329">
        <f t="shared" si="20"/>
        <v>15.382075226962264</v>
      </c>
      <c r="S100" s="329">
        <f t="shared" si="20"/>
        <v>4.37515187303116</v>
      </c>
      <c r="T100" s="329">
        <f t="shared" si="20"/>
        <v>4.9289279581529488</v>
      </c>
      <c r="U100" s="329">
        <f t="shared" si="20"/>
        <v>0</v>
      </c>
      <c r="V100" s="329">
        <f t="shared" si="20"/>
        <v>4.37515187303116</v>
      </c>
      <c r="W100" s="329">
        <f t="shared" si="20"/>
        <v>4.9289279581529488</v>
      </c>
      <c r="X100" s="329">
        <f t="shared" si="20"/>
        <v>15.382075226962264</v>
      </c>
      <c r="Y100" s="329">
        <f t="shared" si="20"/>
        <v>383.30847670900584</v>
      </c>
      <c r="Z100" s="329">
        <f t="shared" si="20"/>
        <v>0.80435735360808958</v>
      </c>
      <c r="AA100" s="329">
        <f t="shared" si="20"/>
        <v>0</v>
      </c>
      <c r="AB100" s="329">
        <f t="shared" si="20"/>
        <v>0</v>
      </c>
      <c r="AC100" s="329">
        <f t="shared" si="20"/>
        <v>19.239051817856989</v>
      </c>
      <c r="AD100" s="329">
        <f t="shared" si="20"/>
        <v>187.00281170809052</v>
      </c>
    </row>
    <row r="101" spans="3:30" ht="14.25" customHeight="1" x14ac:dyDescent="0.2">
      <c r="C101" s="8" t="str">
        <v>Iceland</v>
      </c>
      <c r="D101" s="8" t="str">
        <v>Europe &amp; Central Asia</v>
      </c>
      <c r="E101" s="13" t="s">
        <v>579</v>
      </c>
      <c r="F101" s="124" t="str">
        <f t="shared" si="16"/>
        <v>Europe &amp; Central Asia_High income</v>
      </c>
      <c r="G101" s="329">
        <f t="shared" si="19"/>
        <v>32.401299306692998</v>
      </c>
      <c r="H101" s="329">
        <f t="shared" si="19"/>
        <v>185.85127347327975</v>
      </c>
      <c r="I101" s="329">
        <f t="shared" si="19"/>
        <v>371.75902354309056</v>
      </c>
      <c r="J101" s="329">
        <f t="shared" si="19"/>
        <v>0.53910505368023443</v>
      </c>
      <c r="K101" s="329">
        <f t="shared" si="19"/>
        <v>185.85127347327975</v>
      </c>
      <c r="L101" s="329">
        <f t="shared" si="19"/>
        <v>371.75902354309056</v>
      </c>
      <c r="M101" s="329">
        <f t="shared" si="19"/>
        <v>385.53377512854041</v>
      </c>
      <c r="N101" s="329">
        <f t="shared" si="19"/>
        <v>25.640462448793837</v>
      </c>
      <c r="O101" s="329">
        <f t="shared" si="19"/>
        <v>3.6681185273460932</v>
      </c>
      <c r="P101" s="329">
        <f t="shared" si="19"/>
        <v>4.9289279581529506</v>
      </c>
      <c r="Q101" s="329">
        <f t="shared" si="20"/>
        <v>97.069054585259593</v>
      </c>
      <c r="R101" s="329">
        <f t="shared" si="20"/>
        <v>25.640462448793837</v>
      </c>
      <c r="S101" s="329">
        <f t="shared" si="20"/>
        <v>3.6681185273460932</v>
      </c>
      <c r="T101" s="329">
        <f t="shared" si="20"/>
        <v>4.9289279581529506</v>
      </c>
      <c r="U101" s="329">
        <f t="shared" si="20"/>
        <v>32.401299306692998</v>
      </c>
      <c r="V101" s="329">
        <f t="shared" si="20"/>
        <v>0</v>
      </c>
      <c r="W101" s="329">
        <f t="shared" si="20"/>
        <v>0</v>
      </c>
      <c r="X101" s="329">
        <f t="shared" si="20"/>
        <v>371.75902354309056</v>
      </c>
      <c r="Y101" s="329">
        <f t="shared" si="20"/>
        <v>185.85127347327975</v>
      </c>
      <c r="Z101" s="329">
        <f t="shared" si="20"/>
        <v>0.53910505368023443</v>
      </c>
      <c r="AA101" s="329">
        <f t="shared" si="20"/>
        <v>0</v>
      </c>
      <c r="AB101" s="329">
        <f t="shared" si="20"/>
        <v>0</v>
      </c>
      <c r="AC101" s="329">
        <f t="shared" si="20"/>
        <v>371.75902354309056</v>
      </c>
      <c r="AD101" s="329">
        <f t="shared" si="20"/>
        <v>185.85127347327975</v>
      </c>
    </row>
    <row r="102" spans="3:30" ht="14.25" customHeight="1" x14ac:dyDescent="0.2">
      <c r="C102" s="8" t="str">
        <v>India</v>
      </c>
      <c r="D102" s="8" t="str">
        <v>South Asia</v>
      </c>
      <c r="E102" s="13" t="s">
        <v>580</v>
      </c>
      <c r="F102" s="124" t="str">
        <f t="shared" si="16"/>
        <v>South Asia_Lower middle income</v>
      </c>
      <c r="G102" s="329">
        <f t="shared" si="19"/>
        <v>9.5070361926561695</v>
      </c>
      <c r="H102" s="329">
        <f t="shared" si="19"/>
        <v>183.05003240919942</v>
      </c>
      <c r="I102" s="329">
        <f t="shared" si="19"/>
        <v>24.326340446289851</v>
      </c>
      <c r="J102" s="329">
        <f t="shared" si="19"/>
        <v>0.1520117977801031</v>
      </c>
      <c r="K102" s="329">
        <f t="shared" si="19"/>
        <v>183.05003240919942</v>
      </c>
      <c r="L102" s="329">
        <f t="shared" si="19"/>
        <v>24.326340446289851</v>
      </c>
      <c r="M102" s="329">
        <f t="shared" si="19"/>
        <v>387.80522999999999</v>
      </c>
      <c r="N102" s="329">
        <f t="shared" si="19"/>
        <v>0</v>
      </c>
      <c r="O102" s="329">
        <f t="shared" si="19"/>
        <v>15.074681360710244</v>
      </c>
      <c r="P102" s="329">
        <f t="shared" si="19"/>
        <v>4.9289279581529488</v>
      </c>
      <c r="Q102" s="329">
        <f t="shared" si="20"/>
        <v>131.65024000000003</v>
      </c>
      <c r="R102" s="329">
        <f t="shared" si="20"/>
        <v>0</v>
      </c>
      <c r="S102" s="329">
        <f t="shared" si="20"/>
        <v>15.074681360710244</v>
      </c>
      <c r="T102" s="329">
        <f t="shared" si="20"/>
        <v>4.9289279581529488</v>
      </c>
      <c r="U102" s="329">
        <f t="shared" si="20"/>
        <v>0</v>
      </c>
      <c r="V102" s="329">
        <f t="shared" si="20"/>
        <v>15.074681360710244</v>
      </c>
      <c r="W102" s="329">
        <f t="shared" si="20"/>
        <v>4.9289279581529488</v>
      </c>
      <c r="X102" s="329">
        <f t="shared" si="20"/>
        <v>0</v>
      </c>
      <c r="Y102" s="329">
        <f t="shared" si="20"/>
        <v>387.80522999999999</v>
      </c>
      <c r="Z102" s="329">
        <f t="shared" si="20"/>
        <v>0.1520117977801031</v>
      </c>
      <c r="AA102" s="329">
        <f t="shared" si="20"/>
        <v>0</v>
      </c>
      <c r="AB102" s="329">
        <f t="shared" si="20"/>
        <v>0</v>
      </c>
      <c r="AC102" s="329">
        <f t="shared" si="20"/>
        <v>24.326340446289851</v>
      </c>
      <c r="AD102" s="329">
        <f t="shared" si="20"/>
        <v>183.05003240919942</v>
      </c>
    </row>
    <row r="103" spans="3:30" ht="14.25" customHeight="1" x14ac:dyDescent="0.2">
      <c r="C103" s="8" t="str">
        <v>Indonesia</v>
      </c>
      <c r="D103" s="8" t="str">
        <v>East Asia &amp; Pacific</v>
      </c>
      <c r="E103" s="13" t="s">
        <v>578</v>
      </c>
      <c r="F103" s="124" t="str">
        <f t="shared" si="16"/>
        <v>East Asia &amp; Pacific_Upper middle income</v>
      </c>
      <c r="G103" s="329">
        <f t="shared" ref="G103:P112" si="21">IFERROR(IF(INDEX(Interim_Coefficients,MATCH($C103,Interim_Countries,0),MATCH(G$12,Interim_type,0))="No value",INDEX(Interim_CombinedCoefficients,MATCH($F103,Interim_CombinedTag,0),MATCH(G$12,Interim_CombinedType,0)),INDEX(Interim_Coefficients,MATCH($C103,Interim_Countries,0),MATCH(G$12,Interim_type,0))),INDEX(Interim_CombinedCoefficients,MATCH($F103,Interim_CombinedTag,0),MATCH(G$12,Interim_CombinedType,0)))</f>
        <v>19.952211977590732</v>
      </c>
      <c r="H103" s="329">
        <f t="shared" si="21"/>
        <v>191.70380069770326</v>
      </c>
      <c r="I103" s="329">
        <f t="shared" si="21"/>
        <v>8.5541981960587474</v>
      </c>
      <c r="J103" s="329">
        <f t="shared" si="21"/>
        <v>0.32978862772877249</v>
      </c>
      <c r="K103" s="329">
        <f t="shared" si="21"/>
        <v>191.70380069770326</v>
      </c>
      <c r="L103" s="329">
        <f t="shared" si="21"/>
        <v>8.5541981960587474</v>
      </c>
      <c r="M103" s="329">
        <f t="shared" si="21"/>
        <v>368.42634597020628</v>
      </c>
      <c r="N103" s="329">
        <f t="shared" si="21"/>
        <v>5.931550339885554</v>
      </c>
      <c r="O103" s="329">
        <f t="shared" si="21"/>
        <v>2.9938610102494221</v>
      </c>
      <c r="P103" s="329">
        <f t="shared" si="21"/>
        <v>4.9289279581529488</v>
      </c>
      <c r="Q103" s="329">
        <f t="shared" ref="Q103:AD112" si="22">IFERROR(IF(INDEX(Interim_Coefficients,MATCH($C103,Interim_Countries,0),MATCH(Q$12,Interim_type,0))="No value",INDEX(Interim_CombinedCoefficients,MATCH($F103,Interim_CombinedTag,0),MATCH(Q$12,Interim_CombinedType,0)),INDEX(Interim_Coefficients,MATCH($C103,Interim_Countries,0),MATCH(Q$12,Interim_type,0))),INDEX(Interim_CombinedCoefficients,MATCH($F103,Interim_CombinedTag,0),MATCH(Q$12,Interim_CombinedType,0)))</f>
        <v>112.27135597020634</v>
      </c>
      <c r="R103" s="329">
        <f t="shared" si="22"/>
        <v>5.931550339885554</v>
      </c>
      <c r="S103" s="329">
        <f t="shared" si="22"/>
        <v>2.9938610102494221</v>
      </c>
      <c r="T103" s="329">
        <f t="shared" si="22"/>
        <v>4.9289279581529488</v>
      </c>
      <c r="U103" s="329">
        <f t="shared" si="22"/>
        <v>0</v>
      </c>
      <c r="V103" s="329">
        <f t="shared" si="22"/>
        <v>2.9938610102494221</v>
      </c>
      <c r="W103" s="329">
        <f t="shared" si="22"/>
        <v>4.9289279581529488</v>
      </c>
      <c r="X103" s="329">
        <f t="shared" si="22"/>
        <v>5.931550339885554</v>
      </c>
      <c r="Y103" s="329">
        <f t="shared" si="22"/>
        <v>368.42634597020628</v>
      </c>
      <c r="Z103" s="329">
        <f t="shared" si="22"/>
        <v>0.32978862772877249</v>
      </c>
      <c r="AA103" s="329">
        <f t="shared" si="22"/>
        <v>0</v>
      </c>
      <c r="AB103" s="329">
        <f t="shared" si="22"/>
        <v>0</v>
      </c>
      <c r="AC103" s="329">
        <f t="shared" si="22"/>
        <v>8.5541981960587474</v>
      </c>
      <c r="AD103" s="329">
        <f t="shared" si="22"/>
        <v>191.70380069770326</v>
      </c>
    </row>
    <row r="104" spans="3:30" ht="14.25" customHeight="1" x14ac:dyDescent="0.2">
      <c r="C104" s="8" t="str">
        <v>Iran, Islamic Rep.</v>
      </c>
      <c r="D104" s="8" t="str">
        <v>Middle East &amp; North Africa</v>
      </c>
      <c r="E104" s="13" t="s">
        <v>580</v>
      </c>
      <c r="F104" s="124" t="str">
        <f t="shared" si="16"/>
        <v>Middle East &amp; North Africa_Lower middle income</v>
      </c>
      <c r="G104" s="329">
        <f t="shared" si="21"/>
        <v>18.10397927927896</v>
      </c>
      <c r="H104" s="329">
        <f t="shared" si="21"/>
        <v>183.05003240919942</v>
      </c>
      <c r="I104" s="329">
        <f t="shared" si="21"/>
        <v>8.9537853227281001</v>
      </c>
      <c r="J104" s="329">
        <f t="shared" si="21"/>
        <v>0.29929645004290506</v>
      </c>
      <c r="K104" s="329">
        <f t="shared" si="21"/>
        <v>183.05003240919942</v>
      </c>
      <c r="L104" s="329">
        <f t="shared" si="21"/>
        <v>8.9537853227281001</v>
      </c>
      <c r="M104" s="329">
        <f t="shared" si="21"/>
        <v>386.45224005661373</v>
      </c>
      <c r="N104" s="329">
        <f t="shared" si="21"/>
        <v>0.93587167759875556</v>
      </c>
      <c r="O104" s="329">
        <f t="shared" si="21"/>
        <v>4.1054973591834791</v>
      </c>
      <c r="P104" s="329">
        <f t="shared" si="21"/>
        <v>4.9289279581529488</v>
      </c>
      <c r="Q104" s="329">
        <f t="shared" si="22"/>
        <v>92.061010441720953</v>
      </c>
      <c r="R104" s="329">
        <f t="shared" si="22"/>
        <v>0.93587167759875556</v>
      </c>
      <c r="S104" s="329">
        <f t="shared" si="22"/>
        <v>4.1054973591834791</v>
      </c>
      <c r="T104" s="329">
        <f t="shared" si="22"/>
        <v>4.9289279581529488</v>
      </c>
      <c r="U104" s="329">
        <f t="shared" si="22"/>
        <v>0</v>
      </c>
      <c r="V104" s="329">
        <f t="shared" si="22"/>
        <v>4.1054973591834791</v>
      </c>
      <c r="W104" s="329">
        <f t="shared" si="22"/>
        <v>4.9289279581529488</v>
      </c>
      <c r="X104" s="329">
        <f t="shared" si="22"/>
        <v>0.93587167759875556</v>
      </c>
      <c r="Y104" s="329">
        <f t="shared" si="22"/>
        <v>386.45224005661373</v>
      </c>
      <c r="Z104" s="329">
        <f t="shared" si="22"/>
        <v>0.29929645004290506</v>
      </c>
      <c r="AA104" s="329">
        <f t="shared" si="22"/>
        <v>0</v>
      </c>
      <c r="AB104" s="329">
        <f t="shared" si="22"/>
        <v>0</v>
      </c>
      <c r="AC104" s="329">
        <f t="shared" si="22"/>
        <v>8.9537853227281001</v>
      </c>
      <c r="AD104" s="329">
        <f t="shared" si="22"/>
        <v>183.05003240919942</v>
      </c>
    </row>
    <row r="105" spans="3:30" ht="14.25" customHeight="1" x14ac:dyDescent="0.2">
      <c r="C105" s="8" t="str">
        <v>Iraq</v>
      </c>
      <c r="D105" s="8" t="str">
        <v>Middle East &amp; North Africa</v>
      </c>
      <c r="E105" s="13" t="s">
        <v>578</v>
      </c>
      <c r="F105" s="124" t="str">
        <f t="shared" si="16"/>
        <v>Middle East &amp; North Africa_Upper middle income</v>
      </c>
      <c r="G105" s="329">
        <f t="shared" si="21"/>
        <v>30.294715124539458</v>
      </c>
      <c r="H105" s="329">
        <f t="shared" si="21"/>
        <v>158.10218942291891</v>
      </c>
      <c r="I105" s="329">
        <f t="shared" si="21"/>
        <v>42.620212096282287</v>
      </c>
      <c r="J105" s="329">
        <f t="shared" si="21"/>
        <v>0.50493108962241351</v>
      </c>
      <c r="K105" s="329">
        <f t="shared" si="21"/>
        <v>158.10218942291891</v>
      </c>
      <c r="L105" s="329">
        <f t="shared" si="21"/>
        <v>42.620212096282287</v>
      </c>
      <c r="M105" s="329">
        <f t="shared" si="21"/>
        <v>384.65582734226996</v>
      </c>
      <c r="N105" s="329">
        <f t="shared" si="21"/>
        <v>36.769578376181798</v>
      </c>
      <c r="O105" s="329">
        <f t="shared" si="21"/>
        <v>3.8160436740925889</v>
      </c>
      <c r="P105" s="329">
        <f t="shared" si="21"/>
        <v>4.9289279581529488</v>
      </c>
      <c r="Q105" s="329">
        <f t="shared" si="22"/>
        <v>108.14207913996019</v>
      </c>
      <c r="R105" s="329">
        <f t="shared" si="22"/>
        <v>36.769578376181798</v>
      </c>
      <c r="S105" s="329">
        <f t="shared" si="22"/>
        <v>3.8160436740925889</v>
      </c>
      <c r="T105" s="329">
        <f t="shared" si="22"/>
        <v>4.9289279581529488</v>
      </c>
      <c r="U105" s="329">
        <f t="shared" si="22"/>
        <v>0</v>
      </c>
      <c r="V105" s="329">
        <f t="shared" si="22"/>
        <v>3.8160436740925889</v>
      </c>
      <c r="W105" s="329">
        <f t="shared" si="22"/>
        <v>4.9289279581529488</v>
      </c>
      <c r="X105" s="329">
        <f t="shared" si="22"/>
        <v>36.769578376181798</v>
      </c>
      <c r="Y105" s="329">
        <f t="shared" si="22"/>
        <v>384.65582734226996</v>
      </c>
      <c r="Z105" s="329">
        <f t="shared" si="22"/>
        <v>0.50493108962241351</v>
      </c>
      <c r="AA105" s="329">
        <f t="shared" si="22"/>
        <v>0</v>
      </c>
      <c r="AB105" s="329">
        <f t="shared" si="22"/>
        <v>0</v>
      </c>
      <c r="AC105" s="329">
        <f t="shared" si="22"/>
        <v>42.620212096282287</v>
      </c>
      <c r="AD105" s="329">
        <f t="shared" si="22"/>
        <v>158.10218942291891</v>
      </c>
    </row>
    <row r="106" spans="3:30" ht="14.25" customHeight="1" x14ac:dyDescent="0.2">
      <c r="C106" s="8" t="str">
        <v>Ireland</v>
      </c>
      <c r="D106" s="8" t="str">
        <v>Europe &amp; Central Asia</v>
      </c>
      <c r="E106" s="13" t="s">
        <v>579</v>
      </c>
      <c r="F106" s="124" t="str">
        <f t="shared" si="16"/>
        <v>Europe &amp; Central Asia_High income</v>
      </c>
      <c r="G106" s="329">
        <f t="shared" si="21"/>
        <v>50.604711609097421</v>
      </c>
      <c r="H106" s="329">
        <f t="shared" si="21"/>
        <v>187.00281170809052</v>
      </c>
      <c r="I106" s="329">
        <f t="shared" si="21"/>
        <v>18.261077109583127</v>
      </c>
      <c r="J106" s="329">
        <f t="shared" si="21"/>
        <v>0.85087568192287699</v>
      </c>
      <c r="K106" s="329">
        <f t="shared" si="21"/>
        <v>187.00281170809052</v>
      </c>
      <c r="L106" s="329">
        <f t="shared" si="21"/>
        <v>18.261077109583127</v>
      </c>
      <c r="M106" s="329">
        <f t="shared" si="21"/>
        <v>387.09116327699689</v>
      </c>
      <c r="N106" s="329">
        <f t="shared" si="21"/>
        <v>11.815991070906723</v>
      </c>
      <c r="O106" s="329">
        <f t="shared" si="21"/>
        <v>3.0631174306240565</v>
      </c>
      <c r="P106" s="329">
        <f t="shared" si="21"/>
        <v>4.9289279581529488</v>
      </c>
      <c r="Q106" s="329">
        <f t="shared" si="22"/>
        <v>85.178366659003103</v>
      </c>
      <c r="R106" s="329">
        <f t="shared" si="22"/>
        <v>11.815991070906723</v>
      </c>
      <c r="S106" s="329">
        <f t="shared" si="22"/>
        <v>3.0631174306240565</v>
      </c>
      <c r="T106" s="329">
        <f t="shared" si="22"/>
        <v>4.9289279581529488</v>
      </c>
      <c r="U106" s="329">
        <f t="shared" si="22"/>
        <v>0</v>
      </c>
      <c r="V106" s="329">
        <f t="shared" si="22"/>
        <v>3.0631174306240565</v>
      </c>
      <c r="W106" s="329">
        <f t="shared" si="22"/>
        <v>4.9289279581529488</v>
      </c>
      <c r="X106" s="329">
        <f t="shared" si="22"/>
        <v>11.815991070906723</v>
      </c>
      <c r="Y106" s="329">
        <f t="shared" si="22"/>
        <v>387.09116327699689</v>
      </c>
      <c r="Z106" s="329">
        <f t="shared" si="22"/>
        <v>0.85087568192287699</v>
      </c>
      <c r="AA106" s="329">
        <f t="shared" si="22"/>
        <v>0</v>
      </c>
      <c r="AB106" s="329">
        <f t="shared" si="22"/>
        <v>0</v>
      </c>
      <c r="AC106" s="329">
        <f t="shared" si="22"/>
        <v>18.261077109583127</v>
      </c>
      <c r="AD106" s="329">
        <f t="shared" si="22"/>
        <v>187.00281170809052</v>
      </c>
    </row>
    <row r="107" spans="3:30" ht="14.25" customHeight="1" x14ac:dyDescent="0.2">
      <c r="C107" s="8" t="str">
        <v>Isle of Man</v>
      </c>
      <c r="D107" s="8" t="str">
        <v>Europe &amp; Central Asia</v>
      </c>
      <c r="E107" s="13" t="s">
        <v>579</v>
      </c>
      <c r="F107" s="124" t="str">
        <f t="shared" si="16"/>
        <v>Europe &amp; Central Asia_High income</v>
      </c>
      <c r="G107" s="329">
        <f t="shared" si="21"/>
        <v>32.401299306692998</v>
      </c>
      <c r="H107" s="329">
        <f t="shared" si="21"/>
        <v>185.85127347327975</v>
      </c>
      <c r="I107" s="329">
        <f t="shared" si="21"/>
        <v>371.75902354309056</v>
      </c>
      <c r="J107" s="329">
        <f t="shared" si="21"/>
        <v>0.53910505368023443</v>
      </c>
      <c r="K107" s="329">
        <f t="shared" si="21"/>
        <v>185.85127347327975</v>
      </c>
      <c r="L107" s="329">
        <f t="shared" si="21"/>
        <v>371.75902354309056</v>
      </c>
      <c r="M107" s="329">
        <f t="shared" si="21"/>
        <v>385.53377512854041</v>
      </c>
      <c r="N107" s="329">
        <f t="shared" si="21"/>
        <v>25.640462448793837</v>
      </c>
      <c r="O107" s="329">
        <f t="shared" si="21"/>
        <v>3.6681185273460932</v>
      </c>
      <c r="P107" s="329">
        <f t="shared" si="21"/>
        <v>4.9289279581529506</v>
      </c>
      <c r="Q107" s="329">
        <f t="shared" si="22"/>
        <v>97.069054585259593</v>
      </c>
      <c r="R107" s="329">
        <f t="shared" si="22"/>
        <v>25.640462448793837</v>
      </c>
      <c r="S107" s="329">
        <f t="shared" si="22"/>
        <v>3.6681185273460932</v>
      </c>
      <c r="T107" s="329">
        <f t="shared" si="22"/>
        <v>4.9289279581529506</v>
      </c>
      <c r="U107" s="329">
        <f t="shared" si="22"/>
        <v>32.401299306692998</v>
      </c>
      <c r="V107" s="329">
        <f t="shared" si="22"/>
        <v>0</v>
      </c>
      <c r="W107" s="329">
        <f t="shared" si="22"/>
        <v>0</v>
      </c>
      <c r="X107" s="329">
        <f t="shared" si="22"/>
        <v>371.75902354309056</v>
      </c>
      <c r="Y107" s="329">
        <f t="shared" si="22"/>
        <v>185.85127347327975</v>
      </c>
      <c r="Z107" s="329">
        <f t="shared" si="22"/>
        <v>0.53910505368023443</v>
      </c>
      <c r="AA107" s="329">
        <f t="shared" si="22"/>
        <v>0</v>
      </c>
      <c r="AB107" s="329">
        <f t="shared" si="22"/>
        <v>0</v>
      </c>
      <c r="AC107" s="329">
        <f t="shared" si="22"/>
        <v>371.75902354309056</v>
      </c>
      <c r="AD107" s="329">
        <f t="shared" si="22"/>
        <v>185.85127347327975</v>
      </c>
    </row>
    <row r="108" spans="3:30" ht="14.25" customHeight="1" x14ac:dyDescent="0.2">
      <c r="C108" s="8" t="str">
        <v>Israel</v>
      </c>
      <c r="D108" s="8" t="str">
        <v>Middle East &amp; North Africa</v>
      </c>
      <c r="E108" s="13" t="s">
        <v>579</v>
      </c>
      <c r="F108" s="124" t="str">
        <f t="shared" si="16"/>
        <v>Middle East &amp; North Africa_High income</v>
      </c>
      <c r="G108" s="329">
        <f t="shared" si="21"/>
        <v>69.656524426851533</v>
      </c>
      <c r="H108" s="329">
        <f t="shared" si="21"/>
        <v>183.05003240919942</v>
      </c>
      <c r="I108" s="329">
        <f t="shared" si="21"/>
        <v>153.90667489063208</v>
      </c>
      <c r="J108" s="329">
        <f t="shared" si="21"/>
        <v>1.1725076251857522</v>
      </c>
      <c r="K108" s="329">
        <f t="shared" si="21"/>
        <v>183.05003240919942</v>
      </c>
      <c r="L108" s="329">
        <f t="shared" si="21"/>
        <v>153.90667489063208</v>
      </c>
      <c r="M108" s="329">
        <f t="shared" si="21"/>
        <v>386.46125192258035</v>
      </c>
      <c r="N108" s="329">
        <f t="shared" si="21"/>
        <v>202.50878275083176</v>
      </c>
      <c r="O108" s="329">
        <f t="shared" si="21"/>
        <v>3.3729407228166459</v>
      </c>
      <c r="P108" s="329">
        <f t="shared" si="21"/>
        <v>4.9289279581529488</v>
      </c>
      <c r="Q108" s="329">
        <f t="shared" si="22"/>
        <v>130.30626192258038</v>
      </c>
      <c r="R108" s="329">
        <f t="shared" si="22"/>
        <v>202.50878275083176</v>
      </c>
      <c r="S108" s="329">
        <f t="shared" si="22"/>
        <v>3.3729407228166459</v>
      </c>
      <c r="T108" s="329">
        <f t="shared" si="22"/>
        <v>4.9289279581529488</v>
      </c>
      <c r="U108" s="329">
        <f t="shared" si="22"/>
        <v>0</v>
      </c>
      <c r="V108" s="329">
        <f t="shared" si="22"/>
        <v>3.3729407228166459</v>
      </c>
      <c r="W108" s="329">
        <f t="shared" si="22"/>
        <v>4.9289279581529488</v>
      </c>
      <c r="X108" s="329">
        <f t="shared" si="22"/>
        <v>202.50878275083176</v>
      </c>
      <c r="Y108" s="329">
        <f t="shared" si="22"/>
        <v>386.46125192258035</v>
      </c>
      <c r="Z108" s="329">
        <f t="shared" si="22"/>
        <v>0</v>
      </c>
      <c r="AA108" s="329">
        <f t="shared" si="22"/>
        <v>3.3729407228166459</v>
      </c>
      <c r="AB108" s="329">
        <f t="shared" si="22"/>
        <v>4.9289279581529488</v>
      </c>
      <c r="AC108" s="329">
        <f t="shared" si="22"/>
        <v>202.50878275083176</v>
      </c>
      <c r="AD108" s="329">
        <f t="shared" si="22"/>
        <v>130.30626192258038</v>
      </c>
    </row>
    <row r="109" spans="3:30" ht="14.25" customHeight="1" x14ac:dyDescent="0.2">
      <c r="C109" s="8" t="str">
        <v>Italy</v>
      </c>
      <c r="D109" s="8" t="str">
        <v>Europe &amp; Central Asia</v>
      </c>
      <c r="E109" s="13" t="s">
        <v>579</v>
      </c>
      <c r="F109" s="124" t="str">
        <f t="shared" si="16"/>
        <v>Europe &amp; Central Asia_High income</v>
      </c>
      <c r="G109" s="329">
        <f t="shared" si="21"/>
        <v>65.68728310422992</v>
      </c>
      <c r="H109" s="329">
        <f t="shared" si="21"/>
        <v>187.00281170809052</v>
      </c>
      <c r="I109" s="329">
        <f t="shared" si="21"/>
        <v>43.335226883141225</v>
      </c>
      <c r="J109" s="329">
        <f t="shared" si="21"/>
        <v>1.0863768212547527</v>
      </c>
      <c r="K109" s="329">
        <f t="shared" si="21"/>
        <v>187.00281170809052</v>
      </c>
      <c r="L109" s="329">
        <f t="shared" si="21"/>
        <v>43.335226883141225</v>
      </c>
      <c r="M109" s="329">
        <f t="shared" si="21"/>
        <v>384.2925026798822</v>
      </c>
      <c r="N109" s="329">
        <f t="shared" si="21"/>
        <v>30.375159030239168</v>
      </c>
      <c r="O109" s="329">
        <f t="shared" si="21"/>
        <v>4.893025624972406</v>
      </c>
      <c r="P109" s="329">
        <f t="shared" si="21"/>
        <v>4.9289279581529488</v>
      </c>
      <c r="Q109" s="329">
        <f t="shared" si="22"/>
        <v>81.57488203211777</v>
      </c>
      <c r="R109" s="329">
        <f t="shared" si="22"/>
        <v>30.375159030239168</v>
      </c>
      <c r="S109" s="329">
        <f t="shared" si="22"/>
        <v>4.893025624972406</v>
      </c>
      <c r="T109" s="329">
        <f t="shared" si="22"/>
        <v>4.9289279581529488</v>
      </c>
      <c r="U109" s="329">
        <f t="shared" si="22"/>
        <v>0</v>
      </c>
      <c r="V109" s="329">
        <f t="shared" si="22"/>
        <v>4.893025624972406</v>
      </c>
      <c r="W109" s="329">
        <f t="shared" si="22"/>
        <v>4.9289279581529488</v>
      </c>
      <c r="X109" s="329">
        <f t="shared" si="22"/>
        <v>30.375159030239168</v>
      </c>
      <c r="Y109" s="329">
        <f t="shared" si="22"/>
        <v>384.2925026798822</v>
      </c>
      <c r="Z109" s="329">
        <f t="shared" si="22"/>
        <v>1.0863768212547527</v>
      </c>
      <c r="AA109" s="329">
        <f t="shared" si="22"/>
        <v>0</v>
      </c>
      <c r="AB109" s="329">
        <f t="shared" si="22"/>
        <v>0</v>
      </c>
      <c r="AC109" s="329">
        <f t="shared" si="22"/>
        <v>43.335226883141225</v>
      </c>
      <c r="AD109" s="329">
        <f t="shared" si="22"/>
        <v>187.00281170809052</v>
      </c>
    </row>
    <row r="110" spans="3:30" ht="14.25" customHeight="1" x14ac:dyDescent="0.2">
      <c r="C110" s="8" t="str">
        <v>Jamaica</v>
      </c>
      <c r="D110" s="8" t="str">
        <v>Latin America &amp; Caribbean</v>
      </c>
      <c r="E110" s="13" t="s">
        <v>578</v>
      </c>
      <c r="F110" s="124" t="str">
        <f t="shared" si="16"/>
        <v>Latin America &amp; Caribbean_Upper middle income</v>
      </c>
      <c r="G110" s="329">
        <f t="shared" si="21"/>
        <v>17.475065796705618</v>
      </c>
      <c r="H110" s="329">
        <f t="shared" si="21"/>
        <v>191.70380069770326</v>
      </c>
      <c r="I110" s="329">
        <f t="shared" si="21"/>
        <v>26.248612574492679</v>
      </c>
      <c r="J110" s="329">
        <f t="shared" si="21"/>
        <v>0.29452358084335312</v>
      </c>
      <c r="K110" s="329">
        <f t="shared" si="21"/>
        <v>191.70380069770326</v>
      </c>
      <c r="L110" s="329">
        <f t="shared" si="21"/>
        <v>26.248612574492679</v>
      </c>
      <c r="M110" s="329">
        <f t="shared" si="21"/>
        <v>387.80522999999999</v>
      </c>
      <c r="N110" s="329">
        <f t="shared" si="21"/>
        <v>0</v>
      </c>
      <c r="O110" s="329">
        <f t="shared" si="21"/>
        <v>1.62423704525629</v>
      </c>
      <c r="P110" s="329">
        <f t="shared" si="21"/>
        <v>4.9289279581529488</v>
      </c>
      <c r="Q110" s="329">
        <f t="shared" si="22"/>
        <v>131.65024000000003</v>
      </c>
      <c r="R110" s="329">
        <f t="shared" si="22"/>
        <v>0</v>
      </c>
      <c r="S110" s="329">
        <f t="shared" si="22"/>
        <v>1.62423704525629</v>
      </c>
      <c r="T110" s="329">
        <f t="shared" si="22"/>
        <v>4.9289279581529488</v>
      </c>
      <c r="U110" s="329">
        <f t="shared" si="22"/>
        <v>0</v>
      </c>
      <c r="V110" s="329">
        <f t="shared" si="22"/>
        <v>1.62423704525629</v>
      </c>
      <c r="W110" s="329">
        <f t="shared" si="22"/>
        <v>4.9289279581529488</v>
      </c>
      <c r="X110" s="329">
        <f t="shared" si="22"/>
        <v>0</v>
      </c>
      <c r="Y110" s="329">
        <f t="shared" si="22"/>
        <v>387.80522999999999</v>
      </c>
      <c r="Z110" s="329">
        <f t="shared" si="22"/>
        <v>0.29452358084335312</v>
      </c>
      <c r="AA110" s="329">
        <f t="shared" si="22"/>
        <v>0</v>
      </c>
      <c r="AB110" s="329">
        <f t="shared" si="22"/>
        <v>0</v>
      </c>
      <c r="AC110" s="329">
        <f t="shared" si="22"/>
        <v>26.248612574492679</v>
      </c>
      <c r="AD110" s="329">
        <f t="shared" si="22"/>
        <v>191.70380069770326</v>
      </c>
    </row>
    <row r="111" spans="3:30" ht="14.25" customHeight="1" x14ac:dyDescent="0.2">
      <c r="C111" s="8" t="str">
        <v>Japan</v>
      </c>
      <c r="D111" s="8" t="str">
        <v>East Asia &amp; Pacific</v>
      </c>
      <c r="E111" s="13" t="s">
        <v>579</v>
      </c>
      <c r="F111" s="124" t="str">
        <f t="shared" si="16"/>
        <v>East Asia &amp; Pacific_High income</v>
      </c>
      <c r="G111" s="329">
        <f t="shared" si="21"/>
        <v>39.571923440091616</v>
      </c>
      <c r="H111" s="329">
        <f t="shared" si="21"/>
        <v>187.00281170809052</v>
      </c>
      <c r="I111" s="329">
        <f t="shared" si="21"/>
        <v>14.883744357578292</v>
      </c>
      <c r="J111" s="329">
        <f t="shared" si="21"/>
        <v>0.66239425473184965</v>
      </c>
      <c r="K111" s="329">
        <f t="shared" si="21"/>
        <v>187.00281170809052</v>
      </c>
      <c r="L111" s="329">
        <f t="shared" si="21"/>
        <v>14.883744357578292</v>
      </c>
      <c r="M111" s="329">
        <f t="shared" si="21"/>
        <v>333.45399552542318</v>
      </c>
      <c r="N111" s="329">
        <f t="shared" si="21"/>
        <v>75.161053177296893</v>
      </c>
      <c r="O111" s="329">
        <f t="shared" si="21"/>
        <v>2.8034958178543286</v>
      </c>
      <c r="P111" s="329">
        <f t="shared" si="21"/>
        <v>4.9289279581529488</v>
      </c>
      <c r="Q111" s="329">
        <f t="shared" si="22"/>
        <v>77.299005525423212</v>
      </c>
      <c r="R111" s="329">
        <f t="shared" si="22"/>
        <v>75.161053177296893</v>
      </c>
      <c r="S111" s="329">
        <f t="shared" si="22"/>
        <v>2.8034958178543286</v>
      </c>
      <c r="T111" s="329">
        <f t="shared" si="22"/>
        <v>4.9289279581529488</v>
      </c>
      <c r="U111" s="329">
        <f t="shared" si="22"/>
        <v>0</v>
      </c>
      <c r="V111" s="329">
        <f t="shared" si="22"/>
        <v>2.8034958178543286</v>
      </c>
      <c r="W111" s="329">
        <f t="shared" si="22"/>
        <v>4.9289279581529488</v>
      </c>
      <c r="X111" s="329">
        <f t="shared" si="22"/>
        <v>75.161053177296893</v>
      </c>
      <c r="Y111" s="329">
        <f t="shared" si="22"/>
        <v>333.45399552542318</v>
      </c>
      <c r="Z111" s="329">
        <f t="shared" si="22"/>
        <v>0.66239425473184965</v>
      </c>
      <c r="AA111" s="329">
        <f t="shared" si="22"/>
        <v>0</v>
      </c>
      <c r="AB111" s="329">
        <f t="shared" si="22"/>
        <v>0</v>
      </c>
      <c r="AC111" s="329">
        <f t="shared" si="22"/>
        <v>14.883744357578292</v>
      </c>
      <c r="AD111" s="329">
        <f t="shared" si="22"/>
        <v>187.00281170809052</v>
      </c>
    </row>
    <row r="112" spans="3:30" ht="14.25" customHeight="1" x14ac:dyDescent="0.2">
      <c r="C112" s="8" t="str">
        <v>Jordan</v>
      </c>
      <c r="D112" s="8" t="str">
        <v>Middle East &amp; North Africa</v>
      </c>
      <c r="E112" s="13" t="s">
        <v>580</v>
      </c>
      <c r="F112" s="124" t="str">
        <f t="shared" si="16"/>
        <v>Middle East &amp; North Africa_Lower middle income</v>
      </c>
      <c r="G112" s="329">
        <f t="shared" si="21"/>
        <v>11.788358879211817</v>
      </c>
      <c r="H112" s="329">
        <f t="shared" si="21"/>
        <v>183.05003240919942</v>
      </c>
      <c r="I112" s="329">
        <f t="shared" si="21"/>
        <v>16.035827290258691</v>
      </c>
      <c r="J112" s="329">
        <f t="shared" si="21"/>
        <v>0.19496315331975875</v>
      </c>
      <c r="K112" s="329">
        <f t="shared" si="21"/>
        <v>183.05003240919942</v>
      </c>
      <c r="L112" s="329">
        <f t="shared" si="21"/>
        <v>16.035827290258691</v>
      </c>
      <c r="M112" s="329">
        <f t="shared" si="21"/>
        <v>387.74407519489279</v>
      </c>
      <c r="N112" s="329">
        <f t="shared" si="21"/>
        <v>0</v>
      </c>
      <c r="O112" s="329">
        <f t="shared" si="21"/>
        <v>4.0026763251670285</v>
      </c>
      <c r="P112" s="329">
        <f t="shared" si="21"/>
        <v>4.9289279581529488</v>
      </c>
      <c r="Q112" s="329">
        <f t="shared" si="22"/>
        <v>55.11660596510724</v>
      </c>
      <c r="R112" s="329">
        <f t="shared" si="22"/>
        <v>0</v>
      </c>
      <c r="S112" s="329">
        <f t="shared" si="22"/>
        <v>4.0026763251670285</v>
      </c>
      <c r="T112" s="329">
        <f t="shared" si="22"/>
        <v>4.9289279581529488</v>
      </c>
      <c r="U112" s="329">
        <f t="shared" si="22"/>
        <v>0</v>
      </c>
      <c r="V112" s="329">
        <f t="shared" si="22"/>
        <v>4.0026763251670285</v>
      </c>
      <c r="W112" s="329">
        <f t="shared" si="22"/>
        <v>4.9289279581529488</v>
      </c>
      <c r="X112" s="329">
        <f t="shared" si="22"/>
        <v>0</v>
      </c>
      <c r="Y112" s="329">
        <f t="shared" si="22"/>
        <v>387.74407519489279</v>
      </c>
      <c r="Z112" s="329">
        <f t="shared" si="22"/>
        <v>0.19496315331975875</v>
      </c>
      <c r="AA112" s="329">
        <f t="shared" si="22"/>
        <v>0</v>
      </c>
      <c r="AB112" s="329">
        <f t="shared" si="22"/>
        <v>0</v>
      </c>
      <c r="AC112" s="329">
        <f t="shared" si="22"/>
        <v>16.035827290258691</v>
      </c>
      <c r="AD112" s="329">
        <f t="shared" si="22"/>
        <v>183.05003240919942</v>
      </c>
    </row>
    <row r="113" spans="3:30" ht="14.25" customHeight="1" x14ac:dyDescent="0.2">
      <c r="C113" s="8" t="str">
        <v>Kazakhstan</v>
      </c>
      <c r="D113" s="8" t="str">
        <v>Europe &amp; Central Asia</v>
      </c>
      <c r="E113" s="13" t="s">
        <v>578</v>
      </c>
      <c r="F113" s="124" t="str">
        <f t="shared" si="16"/>
        <v>Europe &amp; Central Asia_Upper middle income</v>
      </c>
      <c r="G113" s="329">
        <f t="shared" ref="G113:P122" si="23">IFERROR(IF(INDEX(Interim_Coefficients,MATCH($C113,Interim_Countries,0),MATCH(G$12,Interim_type,0))="No value",INDEX(Interim_CombinedCoefficients,MATCH($F113,Interim_CombinedTag,0),MATCH(G$12,Interim_CombinedType,0)),INDEX(Interim_Coefficients,MATCH($C113,Interim_Countries,0),MATCH(G$12,Interim_type,0))),INDEX(Interim_CombinedCoefficients,MATCH($F113,Interim_CombinedTag,0),MATCH(G$12,Interim_CombinedType,0)))</f>
        <v>19.63003739407586</v>
      </c>
      <c r="H113" s="329">
        <f t="shared" si="23"/>
        <v>187.00281170809052</v>
      </c>
      <c r="I113" s="329">
        <f t="shared" si="23"/>
        <v>152.66999372239431</v>
      </c>
      <c r="J113" s="329">
        <f t="shared" si="23"/>
        <v>0.33005732005694194</v>
      </c>
      <c r="K113" s="329">
        <f t="shared" si="23"/>
        <v>187.00281170809052</v>
      </c>
      <c r="L113" s="329">
        <f t="shared" si="23"/>
        <v>152.66999372239431</v>
      </c>
      <c r="M113" s="329">
        <f t="shared" si="23"/>
        <v>380.27773922168274</v>
      </c>
      <c r="N113" s="329">
        <f t="shared" si="23"/>
        <v>4.5928298109575465</v>
      </c>
      <c r="O113" s="329">
        <f t="shared" si="23"/>
        <v>3.6994518758026187</v>
      </c>
      <c r="P113" s="329">
        <f t="shared" si="23"/>
        <v>4.9289279581529488</v>
      </c>
      <c r="Q113" s="329">
        <f t="shared" ref="Q113:AD122" si="24">IFERROR(IF(INDEX(Interim_Coefficients,MATCH($C113,Interim_Countries,0),MATCH(Q$12,Interim_type,0))="No value",INDEX(Interim_CombinedCoefficients,MATCH($F113,Interim_CombinedTag,0),MATCH(Q$12,Interim_CombinedType,0)),INDEX(Interim_Coefficients,MATCH($C113,Interim_Countries,0),MATCH(Q$12,Interim_type,0))),INDEX(Interim_CombinedCoefficients,MATCH($F113,Interim_CombinedTag,0),MATCH(Q$12,Interim_CombinedType,0)))</f>
        <v>94.874795267611404</v>
      </c>
      <c r="R113" s="329">
        <f t="shared" si="24"/>
        <v>4.5928298109575465</v>
      </c>
      <c r="S113" s="329">
        <f t="shared" si="24"/>
        <v>3.6994518758026187</v>
      </c>
      <c r="T113" s="329">
        <f t="shared" si="24"/>
        <v>4.9289279581529488</v>
      </c>
      <c r="U113" s="329">
        <f t="shared" si="24"/>
        <v>0</v>
      </c>
      <c r="V113" s="329">
        <f t="shared" si="24"/>
        <v>3.6994518758026187</v>
      </c>
      <c r="W113" s="329">
        <f t="shared" si="24"/>
        <v>4.9289279581529488</v>
      </c>
      <c r="X113" s="329">
        <f t="shared" si="24"/>
        <v>4.5928298109575465</v>
      </c>
      <c r="Y113" s="329">
        <f t="shared" si="24"/>
        <v>380.27773922168274</v>
      </c>
      <c r="Z113" s="329">
        <f t="shared" si="24"/>
        <v>0.33005732005694194</v>
      </c>
      <c r="AA113" s="329">
        <f t="shared" si="24"/>
        <v>0</v>
      </c>
      <c r="AB113" s="329">
        <f t="shared" si="24"/>
        <v>0</v>
      </c>
      <c r="AC113" s="329">
        <f t="shared" si="24"/>
        <v>152.66999372239431</v>
      </c>
      <c r="AD113" s="329">
        <f t="shared" si="24"/>
        <v>187.00281170809052</v>
      </c>
    </row>
    <row r="114" spans="3:30" ht="14.25" customHeight="1" x14ac:dyDescent="0.2">
      <c r="C114" s="8" t="str">
        <v>Kenya</v>
      </c>
      <c r="D114" s="8" t="str">
        <v>Sub-Saharan Africa</v>
      </c>
      <c r="E114" s="13" t="s">
        <v>580</v>
      </c>
      <c r="F114" s="124" t="str">
        <f t="shared" si="16"/>
        <v>Sub-Saharan Africa_Lower middle income</v>
      </c>
      <c r="G114" s="329">
        <f t="shared" si="23"/>
        <v>23.309971460536438</v>
      </c>
      <c r="H114" s="329">
        <f t="shared" si="23"/>
        <v>136.54200831083281</v>
      </c>
      <c r="I114" s="329">
        <f t="shared" si="23"/>
        <v>48.066711217553774</v>
      </c>
      <c r="J114" s="329">
        <f t="shared" si="23"/>
        <v>0.38963996426925313</v>
      </c>
      <c r="K114" s="329">
        <f t="shared" si="23"/>
        <v>136.54200831083281</v>
      </c>
      <c r="L114" s="329">
        <f t="shared" si="23"/>
        <v>48.066711217553774</v>
      </c>
      <c r="M114" s="329">
        <f t="shared" si="23"/>
        <v>386.36066988979189</v>
      </c>
      <c r="N114" s="329">
        <f t="shared" si="23"/>
        <v>3.0069383810950008</v>
      </c>
      <c r="O114" s="329">
        <f t="shared" si="23"/>
        <v>6.2955859660608509</v>
      </c>
      <c r="P114" s="329">
        <f t="shared" si="23"/>
        <v>4.9289279581529488</v>
      </c>
      <c r="Q114" s="329">
        <f t="shared" si="24"/>
        <v>124.01862912013361</v>
      </c>
      <c r="R114" s="329">
        <f t="shared" si="24"/>
        <v>3.0069383810950008</v>
      </c>
      <c r="S114" s="329">
        <f t="shared" si="24"/>
        <v>6.2955859660608509</v>
      </c>
      <c r="T114" s="329">
        <f t="shared" si="24"/>
        <v>4.9289279581529488</v>
      </c>
      <c r="U114" s="329">
        <f t="shared" si="24"/>
        <v>0</v>
      </c>
      <c r="V114" s="329">
        <f t="shared" si="24"/>
        <v>6.2955859660608509</v>
      </c>
      <c r="W114" s="329">
        <f t="shared" si="24"/>
        <v>4.9289279581529488</v>
      </c>
      <c r="X114" s="329">
        <f t="shared" si="24"/>
        <v>3.0069383810950008</v>
      </c>
      <c r="Y114" s="329">
        <f t="shared" si="24"/>
        <v>386.36066988979189</v>
      </c>
      <c r="Z114" s="329">
        <f t="shared" si="24"/>
        <v>0.38963996426925313</v>
      </c>
      <c r="AA114" s="329">
        <f t="shared" si="24"/>
        <v>0</v>
      </c>
      <c r="AB114" s="329">
        <f t="shared" si="24"/>
        <v>0</v>
      </c>
      <c r="AC114" s="329">
        <f t="shared" si="24"/>
        <v>48.066711217553774</v>
      </c>
      <c r="AD114" s="329">
        <f t="shared" si="24"/>
        <v>136.54200831083281</v>
      </c>
    </row>
    <row r="115" spans="3:30" ht="14.25" customHeight="1" x14ac:dyDescent="0.2">
      <c r="C115" s="8" t="str">
        <v>Kiribati</v>
      </c>
      <c r="D115" s="8" t="str">
        <v>East Asia &amp; Pacific</v>
      </c>
      <c r="E115" s="13" t="s">
        <v>580</v>
      </c>
      <c r="F115" s="124" t="str">
        <f t="shared" si="16"/>
        <v>East Asia &amp; Pacific_Lower middle income</v>
      </c>
      <c r="G115" s="329">
        <f t="shared" si="23"/>
        <v>21.040892851983276</v>
      </c>
      <c r="H115" s="329">
        <f t="shared" si="23"/>
        <v>185.01256757493803</v>
      </c>
      <c r="I115" s="329">
        <f t="shared" si="23"/>
        <v>304.6771769642977</v>
      </c>
      <c r="J115" s="329">
        <f t="shared" si="23"/>
        <v>0.34423100460524525</v>
      </c>
      <c r="K115" s="329">
        <f t="shared" si="23"/>
        <v>185.01256757493803</v>
      </c>
      <c r="L115" s="329">
        <f t="shared" si="23"/>
        <v>304.6771769642977</v>
      </c>
      <c r="M115" s="329">
        <f t="shared" si="23"/>
        <v>376.62670320349753</v>
      </c>
      <c r="N115" s="329">
        <f t="shared" si="23"/>
        <v>23.80079428655403</v>
      </c>
      <c r="O115" s="329">
        <f t="shared" si="23"/>
        <v>4.2989077809646146</v>
      </c>
      <c r="P115" s="329">
        <f t="shared" si="23"/>
        <v>4.9289279581529488</v>
      </c>
      <c r="Q115" s="329">
        <f t="shared" si="24"/>
        <v>120.47171320349753</v>
      </c>
      <c r="R115" s="329">
        <f t="shared" si="24"/>
        <v>23.80079428655403</v>
      </c>
      <c r="S115" s="329">
        <f t="shared" si="24"/>
        <v>4.2989077809646146</v>
      </c>
      <c r="T115" s="329">
        <f t="shared" si="24"/>
        <v>4.9289279581529488</v>
      </c>
      <c r="U115" s="329">
        <f t="shared" si="24"/>
        <v>21.040892851983276</v>
      </c>
      <c r="V115" s="329">
        <f t="shared" si="24"/>
        <v>0</v>
      </c>
      <c r="W115" s="329">
        <f t="shared" si="24"/>
        <v>0</v>
      </c>
      <c r="X115" s="329">
        <f t="shared" si="24"/>
        <v>304.6771769642977</v>
      </c>
      <c r="Y115" s="329">
        <f t="shared" si="24"/>
        <v>185.01256757493803</v>
      </c>
      <c r="Z115" s="329">
        <f t="shared" si="24"/>
        <v>0.34423100460524525</v>
      </c>
      <c r="AA115" s="329">
        <f t="shared" si="24"/>
        <v>0</v>
      </c>
      <c r="AB115" s="329">
        <f t="shared" si="24"/>
        <v>0</v>
      </c>
      <c r="AC115" s="329">
        <f t="shared" si="24"/>
        <v>304.6771769642977</v>
      </c>
      <c r="AD115" s="329">
        <f t="shared" si="24"/>
        <v>185.01256757493803</v>
      </c>
    </row>
    <row r="116" spans="3:30" ht="14.25" customHeight="1" x14ac:dyDescent="0.2">
      <c r="C116" s="8" t="str">
        <v>Korea, Dem. People's Rep.</v>
      </c>
      <c r="D116" s="8" t="str">
        <v>East Asia &amp; Pacific</v>
      </c>
      <c r="E116" s="13" t="s">
        <v>586</v>
      </c>
      <c r="F116" s="124" t="str">
        <f t="shared" si="16"/>
        <v>East Asia &amp; Pacific_Low income</v>
      </c>
      <c r="G116" s="329">
        <f t="shared" si="23"/>
        <v>26.699525285506063</v>
      </c>
      <c r="H116" s="329">
        <f t="shared" si="23"/>
        <v>179.95944080257644</v>
      </c>
      <c r="I116" s="329">
        <f t="shared" si="23"/>
        <v>95.044503314672568</v>
      </c>
      <c r="J116" s="329">
        <f t="shared" si="23"/>
        <v>0.44297760401666381</v>
      </c>
      <c r="K116" s="329">
        <f t="shared" si="23"/>
        <v>179.95944080257644</v>
      </c>
      <c r="L116" s="329">
        <f t="shared" si="23"/>
        <v>95.044503314672568</v>
      </c>
      <c r="M116" s="329">
        <f t="shared" si="23"/>
        <v>378.86939872183012</v>
      </c>
      <c r="N116" s="329">
        <f t="shared" si="23"/>
        <v>26.267127076778895</v>
      </c>
      <c r="O116" s="329">
        <f t="shared" si="23"/>
        <v>7.4353627579260362</v>
      </c>
      <c r="P116" s="329">
        <f t="shared" si="23"/>
        <v>4.9289279581529479</v>
      </c>
      <c r="Q116" s="329">
        <f t="shared" si="24"/>
        <v>109.04474214476518</v>
      </c>
      <c r="R116" s="329">
        <f t="shared" si="24"/>
        <v>26.267127076778895</v>
      </c>
      <c r="S116" s="329">
        <f t="shared" si="24"/>
        <v>7.4353627579260362</v>
      </c>
      <c r="T116" s="329">
        <f t="shared" si="24"/>
        <v>4.9289279581529479</v>
      </c>
      <c r="U116" s="329">
        <f t="shared" si="24"/>
        <v>0</v>
      </c>
      <c r="V116" s="329">
        <f t="shared" si="24"/>
        <v>7.4353627579260362</v>
      </c>
      <c r="W116" s="329">
        <f t="shared" si="24"/>
        <v>4.9289279581529479</v>
      </c>
      <c r="X116" s="329">
        <f t="shared" si="24"/>
        <v>26.267127076778895</v>
      </c>
      <c r="Y116" s="329">
        <f t="shared" si="24"/>
        <v>378.86939872183012</v>
      </c>
      <c r="Z116" s="329">
        <f t="shared" si="24"/>
        <v>0.44297760401666381</v>
      </c>
      <c r="AA116" s="329">
        <f t="shared" si="24"/>
        <v>0</v>
      </c>
      <c r="AB116" s="329">
        <f t="shared" si="24"/>
        <v>0</v>
      </c>
      <c r="AC116" s="329">
        <f t="shared" si="24"/>
        <v>95.044503314672568</v>
      </c>
      <c r="AD116" s="329">
        <f t="shared" si="24"/>
        <v>179.95944080257644</v>
      </c>
    </row>
    <row r="117" spans="3:30" ht="14.25" customHeight="1" x14ac:dyDescent="0.2">
      <c r="C117" s="8" t="str">
        <v>Korea, Rep.</v>
      </c>
      <c r="D117" s="8" t="str">
        <v>East Asia &amp; Pacific</v>
      </c>
      <c r="E117" s="13" t="s">
        <v>579</v>
      </c>
      <c r="F117" s="124" t="str">
        <f t="shared" si="16"/>
        <v>East Asia &amp; Pacific_High income</v>
      </c>
      <c r="G117" s="329">
        <f t="shared" si="23"/>
        <v>91.903129757406873</v>
      </c>
      <c r="H117" s="329">
        <f t="shared" si="23"/>
        <v>178.32133445217278</v>
      </c>
      <c r="I117" s="329">
        <f t="shared" si="23"/>
        <v>387.70478954118727</v>
      </c>
      <c r="J117" s="329">
        <f t="shared" si="23"/>
        <v>1.5489291532147225</v>
      </c>
      <c r="K117" s="329">
        <f t="shared" si="23"/>
        <v>178.32133445217278</v>
      </c>
      <c r="L117" s="329">
        <f t="shared" si="23"/>
        <v>387.70478954118727</v>
      </c>
      <c r="M117" s="329">
        <f t="shared" si="23"/>
        <v>369.99741046427403</v>
      </c>
      <c r="N117" s="329">
        <f t="shared" si="23"/>
        <v>272.14374904568507</v>
      </c>
      <c r="O117" s="329">
        <f t="shared" si="23"/>
        <v>3.3237770815962864</v>
      </c>
      <c r="P117" s="329">
        <f t="shared" si="23"/>
        <v>4.9289279581529488</v>
      </c>
      <c r="Q117" s="329">
        <f t="shared" si="24"/>
        <v>113.84242046427407</v>
      </c>
      <c r="R117" s="329">
        <f t="shared" si="24"/>
        <v>272.14374904568507</v>
      </c>
      <c r="S117" s="329">
        <f t="shared" si="24"/>
        <v>3.3237770815962864</v>
      </c>
      <c r="T117" s="329">
        <f t="shared" si="24"/>
        <v>4.9289279581529488</v>
      </c>
      <c r="U117" s="329">
        <f t="shared" si="24"/>
        <v>91.903129757406873</v>
      </c>
      <c r="V117" s="329">
        <f t="shared" si="24"/>
        <v>0</v>
      </c>
      <c r="W117" s="329">
        <f t="shared" si="24"/>
        <v>0</v>
      </c>
      <c r="X117" s="329">
        <f t="shared" si="24"/>
        <v>387.70478954118727</v>
      </c>
      <c r="Y117" s="329">
        <f t="shared" si="24"/>
        <v>178.32133445217278</v>
      </c>
      <c r="Z117" s="329">
        <f t="shared" si="24"/>
        <v>1.5489291532147225</v>
      </c>
      <c r="AA117" s="329">
        <f t="shared" si="24"/>
        <v>0</v>
      </c>
      <c r="AB117" s="329">
        <f t="shared" si="24"/>
        <v>0</v>
      </c>
      <c r="AC117" s="329">
        <f t="shared" si="24"/>
        <v>387.70478954118727</v>
      </c>
      <c r="AD117" s="329">
        <f t="shared" si="24"/>
        <v>178.32133445217278</v>
      </c>
    </row>
    <row r="118" spans="3:30" ht="14.25" customHeight="1" x14ac:dyDescent="0.2">
      <c r="C118" s="8" t="str">
        <v>Kosovo</v>
      </c>
      <c r="D118" s="8" t="str">
        <v>Europe &amp; Central Asia</v>
      </c>
      <c r="E118" s="13" t="s">
        <v>578</v>
      </c>
      <c r="F118" s="124" t="str">
        <f t="shared" si="16"/>
        <v>Europe &amp; Central Asia_Upper middle income</v>
      </c>
      <c r="G118" s="329">
        <f t="shared" si="23"/>
        <v>19.63003739407586</v>
      </c>
      <c r="H118" s="329">
        <f t="shared" si="23"/>
        <v>187.00281170809052</v>
      </c>
      <c r="I118" s="329">
        <f t="shared" si="23"/>
        <v>152.66999372239431</v>
      </c>
      <c r="J118" s="329">
        <f t="shared" si="23"/>
        <v>0.33005732005694194</v>
      </c>
      <c r="K118" s="329">
        <f t="shared" si="23"/>
        <v>187.00281170809052</v>
      </c>
      <c r="L118" s="329">
        <f t="shared" si="23"/>
        <v>152.66999372239431</v>
      </c>
      <c r="M118" s="329">
        <f t="shared" si="23"/>
        <v>380.27773922168274</v>
      </c>
      <c r="N118" s="329">
        <f t="shared" si="23"/>
        <v>4.5928298109575465</v>
      </c>
      <c r="O118" s="329">
        <f t="shared" si="23"/>
        <v>3.6994518758026187</v>
      </c>
      <c r="P118" s="329">
        <f t="shared" si="23"/>
        <v>4.9289279581529488</v>
      </c>
      <c r="Q118" s="329">
        <f t="shared" si="24"/>
        <v>94.874795267611404</v>
      </c>
      <c r="R118" s="329">
        <f t="shared" si="24"/>
        <v>4.5928298109575465</v>
      </c>
      <c r="S118" s="329">
        <f t="shared" si="24"/>
        <v>3.6994518758026187</v>
      </c>
      <c r="T118" s="329">
        <f t="shared" si="24"/>
        <v>4.9289279581529488</v>
      </c>
      <c r="U118" s="329">
        <f t="shared" si="24"/>
        <v>0</v>
      </c>
      <c r="V118" s="329">
        <f t="shared" si="24"/>
        <v>3.6994518758026187</v>
      </c>
      <c r="W118" s="329">
        <f t="shared" si="24"/>
        <v>4.9289279581529488</v>
      </c>
      <c r="X118" s="329">
        <f t="shared" si="24"/>
        <v>4.5928298109575465</v>
      </c>
      <c r="Y118" s="329">
        <f t="shared" si="24"/>
        <v>380.27773922168274</v>
      </c>
      <c r="Z118" s="329">
        <f t="shared" si="24"/>
        <v>0.33005732005694194</v>
      </c>
      <c r="AA118" s="329">
        <f t="shared" si="24"/>
        <v>0</v>
      </c>
      <c r="AB118" s="329">
        <f t="shared" si="24"/>
        <v>0</v>
      </c>
      <c r="AC118" s="329">
        <f t="shared" si="24"/>
        <v>152.66999372239431</v>
      </c>
      <c r="AD118" s="329">
        <f t="shared" si="24"/>
        <v>187.00281170809052</v>
      </c>
    </row>
    <row r="119" spans="3:30" ht="14.25" customHeight="1" x14ac:dyDescent="0.2">
      <c r="C119" s="8" t="str">
        <v>Kuwait</v>
      </c>
      <c r="D119" s="8" t="str">
        <v>Middle East &amp; North Africa</v>
      </c>
      <c r="E119" s="13" t="s">
        <v>579</v>
      </c>
      <c r="F119" s="124" t="str">
        <f t="shared" si="16"/>
        <v>Middle East &amp; North Africa_High income</v>
      </c>
      <c r="G119" s="329">
        <f t="shared" si="23"/>
        <v>69.656524426851533</v>
      </c>
      <c r="H119" s="329">
        <f t="shared" si="23"/>
        <v>183.05003240919942</v>
      </c>
      <c r="I119" s="329">
        <f t="shared" si="23"/>
        <v>153.90667489063208</v>
      </c>
      <c r="J119" s="329">
        <f t="shared" si="23"/>
        <v>1.1725076251857522</v>
      </c>
      <c r="K119" s="329">
        <f t="shared" si="23"/>
        <v>183.05003240919942</v>
      </c>
      <c r="L119" s="329">
        <f t="shared" si="23"/>
        <v>153.90667489063208</v>
      </c>
      <c r="M119" s="329">
        <f t="shared" si="23"/>
        <v>386.46125192258035</v>
      </c>
      <c r="N119" s="329">
        <f t="shared" si="23"/>
        <v>202.50878275083176</v>
      </c>
      <c r="O119" s="329">
        <f t="shared" si="23"/>
        <v>3.3729407228166459</v>
      </c>
      <c r="P119" s="329">
        <f t="shared" si="23"/>
        <v>4.9289279581529488</v>
      </c>
      <c r="Q119" s="329">
        <f t="shared" si="24"/>
        <v>130.30626192258038</v>
      </c>
      <c r="R119" s="329">
        <f t="shared" si="24"/>
        <v>202.50878275083176</v>
      </c>
      <c r="S119" s="329">
        <f t="shared" si="24"/>
        <v>3.3729407228166459</v>
      </c>
      <c r="T119" s="329">
        <f t="shared" si="24"/>
        <v>4.9289279581529488</v>
      </c>
      <c r="U119" s="329">
        <f t="shared" si="24"/>
        <v>0</v>
      </c>
      <c r="V119" s="329">
        <f t="shared" si="24"/>
        <v>3.3729407228166459</v>
      </c>
      <c r="W119" s="329">
        <f t="shared" si="24"/>
        <v>4.9289279581529488</v>
      </c>
      <c r="X119" s="329">
        <f t="shared" si="24"/>
        <v>202.50878275083176</v>
      </c>
      <c r="Y119" s="329">
        <f t="shared" si="24"/>
        <v>386.46125192258035</v>
      </c>
      <c r="Z119" s="329">
        <f t="shared" si="24"/>
        <v>0</v>
      </c>
      <c r="AA119" s="329">
        <f t="shared" si="24"/>
        <v>3.3729407228166459</v>
      </c>
      <c r="AB119" s="329">
        <f t="shared" si="24"/>
        <v>4.9289279581529488</v>
      </c>
      <c r="AC119" s="329">
        <f t="shared" si="24"/>
        <v>202.50878275083176</v>
      </c>
      <c r="AD119" s="329">
        <f t="shared" si="24"/>
        <v>130.30626192258038</v>
      </c>
    </row>
    <row r="120" spans="3:30" ht="14.25" customHeight="1" x14ac:dyDescent="0.2">
      <c r="C120" s="8" t="str">
        <v>Kyrgyz Republic</v>
      </c>
      <c r="D120" s="8" t="str">
        <v>Europe &amp; Central Asia</v>
      </c>
      <c r="E120" s="13" t="s">
        <v>580</v>
      </c>
      <c r="F120" s="124" t="str">
        <f t="shared" si="16"/>
        <v>Europe &amp; Central Asia_Lower middle income</v>
      </c>
      <c r="G120" s="329">
        <f t="shared" si="23"/>
        <v>16.389890404618974</v>
      </c>
      <c r="H120" s="329">
        <f t="shared" si="23"/>
        <v>187.00281170809052</v>
      </c>
      <c r="I120" s="329">
        <f t="shared" si="23"/>
        <v>6.1196654975083868</v>
      </c>
      <c r="J120" s="329">
        <f t="shared" si="23"/>
        <v>0.27623410794301639</v>
      </c>
      <c r="K120" s="329">
        <f t="shared" si="23"/>
        <v>187.00281170809052</v>
      </c>
      <c r="L120" s="329">
        <f t="shared" si="23"/>
        <v>6.1196654975083868</v>
      </c>
      <c r="M120" s="329">
        <f t="shared" si="23"/>
        <v>386.86618149603243</v>
      </c>
      <c r="N120" s="329">
        <f t="shared" si="23"/>
        <v>4.6515589314044448</v>
      </c>
      <c r="O120" s="329">
        <f t="shared" si="23"/>
        <v>3.9686445724112089</v>
      </c>
      <c r="P120" s="329">
        <f t="shared" si="23"/>
        <v>4.9289279581529488</v>
      </c>
      <c r="Q120" s="329">
        <f t="shared" si="24"/>
        <v>95.816756871967598</v>
      </c>
      <c r="R120" s="329">
        <f t="shared" si="24"/>
        <v>4.6515589314044448</v>
      </c>
      <c r="S120" s="329">
        <f t="shared" si="24"/>
        <v>3.9686445724112089</v>
      </c>
      <c r="T120" s="329">
        <f t="shared" si="24"/>
        <v>4.9289279581529488</v>
      </c>
      <c r="U120" s="329">
        <f t="shared" si="24"/>
        <v>0</v>
      </c>
      <c r="V120" s="329">
        <f t="shared" si="24"/>
        <v>3.9686445724112089</v>
      </c>
      <c r="W120" s="329">
        <f t="shared" si="24"/>
        <v>4.9289279581529488</v>
      </c>
      <c r="X120" s="329">
        <f t="shared" si="24"/>
        <v>4.6515589314044448</v>
      </c>
      <c r="Y120" s="329">
        <f t="shared" si="24"/>
        <v>386.86618149603243</v>
      </c>
      <c r="Z120" s="329">
        <f t="shared" si="24"/>
        <v>0.27623410794301639</v>
      </c>
      <c r="AA120" s="329">
        <f t="shared" si="24"/>
        <v>0</v>
      </c>
      <c r="AB120" s="329">
        <f t="shared" si="24"/>
        <v>0</v>
      </c>
      <c r="AC120" s="329">
        <f t="shared" si="24"/>
        <v>6.1196654975083868</v>
      </c>
      <c r="AD120" s="329">
        <f t="shared" si="24"/>
        <v>187.00281170809052</v>
      </c>
    </row>
    <row r="121" spans="3:30" ht="14.25" customHeight="1" x14ac:dyDescent="0.2">
      <c r="C121" s="8" t="str">
        <v>Lao PDR</v>
      </c>
      <c r="D121" s="8" t="str">
        <v>East Asia &amp; Pacific</v>
      </c>
      <c r="E121" s="13" t="s">
        <v>580</v>
      </c>
      <c r="F121" s="124" t="str">
        <f t="shared" si="16"/>
        <v>East Asia &amp; Pacific_Lower middle income</v>
      </c>
      <c r="G121" s="329">
        <f t="shared" si="23"/>
        <v>21.040892851983276</v>
      </c>
      <c r="H121" s="329">
        <f t="shared" si="23"/>
        <v>185.01256757493803</v>
      </c>
      <c r="I121" s="329">
        <f t="shared" si="23"/>
        <v>304.6771769642977</v>
      </c>
      <c r="J121" s="329">
        <f t="shared" si="23"/>
        <v>0.34423100460524525</v>
      </c>
      <c r="K121" s="329">
        <f t="shared" si="23"/>
        <v>185.01256757493803</v>
      </c>
      <c r="L121" s="329">
        <f t="shared" si="23"/>
        <v>304.6771769642977</v>
      </c>
      <c r="M121" s="329">
        <f t="shared" si="23"/>
        <v>376.62670320349753</v>
      </c>
      <c r="N121" s="329">
        <f t="shared" si="23"/>
        <v>23.80079428655403</v>
      </c>
      <c r="O121" s="329">
        <f t="shared" si="23"/>
        <v>4.2989077809646146</v>
      </c>
      <c r="P121" s="329">
        <f t="shared" si="23"/>
        <v>4.9289279581529488</v>
      </c>
      <c r="Q121" s="329">
        <f t="shared" si="24"/>
        <v>120.47171320349753</v>
      </c>
      <c r="R121" s="329">
        <f t="shared" si="24"/>
        <v>23.80079428655403</v>
      </c>
      <c r="S121" s="329">
        <f t="shared" si="24"/>
        <v>4.2989077809646146</v>
      </c>
      <c r="T121" s="329">
        <f t="shared" si="24"/>
        <v>4.9289279581529488</v>
      </c>
      <c r="U121" s="329">
        <f t="shared" si="24"/>
        <v>21.040892851983276</v>
      </c>
      <c r="V121" s="329">
        <f t="shared" si="24"/>
        <v>0</v>
      </c>
      <c r="W121" s="329">
        <f t="shared" si="24"/>
        <v>0</v>
      </c>
      <c r="X121" s="329">
        <f t="shared" si="24"/>
        <v>304.6771769642977</v>
      </c>
      <c r="Y121" s="329">
        <f t="shared" si="24"/>
        <v>185.01256757493803</v>
      </c>
      <c r="Z121" s="329">
        <f t="shared" si="24"/>
        <v>0.34423100460524525</v>
      </c>
      <c r="AA121" s="329">
        <f t="shared" si="24"/>
        <v>0</v>
      </c>
      <c r="AB121" s="329">
        <f t="shared" si="24"/>
        <v>0</v>
      </c>
      <c r="AC121" s="329">
        <f t="shared" si="24"/>
        <v>304.6771769642977</v>
      </c>
      <c r="AD121" s="329">
        <f t="shared" si="24"/>
        <v>185.01256757493803</v>
      </c>
    </row>
    <row r="122" spans="3:30" ht="14.25" customHeight="1" x14ac:dyDescent="0.2">
      <c r="C122" s="8" t="str">
        <v>Latvia</v>
      </c>
      <c r="D122" s="8" t="str">
        <v>Europe &amp; Central Asia</v>
      </c>
      <c r="E122" s="13" t="s">
        <v>579</v>
      </c>
      <c r="F122" s="124" t="str">
        <f t="shared" si="16"/>
        <v>Europe &amp; Central Asia_High income</v>
      </c>
      <c r="G122" s="329">
        <f t="shared" si="23"/>
        <v>33.762051638281903</v>
      </c>
      <c r="H122" s="329">
        <f t="shared" si="23"/>
        <v>187.00281170809052</v>
      </c>
      <c r="I122" s="329">
        <f t="shared" si="23"/>
        <v>4.3069350467346963</v>
      </c>
      <c r="J122" s="329">
        <f t="shared" si="23"/>
        <v>0.56902334221823425</v>
      </c>
      <c r="K122" s="329">
        <f t="shared" si="23"/>
        <v>187.00281170809052</v>
      </c>
      <c r="L122" s="329">
        <f t="shared" si="23"/>
        <v>4.3069350467346963</v>
      </c>
      <c r="M122" s="329">
        <f t="shared" si="23"/>
        <v>387.79914719766032</v>
      </c>
      <c r="N122" s="329">
        <f t="shared" si="23"/>
        <v>0</v>
      </c>
      <c r="O122" s="329">
        <f t="shared" si="23"/>
        <v>4.0342444809633635</v>
      </c>
      <c r="P122" s="329">
        <f t="shared" si="23"/>
        <v>4.9289279581529488</v>
      </c>
      <c r="Q122" s="329">
        <f t="shared" si="24"/>
        <v>112.36012689033974</v>
      </c>
      <c r="R122" s="329">
        <f t="shared" si="24"/>
        <v>0</v>
      </c>
      <c r="S122" s="329">
        <f t="shared" si="24"/>
        <v>4.0342444809633635</v>
      </c>
      <c r="T122" s="329">
        <f t="shared" si="24"/>
        <v>4.9289279581529488</v>
      </c>
      <c r="U122" s="329">
        <f t="shared" si="24"/>
        <v>0</v>
      </c>
      <c r="V122" s="329">
        <f t="shared" si="24"/>
        <v>4.0342444809633635</v>
      </c>
      <c r="W122" s="329">
        <f t="shared" si="24"/>
        <v>4.9289279581529488</v>
      </c>
      <c r="X122" s="329">
        <f t="shared" si="24"/>
        <v>0</v>
      </c>
      <c r="Y122" s="329">
        <f t="shared" si="24"/>
        <v>387.79914719766032</v>
      </c>
      <c r="Z122" s="329">
        <f t="shared" si="24"/>
        <v>0.56902334221823425</v>
      </c>
      <c r="AA122" s="329">
        <f t="shared" si="24"/>
        <v>0</v>
      </c>
      <c r="AB122" s="329">
        <f t="shared" si="24"/>
        <v>0</v>
      </c>
      <c r="AC122" s="329">
        <f t="shared" si="24"/>
        <v>4.3069350467346963</v>
      </c>
      <c r="AD122" s="329">
        <f t="shared" si="24"/>
        <v>187.00281170809052</v>
      </c>
    </row>
    <row r="123" spans="3:30" ht="14.25" customHeight="1" x14ac:dyDescent="0.2">
      <c r="C123" s="8" t="str">
        <v>Lebanon</v>
      </c>
      <c r="D123" s="8" t="str">
        <v>Middle East &amp; North Africa</v>
      </c>
      <c r="E123" s="13" t="s">
        <v>580</v>
      </c>
      <c r="F123" s="124" t="str">
        <f t="shared" si="16"/>
        <v>Middle East &amp; North Africa_Lower middle income</v>
      </c>
      <c r="G123" s="329">
        <f t="shared" ref="G123:P132" si="25">IFERROR(IF(INDEX(Interim_Coefficients,MATCH($C123,Interim_Countries,0),MATCH(G$12,Interim_type,0))="No value",INDEX(Interim_CombinedCoefficients,MATCH($F123,Interim_CombinedTag,0),MATCH(G$12,Interim_CombinedType,0)),INDEX(Interim_Coefficients,MATCH($C123,Interim_Countries,0),MATCH(G$12,Interim_type,0))),INDEX(Interim_CombinedCoefficients,MATCH($F123,Interim_CombinedTag,0),MATCH(G$12,Interim_CombinedType,0)))</f>
        <v>18.10397927927896</v>
      </c>
      <c r="H123" s="329">
        <f t="shared" si="25"/>
        <v>183.05003240919942</v>
      </c>
      <c r="I123" s="329">
        <f t="shared" si="25"/>
        <v>8.9537853227281001</v>
      </c>
      <c r="J123" s="329">
        <f t="shared" si="25"/>
        <v>0.29929645004290506</v>
      </c>
      <c r="K123" s="329">
        <f t="shared" si="25"/>
        <v>183.05003240919942</v>
      </c>
      <c r="L123" s="329">
        <f t="shared" si="25"/>
        <v>8.9537853227281001</v>
      </c>
      <c r="M123" s="329">
        <f t="shared" si="25"/>
        <v>386.45224005661373</v>
      </c>
      <c r="N123" s="329">
        <f t="shared" si="25"/>
        <v>0.93587167759875556</v>
      </c>
      <c r="O123" s="329">
        <f t="shared" si="25"/>
        <v>4.1054973591834791</v>
      </c>
      <c r="P123" s="329">
        <f t="shared" si="25"/>
        <v>4.9289279581529488</v>
      </c>
      <c r="Q123" s="329">
        <f t="shared" ref="Q123:AD132" si="26">IFERROR(IF(INDEX(Interim_Coefficients,MATCH($C123,Interim_Countries,0),MATCH(Q$12,Interim_type,0))="No value",INDEX(Interim_CombinedCoefficients,MATCH($F123,Interim_CombinedTag,0),MATCH(Q$12,Interim_CombinedType,0)),INDEX(Interim_Coefficients,MATCH($C123,Interim_Countries,0),MATCH(Q$12,Interim_type,0))),INDEX(Interim_CombinedCoefficients,MATCH($F123,Interim_CombinedTag,0),MATCH(Q$12,Interim_CombinedType,0)))</f>
        <v>92.061010441720953</v>
      </c>
      <c r="R123" s="329">
        <f t="shared" si="26"/>
        <v>0.93587167759875556</v>
      </c>
      <c r="S123" s="329">
        <f t="shared" si="26"/>
        <v>4.1054973591834791</v>
      </c>
      <c r="T123" s="329">
        <f t="shared" si="26"/>
        <v>4.9289279581529488</v>
      </c>
      <c r="U123" s="329">
        <f t="shared" si="26"/>
        <v>0</v>
      </c>
      <c r="V123" s="329">
        <f t="shared" si="26"/>
        <v>4.1054973591834791</v>
      </c>
      <c r="W123" s="329">
        <f t="shared" si="26"/>
        <v>4.9289279581529488</v>
      </c>
      <c r="X123" s="329">
        <f t="shared" si="26"/>
        <v>0.93587167759875556</v>
      </c>
      <c r="Y123" s="329">
        <f t="shared" si="26"/>
        <v>386.45224005661373</v>
      </c>
      <c r="Z123" s="329">
        <f t="shared" si="26"/>
        <v>0.29929645004290506</v>
      </c>
      <c r="AA123" s="329">
        <f t="shared" si="26"/>
        <v>0</v>
      </c>
      <c r="AB123" s="329">
        <f t="shared" si="26"/>
        <v>0</v>
      </c>
      <c r="AC123" s="329">
        <f t="shared" si="26"/>
        <v>8.9537853227281001</v>
      </c>
      <c r="AD123" s="329">
        <f t="shared" si="26"/>
        <v>183.05003240919942</v>
      </c>
    </row>
    <row r="124" spans="3:30" ht="14.25" customHeight="1" x14ac:dyDescent="0.2">
      <c r="C124" s="8" t="str">
        <v>Lesotho</v>
      </c>
      <c r="D124" s="8" t="str">
        <v>Sub-Saharan Africa</v>
      </c>
      <c r="E124" s="13" t="s">
        <v>580</v>
      </c>
      <c r="F124" s="124" t="str">
        <f t="shared" si="16"/>
        <v>Sub-Saharan Africa_Lower middle income</v>
      </c>
      <c r="G124" s="329">
        <f t="shared" si="25"/>
        <v>23.309971460536438</v>
      </c>
      <c r="H124" s="329">
        <f t="shared" si="25"/>
        <v>136.54200831083281</v>
      </c>
      <c r="I124" s="329">
        <f t="shared" si="25"/>
        <v>48.066711217553774</v>
      </c>
      <c r="J124" s="329">
        <f t="shared" si="25"/>
        <v>0.38963996426925313</v>
      </c>
      <c r="K124" s="329">
        <f t="shared" si="25"/>
        <v>136.54200831083281</v>
      </c>
      <c r="L124" s="329">
        <f t="shared" si="25"/>
        <v>48.066711217553774</v>
      </c>
      <c r="M124" s="329">
        <f t="shared" si="25"/>
        <v>386.36066988979189</v>
      </c>
      <c r="N124" s="329">
        <f t="shared" si="25"/>
        <v>3.0069383810950008</v>
      </c>
      <c r="O124" s="329">
        <f t="shared" si="25"/>
        <v>6.2955859660608509</v>
      </c>
      <c r="P124" s="329">
        <f t="shared" si="25"/>
        <v>4.9289279581529488</v>
      </c>
      <c r="Q124" s="329">
        <f t="shared" si="26"/>
        <v>124.01862912013361</v>
      </c>
      <c r="R124" s="329">
        <f t="shared" si="26"/>
        <v>3.0069383810950008</v>
      </c>
      <c r="S124" s="329">
        <f t="shared" si="26"/>
        <v>6.2955859660608509</v>
      </c>
      <c r="T124" s="329">
        <f t="shared" si="26"/>
        <v>4.9289279581529488</v>
      </c>
      <c r="U124" s="329">
        <f t="shared" si="26"/>
        <v>0</v>
      </c>
      <c r="V124" s="329">
        <f t="shared" si="26"/>
        <v>6.2955859660608509</v>
      </c>
      <c r="W124" s="329">
        <f t="shared" si="26"/>
        <v>4.9289279581529488</v>
      </c>
      <c r="X124" s="329">
        <f t="shared" si="26"/>
        <v>3.0069383810950008</v>
      </c>
      <c r="Y124" s="329">
        <f t="shared" si="26"/>
        <v>386.36066988979189</v>
      </c>
      <c r="Z124" s="329">
        <f t="shared" si="26"/>
        <v>0.38963996426925313</v>
      </c>
      <c r="AA124" s="329">
        <f t="shared" si="26"/>
        <v>0</v>
      </c>
      <c r="AB124" s="329">
        <f t="shared" si="26"/>
        <v>0</v>
      </c>
      <c r="AC124" s="329">
        <f t="shared" si="26"/>
        <v>48.066711217553774</v>
      </c>
      <c r="AD124" s="329">
        <f t="shared" si="26"/>
        <v>136.54200831083281</v>
      </c>
    </row>
    <row r="125" spans="3:30" ht="14.25" customHeight="1" x14ac:dyDescent="0.2">
      <c r="C125" s="8" t="str">
        <v>Liberia</v>
      </c>
      <c r="D125" s="8" t="str">
        <v>Sub-Saharan Africa</v>
      </c>
      <c r="E125" s="13" t="s">
        <v>586</v>
      </c>
      <c r="F125" s="124" t="str">
        <f t="shared" si="16"/>
        <v>Sub-Saharan Africa_Low income</v>
      </c>
      <c r="G125" s="329">
        <f t="shared" si="25"/>
        <v>23.309971460536438</v>
      </c>
      <c r="H125" s="329">
        <f t="shared" si="25"/>
        <v>136.54200831083281</v>
      </c>
      <c r="I125" s="329">
        <f t="shared" si="25"/>
        <v>48.066711217553774</v>
      </c>
      <c r="J125" s="329">
        <f t="shared" si="25"/>
        <v>0.38963996426925313</v>
      </c>
      <c r="K125" s="329">
        <f t="shared" si="25"/>
        <v>136.54200831083281</v>
      </c>
      <c r="L125" s="329">
        <f t="shared" si="25"/>
        <v>48.066711217553774</v>
      </c>
      <c r="M125" s="329">
        <f t="shared" si="25"/>
        <v>386.36066988979189</v>
      </c>
      <c r="N125" s="329">
        <f t="shared" si="25"/>
        <v>3.0069383810950008</v>
      </c>
      <c r="O125" s="329">
        <f t="shared" si="25"/>
        <v>6.2955859660608509</v>
      </c>
      <c r="P125" s="329">
        <f t="shared" si="25"/>
        <v>4.9289279581529488</v>
      </c>
      <c r="Q125" s="329">
        <f t="shared" si="26"/>
        <v>124.01862912013361</v>
      </c>
      <c r="R125" s="329">
        <f t="shared" si="26"/>
        <v>3.0069383810950008</v>
      </c>
      <c r="S125" s="329">
        <f t="shared" si="26"/>
        <v>6.2955859660608509</v>
      </c>
      <c r="T125" s="329">
        <f t="shared" si="26"/>
        <v>4.9289279581529488</v>
      </c>
      <c r="U125" s="329">
        <f t="shared" si="26"/>
        <v>0</v>
      </c>
      <c r="V125" s="329">
        <f t="shared" si="26"/>
        <v>6.2955859660608509</v>
      </c>
      <c r="W125" s="329">
        <f t="shared" si="26"/>
        <v>4.9289279581529488</v>
      </c>
      <c r="X125" s="329">
        <f t="shared" si="26"/>
        <v>3.0069383810950008</v>
      </c>
      <c r="Y125" s="329">
        <f t="shared" si="26"/>
        <v>386.36066988979189</v>
      </c>
      <c r="Z125" s="329">
        <f t="shared" si="26"/>
        <v>0.38963996426925313</v>
      </c>
      <c r="AA125" s="329">
        <f t="shared" si="26"/>
        <v>0</v>
      </c>
      <c r="AB125" s="329">
        <f t="shared" si="26"/>
        <v>0</v>
      </c>
      <c r="AC125" s="329">
        <f t="shared" si="26"/>
        <v>48.066711217553774</v>
      </c>
      <c r="AD125" s="329">
        <f t="shared" si="26"/>
        <v>136.54200831083281</v>
      </c>
    </row>
    <row r="126" spans="3:30" ht="14.25" customHeight="1" x14ac:dyDescent="0.2">
      <c r="C126" s="8" t="str">
        <v>Libya</v>
      </c>
      <c r="D126" s="8" t="str">
        <v>Middle East &amp; North Africa</v>
      </c>
      <c r="E126" s="13" t="s">
        <v>578</v>
      </c>
      <c r="F126" s="124" t="str">
        <f t="shared" si="16"/>
        <v>Middle East &amp; North Africa_Upper middle income</v>
      </c>
      <c r="G126" s="329">
        <f t="shared" si="25"/>
        <v>30.294715124539458</v>
      </c>
      <c r="H126" s="329">
        <f t="shared" si="25"/>
        <v>158.10218942291891</v>
      </c>
      <c r="I126" s="329">
        <f t="shared" si="25"/>
        <v>42.620212096282287</v>
      </c>
      <c r="J126" s="329">
        <f t="shared" si="25"/>
        <v>0.50493108962241351</v>
      </c>
      <c r="K126" s="329">
        <f t="shared" si="25"/>
        <v>158.10218942291891</v>
      </c>
      <c r="L126" s="329">
        <f t="shared" si="25"/>
        <v>42.620212096282287</v>
      </c>
      <c r="M126" s="329">
        <f t="shared" si="25"/>
        <v>384.65582734226996</v>
      </c>
      <c r="N126" s="329">
        <f t="shared" si="25"/>
        <v>36.769578376181798</v>
      </c>
      <c r="O126" s="329">
        <f t="shared" si="25"/>
        <v>3.8160436740925889</v>
      </c>
      <c r="P126" s="329">
        <f t="shared" si="25"/>
        <v>4.9289279581529488</v>
      </c>
      <c r="Q126" s="329">
        <f t="shared" si="26"/>
        <v>108.14207913996019</v>
      </c>
      <c r="R126" s="329">
        <f t="shared" si="26"/>
        <v>36.769578376181798</v>
      </c>
      <c r="S126" s="329">
        <f t="shared" si="26"/>
        <v>3.8160436740925889</v>
      </c>
      <c r="T126" s="329">
        <f t="shared" si="26"/>
        <v>4.9289279581529488</v>
      </c>
      <c r="U126" s="329">
        <f t="shared" si="26"/>
        <v>0</v>
      </c>
      <c r="V126" s="329">
        <f t="shared" si="26"/>
        <v>3.8160436740925889</v>
      </c>
      <c r="W126" s="329">
        <f t="shared" si="26"/>
        <v>4.9289279581529488</v>
      </c>
      <c r="X126" s="329">
        <f t="shared" si="26"/>
        <v>36.769578376181798</v>
      </c>
      <c r="Y126" s="329">
        <f t="shared" si="26"/>
        <v>384.65582734226996</v>
      </c>
      <c r="Z126" s="329">
        <f t="shared" si="26"/>
        <v>0.50493108962241351</v>
      </c>
      <c r="AA126" s="329">
        <f t="shared" si="26"/>
        <v>0</v>
      </c>
      <c r="AB126" s="329">
        <f t="shared" si="26"/>
        <v>0</v>
      </c>
      <c r="AC126" s="329">
        <f t="shared" si="26"/>
        <v>42.620212096282287</v>
      </c>
      <c r="AD126" s="329">
        <f t="shared" si="26"/>
        <v>158.10218942291891</v>
      </c>
    </row>
    <row r="127" spans="3:30" ht="14.25" customHeight="1" x14ac:dyDescent="0.2">
      <c r="C127" s="8" t="str">
        <v>Liechtenstein</v>
      </c>
      <c r="D127" s="8" t="str">
        <v>Europe &amp; Central Asia</v>
      </c>
      <c r="E127" s="13" t="s">
        <v>579</v>
      </c>
      <c r="F127" s="124" t="str">
        <f t="shared" si="16"/>
        <v>Europe &amp; Central Asia_High income</v>
      </c>
      <c r="G127" s="329">
        <f t="shared" si="25"/>
        <v>32.401299306692998</v>
      </c>
      <c r="H127" s="329">
        <f t="shared" si="25"/>
        <v>185.85127347327975</v>
      </c>
      <c r="I127" s="329">
        <f t="shared" si="25"/>
        <v>371.75902354309056</v>
      </c>
      <c r="J127" s="329">
        <f t="shared" si="25"/>
        <v>0.53910505368023443</v>
      </c>
      <c r="K127" s="329">
        <f t="shared" si="25"/>
        <v>185.85127347327975</v>
      </c>
      <c r="L127" s="329">
        <f t="shared" si="25"/>
        <v>371.75902354309056</v>
      </c>
      <c r="M127" s="329">
        <f t="shared" si="25"/>
        <v>385.53377512854041</v>
      </c>
      <c r="N127" s="329">
        <f t="shared" si="25"/>
        <v>25.640462448793837</v>
      </c>
      <c r="O127" s="329">
        <f t="shared" si="25"/>
        <v>3.6681185273460932</v>
      </c>
      <c r="P127" s="329">
        <f t="shared" si="25"/>
        <v>4.9289279581529506</v>
      </c>
      <c r="Q127" s="329">
        <f t="shared" si="26"/>
        <v>97.069054585259593</v>
      </c>
      <c r="R127" s="329">
        <f t="shared" si="26"/>
        <v>25.640462448793837</v>
      </c>
      <c r="S127" s="329">
        <f t="shared" si="26"/>
        <v>3.6681185273460932</v>
      </c>
      <c r="T127" s="329">
        <f t="shared" si="26"/>
        <v>4.9289279581529506</v>
      </c>
      <c r="U127" s="329">
        <f t="shared" si="26"/>
        <v>32.401299306692998</v>
      </c>
      <c r="V127" s="329">
        <f t="shared" si="26"/>
        <v>0</v>
      </c>
      <c r="W127" s="329">
        <f t="shared" si="26"/>
        <v>0</v>
      </c>
      <c r="X127" s="329">
        <f t="shared" si="26"/>
        <v>371.75902354309056</v>
      </c>
      <c r="Y127" s="329">
        <f t="shared" si="26"/>
        <v>185.85127347327975</v>
      </c>
      <c r="Z127" s="329">
        <f t="shared" si="26"/>
        <v>0.53910505368023443</v>
      </c>
      <c r="AA127" s="329">
        <f t="shared" si="26"/>
        <v>0</v>
      </c>
      <c r="AB127" s="329">
        <f t="shared" si="26"/>
        <v>0</v>
      </c>
      <c r="AC127" s="329">
        <f t="shared" si="26"/>
        <v>371.75902354309056</v>
      </c>
      <c r="AD127" s="329">
        <f t="shared" si="26"/>
        <v>185.85127347327975</v>
      </c>
    </row>
    <row r="128" spans="3:30" ht="14.25" customHeight="1" x14ac:dyDescent="0.2">
      <c r="C128" s="8" t="str">
        <v>Lithuania</v>
      </c>
      <c r="D128" s="8" t="str">
        <v>Europe &amp; Central Asia</v>
      </c>
      <c r="E128" s="13" t="s">
        <v>579</v>
      </c>
      <c r="F128" s="124" t="str">
        <f t="shared" si="16"/>
        <v>Europe &amp; Central Asia_High income</v>
      </c>
      <c r="G128" s="329">
        <f t="shared" si="25"/>
        <v>41.760542674782592</v>
      </c>
      <c r="H128" s="329">
        <f t="shared" si="25"/>
        <v>187.00281170809052</v>
      </c>
      <c r="I128" s="329">
        <f t="shared" si="25"/>
        <v>9.8486515548017319</v>
      </c>
      <c r="J128" s="329">
        <f t="shared" si="25"/>
        <v>0.70382937092330211</v>
      </c>
      <c r="K128" s="329">
        <f t="shared" si="25"/>
        <v>187.00281170809052</v>
      </c>
      <c r="L128" s="329">
        <f t="shared" si="25"/>
        <v>9.8486515548017319</v>
      </c>
      <c r="M128" s="329">
        <f t="shared" si="25"/>
        <v>387.70325033565666</v>
      </c>
      <c r="N128" s="329">
        <f t="shared" si="25"/>
        <v>6.7531172272897715</v>
      </c>
      <c r="O128" s="329">
        <f t="shared" si="25"/>
        <v>3.6006581031416669</v>
      </c>
      <c r="P128" s="329">
        <f t="shared" si="25"/>
        <v>4.9289279581529488</v>
      </c>
      <c r="Q128" s="329">
        <f t="shared" si="26"/>
        <v>106.66290012834338</v>
      </c>
      <c r="R128" s="329">
        <f t="shared" si="26"/>
        <v>6.7531172272897715</v>
      </c>
      <c r="S128" s="329">
        <f t="shared" si="26"/>
        <v>3.6006581031416669</v>
      </c>
      <c r="T128" s="329">
        <f t="shared" si="26"/>
        <v>4.9289279581529488</v>
      </c>
      <c r="U128" s="329">
        <f t="shared" si="26"/>
        <v>0</v>
      </c>
      <c r="V128" s="329">
        <f t="shared" si="26"/>
        <v>3.6006581031416669</v>
      </c>
      <c r="W128" s="329">
        <f t="shared" si="26"/>
        <v>4.9289279581529488</v>
      </c>
      <c r="X128" s="329">
        <f t="shared" si="26"/>
        <v>6.7531172272897715</v>
      </c>
      <c r="Y128" s="329">
        <f t="shared" si="26"/>
        <v>387.70325033565666</v>
      </c>
      <c r="Z128" s="329">
        <f t="shared" si="26"/>
        <v>0.70382937092330211</v>
      </c>
      <c r="AA128" s="329">
        <f t="shared" si="26"/>
        <v>0</v>
      </c>
      <c r="AB128" s="329">
        <f t="shared" si="26"/>
        <v>0</v>
      </c>
      <c r="AC128" s="329">
        <f t="shared" si="26"/>
        <v>9.8486515548017319</v>
      </c>
      <c r="AD128" s="329">
        <f t="shared" si="26"/>
        <v>187.00281170809052</v>
      </c>
    </row>
    <row r="129" spans="3:30" ht="14.25" customHeight="1" x14ac:dyDescent="0.2">
      <c r="C129" s="8" t="str">
        <v>Luxembourg</v>
      </c>
      <c r="D129" s="8" t="str">
        <v>Europe &amp; Central Asia</v>
      </c>
      <c r="E129" s="13" t="s">
        <v>579</v>
      </c>
      <c r="F129" s="124" t="str">
        <f t="shared" si="16"/>
        <v>Europe &amp; Central Asia_High income</v>
      </c>
      <c r="G129" s="329">
        <f t="shared" si="25"/>
        <v>32.401299306692998</v>
      </c>
      <c r="H129" s="329">
        <f t="shared" si="25"/>
        <v>185.85127347327975</v>
      </c>
      <c r="I129" s="329">
        <f t="shared" si="25"/>
        <v>371.75902354309056</v>
      </c>
      <c r="J129" s="329">
        <f t="shared" si="25"/>
        <v>0.53910505368023443</v>
      </c>
      <c r="K129" s="329">
        <f t="shared" si="25"/>
        <v>185.85127347327975</v>
      </c>
      <c r="L129" s="329">
        <f t="shared" si="25"/>
        <v>371.75902354309056</v>
      </c>
      <c r="M129" s="329">
        <f t="shared" si="25"/>
        <v>385.53377512854041</v>
      </c>
      <c r="N129" s="329">
        <f t="shared" si="25"/>
        <v>25.640462448793837</v>
      </c>
      <c r="O129" s="329">
        <f t="shared" si="25"/>
        <v>3.6681185273460932</v>
      </c>
      <c r="P129" s="329">
        <f t="shared" si="25"/>
        <v>4.9289279581529506</v>
      </c>
      <c r="Q129" s="329">
        <f t="shared" si="26"/>
        <v>97.069054585259593</v>
      </c>
      <c r="R129" s="329">
        <f t="shared" si="26"/>
        <v>25.640462448793837</v>
      </c>
      <c r="S129" s="329">
        <f t="shared" si="26"/>
        <v>3.6681185273460932</v>
      </c>
      <c r="T129" s="329">
        <f t="shared" si="26"/>
        <v>4.9289279581529506</v>
      </c>
      <c r="U129" s="329">
        <f t="shared" si="26"/>
        <v>32.401299306692998</v>
      </c>
      <c r="V129" s="329">
        <f t="shared" si="26"/>
        <v>0</v>
      </c>
      <c r="W129" s="329">
        <f t="shared" si="26"/>
        <v>0</v>
      </c>
      <c r="X129" s="329">
        <f t="shared" si="26"/>
        <v>371.75902354309056</v>
      </c>
      <c r="Y129" s="329">
        <f t="shared" si="26"/>
        <v>185.85127347327975</v>
      </c>
      <c r="Z129" s="329">
        <f t="shared" si="26"/>
        <v>0.53910505368023443</v>
      </c>
      <c r="AA129" s="329">
        <f t="shared" si="26"/>
        <v>0</v>
      </c>
      <c r="AB129" s="329">
        <f t="shared" si="26"/>
        <v>0</v>
      </c>
      <c r="AC129" s="329">
        <f t="shared" si="26"/>
        <v>371.75902354309056</v>
      </c>
      <c r="AD129" s="329">
        <f t="shared" si="26"/>
        <v>185.85127347327975</v>
      </c>
    </row>
    <row r="130" spans="3:30" ht="14.25" customHeight="1" x14ac:dyDescent="0.2">
      <c r="C130" s="8" t="str">
        <v>Macao SAR, China</v>
      </c>
      <c r="D130" s="8" t="str">
        <v>East Asia &amp; Pacific</v>
      </c>
      <c r="E130" s="13" t="s">
        <v>579</v>
      </c>
      <c r="F130" s="124" t="str">
        <f t="shared" si="16"/>
        <v>East Asia &amp; Pacific_High income</v>
      </c>
      <c r="G130" s="329">
        <f t="shared" si="25"/>
        <v>44.443145199894367</v>
      </c>
      <c r="H130" s="329">
        <f t="shared" si="25"/>
        <v>183.8442475693883</v>
      </c>
      <c r="I130" s="329">
        <f t="shared" si="25"/>
        <v>105.92574003437052</v>
      </c>
      <c r="J130" s="329">
        <f t="shared" si="25"/>
        <v>0.74702806793375442</v>
      </c>
      <c r="K130" s="329">
        <f t="shared" si="25"/>
        <v>183.8442475693883</v>
      </c>
      <c r="L130" s="329">
        <f t="shared" si="25"/>
        <v>105.92574003437052</v>
      </c>
      <c r="M130" s="329">
        <f t="shared" si="25"/>
        <v>369.66231455327676</v>
      </c>
      <c r="N130" s="329">
        <f t="shared" si="25"/>
        <v>87.076870251981461</v>
      </c>
      <c r="O130" s="329">
        <f t="shared" si="25"/>
        <v>2.6357425797782517</v>
      </c>
      <c r="P130" s="329">
        <f t="shared" si="25"/>
        <v>4.9289279581529488</v>
      </c>
      <c r="Q130" s="329">
        <f t="shared" si="26"/>
        <v>113.50732455327682</v>
      </c>
      <c r="R130" s="329">
        <f t="shared" si="26"/>
        <v>87.076870251981461</v>
      </c>
      <c r="S130" s="329">
        <f t="shared" si="26"/>
        <v>2.6357425797782517</v>
      </c>
      <c r="T130" s="329">
        <f t="shared" si="26"/>
        <v>4.9289279581529488</v>
      </c>
      <c r="U130" s="329">
        <f t="shared" si="26"/>
        <v>0</v>
      </c>
      <c r="V130" s="329">
        <f t="shared" si="26"/>
        <v>2.6357425797782517</v>
      </c>
      <c r="W130" s="329">
        <f t="shared" si="26"/>
        <v>4.9289279581529488</v>
      </c>
      <c r="X130" s="329">
        <f t="shared" si="26"/>
        <v>87.076870251981461</v>
      </c>
      <c r="Y130" s="329">
        <f t="shared" si="26"/>
        <v>369.66231455327676</v>
      </c>
      <c r="Z130" s="329">
        <f t="shared" si="26"/>
        <v>0.74702806793375442</v>
      </c>
      <c r="AA130" s="329">
        <f t="shared" si="26"/>
        <v>0</v>
      </c>
      <c r="AB130" s="329">
        <f t="shared" si="26"/>
        <v>0</v>
      </c>
      <c r="AC130" s="329">
        <f t="shared" si="26"/>
        <v>105.92574003437052</v>
      </c>
      <c r="AD130" s="329">
        <f t="shared" si="26"/>
        <v>183.8442475693883</v>
      </c>
    </row>
    <row r="131" spans="3:30" ht="14.25" customHeight="1" x14ac:dyDescent="0.2">
      <c r="C131" s="8" t="str">
        <v>Madagascar</v>
      </c>
      <c r="D131" s="8" t="str">
        <v>Sub-Saharan Africa</v>
      </c>
      <c r="E131" s="13" t="s">
        <v>586</v>
      </c>
      <c r="F131" s="124" t="str">
        <f t="shared" si="16"/>
        <v>Sub-Saharan Africa_Low income</v>
      </c>
      <c r="G131" s="329">
        <f t="shared" si="25"/>
        <v>23.309971460536438</v>
      </c>
      <c r="H131" s="329">
        <f t="shared" si="25"/>
        <v>136.54200831083281</v>
      </c>
      <c r="I131" s="329">
        <f t="shared" si="25"/>
        <v>48.066711217553774</v>
      </c>
      <c r="J131" s="329">
        <f t="shared" si="25"/>
        <v>0.38963996426925313</v>
      </c>
      <c r="K131" s="329">
        <f t="shared" si="25"/>
        <v>136.54200831083281</v>
      </c>
      <c r="L131" s="329">
        <f t="shared" si="25"/>
        <v>48.066711217553774</v>
      </c>
      <c r="M131" s="329">
        <f t="shared" si="25"/>
        <v>386.36066988979189</v>
      </c>
      <c r="N131" s="329">
        <f t="shared" si="25"/>
        <v>3.0069383810950008</v>
      </c>
      <c r="O131" s="329">
        <f t="shared" si="25"/>
        <v>6.2955859660608509</v>
      </c>
      <c r="P131" s="329">
        <f t="shared" si="25"/>
        <v>4.9289279581529488</v>
      </c>
      <c r="Q131" s="329">
        <f t="shared" si="26"/>
        <v>124.01862912013361</v>
      </c>
      <c r="R131" s="329">
        <f t="shared" si="26"/>
        <v>3.0069383810950008</v>
      </c>
      <c r="S131" s="329">
        <f t="shared" si="26"/>
        <v>6.2955859660608509</v>
      </c>
      <c r="T131" s="329">
        <f t="shared" si="26"/>
        <v>4.9289279581529488</v>
      </c>
      <c r="U131" s="329">
        <f t="shared" si="26"/>
        <v>0</v>
      </c>
      <c r="V131" s="329">
        <f t="shared" si="26"/>
        <v>6.2955859660608509</v>
      </c>
      <c r="W131" s="329">
        <f t="shared" si="26"/>
        <v>4.9289279581529488</v>
      </c>
      <c r="X131" s="329">
        <f t="shared" si="26"/>
        <v>3.0069383810950008</v>
      </c>
      <c r="Y131" s="329">
        <f t="shared" si="26"/>
        <v>386.36066988979189</v>
      </c>
      <c r="Z131" s="329">
        <f t="shared" si="26"/>
        <v>0.38963996426925313</v>
      </c>
      <c r="AA131" s="329">
        <f t="shared" si="26"/>
        <v>0</v>
      </c>
      <c r="AB131" s="329">
        <f t="shared" si="26"/>
        <v>0</v>
      </c>
      <c r="AC131" s="329">
        <f t="shared" si="26"/>
        <v>48.066711217553774</v>
      </c>
      <c r="AD131" s="329">
        <f t="shared" si="26"/>
        <v>136.54200831083281</v>
      </c>
    </row>
    <row r="132" spans="3:30" ht="14.25" customHeight="1" x14ac:dyDescent="0.2">
      <c r="C132" s="8" t="str">
        <v>Malawi</v>
      </c>
      <c r="D132" s="8" t="str">
        <v>Sub-Saharan Africa</v>
      </c>
      <c r="E132" s="13" t="s">
        <v>586</v>
      </c>
      <c r="F132" s="124" t="str">
        <f t="shared" si="16"/>
        <v>Sub-Saharan Africa_Low income</v>
      </c>
      <c r="G132" s="329">
        <f t="shared" si="25"/>
        <v>23.309971460536438</v>
      </c>
      <c r="H132" s="329">
        <f t="shared" si="25"/>
        <v>136.54200831083281</v>
      </c>
      <c r="I132" s="329">
        <f t="shared" si="25"/>
        <v>48.066711217553774</v>
      </c>
      <c r="J132" s="329">
        <f t="shared" si="25"/>
        <v>0.38963996426925313</v>
      </c>
      <c r="K132" s="329">
        <f t="shared" si="25"/>
        <v>136.54200831083281</v>
      </c>
      <c r="L132" s="329">
        <f t="shared" si="25"/>
        <v>48.066711217553774</v>
      </c>
      <c r="M132" s="329">
        <f t="shared" si="25"/>
        <v>386.36066988979189</v>
      </c>
      <c r="N132" s="329">
        <f t="shared" si="25"/>
        <v>3.0069383810950008</v>
      </c>
      <c r="O132" s="329">
        <f t="shared" si="25"/>
        <v>6.2955859660608509</v>
      </c>
      <c r="P132" s="329">
        <f t="shared" si="25"/>
        <v>4.9289279581529488</v>
      </c>
      <c r="Q132" s="329">
        <f t="shared" si="26"/>
        <v>124.01862912013361</v>
      </c>
      <c r="R132" s="329">
        <f t="shared" si="26"/>
        <v>3.0069383810950008</v>
      </c>
      <c r="S132" s="329">
        <f t="shared" si="26"/>
        <v>6.2955859660608509</v>
      </c>
      <c r="T132" s="329">
        <f t="shared" si="26"/>
        <v>4.9289279581529488</v>
      </c>
      <c r="U132" s="329">
        <f t="shared" si="26"/>
        <v>0</v>
      </c>
      <c r="V132" s="329">
        <f t="shared" si="26"/>
        <v>6.2955859660608509</v>
      </c>
      <c r="W132" s="329">
        <f t="shared" si="26"/>
        <v>4.9289279581529488</v>
      </c>
      <c r="X132" s="329">
        <f t="shared" si="26"/>
        <v>3.0069383810950008</v>
      </c>
      <c r="Y132" s="329">
        <f t="shared" si="26"/>
        <v>386.36066988979189</v>
      </c>
      <c r="Z132" s="329">
        <f t="shared" si="26"/>
        <v>0.38963996426925313</v>
      </c>
      <c r="AA132" s="329">
        <f t="shared" si="26"/>
        <v>0</v>
      </c>
      <c r="AB132" s="329">
        <f t="shared" si="26"/>
        <v>0</v>
      </c>
      <c r="AC132" s="329">
        <f t="shared" si="26"/>
        <v>48.066711217553774</v>
      </c>
      <c r="AD132" s="329">
        <f t="shared" si="26"/>
        <v>136.54200831083281</v>
      </c>
    </row>
    <row r="133" spans="3:30" ht="14.25" customHeight="1" x14ac:dyDescent="0.2">
      <c r="C133" s="8" t="str">
        <v>Malaysia</v>
      </c>
      <c r="D133" s="8" t="str">
        <v>East Asia &amp; Pacific</v>
      </c>
      <c r="E133" s="13" t="s">
        <v>578</v>
      </c>
      <c r="F133" s="124" t="str">
        <f t="shared" si="16"/>
        <v>East Asia &amp; Pacific_Upper middle income</v>
      </c>
      <c r="G133" s="329">
        <f t="shared" ref="G133:P142" si="27">IFERROR(IF(INDEX(Interim_Coefficients,MATCH($C133,Interim_Countries,0),MATCH(G$12,Interim_type,0))="No value",INDEX(Interim_CombinedCoefficients,MATCH($F133,Interim_CombinedTag,0),MATCH(G$12,Interim_CombinedType,0)),INDEX(Interim_Coefficients,MATCH($C133,Interim_Countries,0),MATCH(G$12,Interim_type,0))),INDEX(Interim_CombinedCoefficients,MATCH($F133,Interim_CombinedTag,0),MATCH(G$12,Interim_CombinedType,0)))</f>
        <v>47.106298079363619</v>
      </c>
      <c r="H133" s="329">
        <f t="shared" si="27"/>
        <v>172.44332499552027</v>
      </c>
      <c r="I133" s="329">
        <f t="shared" si="27"/>
        <v>8.7449281975582416</v>
      </c>
      <c r="J133" s="329">
        <f t="shared" si="27"/>
        <v>0.77861649717956405</v>
      </c>
      <c r="K133" s="329">
        <f t="shared" si="27"/>
        <v>172.44332499552027</v>
      </c>
      <c r="L133" s="329">
        <f t="shared" si="27"/>
        <v>8.7449281975582416</v>
      </c>
      <c r="M133" s="329">
        <f t="shared" si="27"/>
        <v>385.31072123433688</v>
      </c>
      <c r="N133" s="329">
        <f t="shared" si="27"/>
        <v>3.75855436915234</v>
      </c>
      <c r="O133" s="329">
        <f t="shared" si="27"/>
        <v>5.2446733125652054</v>
      </c>
      <c r="P133" s="329">
        <f t="shared" si="27"/>
        <v>4.9289279581529488</v>
      </c>
      <c r="Q133" s="329">
        <f t="shared" ref="Q133:AD142" si="28">IFERROR(IF(INDEX(Interim_Coefficients,MATCH($C133,Interim_Countries,0),MATCH(Q$12,Interim_type,0))="No value",INDEX(Interim_CombinedCoefficients,MATCH($F133,Interim_CombinedTag,0),MATCH(Q$12,Interim_CombinedType,0)),INDEX(Interim_Coefficients,MATCH($C133,Interim_Countries,0),MATCH(Q$12,Interim_type,0))),INDEX(Interim_CombinedCoefficients,MATCH($F133,Interim_CombinedTag,0),MATCH(Q$12,Interim_CombinedType,0)))</f>
        <v>48.359028189663135</v>
      </c>
      <c r="R133" s="329">
        <f t="shared" si="28"/>
        <v>3.75855436915234</v>
      </c>
      <c r="S133" s="329">
        <f t="shared" si="28"/>
        <v>5.2446733125652054</v>
      </c>
      <c r="T133" s="329">
        <f t="shared" si="28"/>
        <v>4.9289279581529488</v>
      </c>
      <c r="U133" s="329">
        <f t="shared" si="28"/>
        <v>0</v>
      </c>
      <c r="V133" s="329">
        <f t="shared" si="28"/>
        <v>5.2446733125652054</v>
      </c>
      <c r="W133" s="329">
        <f t="shared" si="28"/>
        <v>4.9289279581529488</v>
      </c>
      <c r="X133" s="329">
        <f t="shared" si="28"/>
        <v>3.75855436915234</v>
      </c>
      <c r="Y133" s="329">
        <f t="shared" si="28"/>
        <v>385.31072123433688</v>
      </c>
      <c r="Z133" s="329">
        <f t="shared" si="28"/>
        <v>0.77861649717956405</v>
      </c>
      <c r="AA133" s="329">
        <f t="shared" si="28"/>
        <v>0</v>
      </c>
      <c r="AB133" s="329">
        <f t="shared" si="28"/>
        <v>0</v>
      </c>
      <c r="AC133" s="329">
        <f t="shared" si="28"/>
        <v>8.7449281975582416</v>
      </c>
      <c r="AD133" s="329">
        <f t="shared" si="28"/>
        <v>172.44332499552027</v>
      </c>
    </row>
    <row r="134" spans="3:30" ht="14.25" customHeight="1" x14ac:dyDescent="0.2">
      <c r="C134" s="8" t="str">
        <v>Maldives</v>
      </c>
      <c r="D134" s="8" t="str">
        <v>South Asia</v>
      </c>
      <c r="E134" s="13" t="s">
        <v>578</v>
      </c>
      <c r="F134" s="124" t="str">
        <f t="shared" si="16"/>
        <v>South Asia_Upper middle income</v>
      </c>
      <c r="G134" s="329">
        <f t="shared" si="27"/>
        <v>21.991909332478929</v>
      </c>
      <c r="H134" s="329">
        <f t="shared" si="27"/>
        <v>157.31407309674779</v>
      </c>
      <c r="I134" s="329">
        <f t="shared" si="27"/>
        <v>22.066260864546351</v>
      </c>
      <c r="J134" s="329">
        <f t="shared" si="27"/>
        <v>0.36291657350195672</v>
      </c>
      <c r="K134" s="329">
        <f t="shared" si="27"/>
        <v>157.31407309674779</v>
      </c>
      <c r="L134" s="329">
        <f t="shared" si="27"/>
        <v>22.066260864546351</v>
      </c>
      <c r="M134" s="329">
        <f t="shared" si="27"/>
        <v>385.33082033630194</v>
      </c>
      <c r="N134" s="329">
        <f t="shared" si="27"/>
        <v>2.7061573585102536</v>
      </c>
      <c r="O134" s="329">
        <f t="shared" si="27"/>
        <v>14.561894843502207</v>
      </c>
      <c r="P134" s="329">
        <f t="shared" si="27"/>
        <v>4.9289279581529488</v>
      </c>
      <c r="Q134" s="329">
        <f t="shared" si="28"/>
        <v>121.56248533895649</v>
      </c>
      <c r="R134" s="329">
        <f t="shared" si="28"/>
        <v>2.7061573585102536</v>
      </c>
      <c r="S134" s="329">
        <f t="shared" si="28"/>
        <v>14.561894843502207</v>
      </c>
      <c r="T134" s="329">
        <f t="shared" si="28"/>
        <v>4.9289279581529488</v>
      </c>
      <c r="U134" s="329">
        <f t="shared" si="28"/>
        <v>0</v>
      </c>
      <c r="V134" s="329">
        <f t="shared" si="28"/>
        <v>14.561894843502207</v>
      </c>
      <c r="W134" s="329">
        <f t="shared" si="28"/>
        <v>4.9289279581529488</v>
      </c>
      <c r="X134" s="329">
        <f t="shared" si="28"/>
        <v>2.7061573585102536</v>
      </c>
      <c r="Y134" s="329">
        <f t="shared" si="28"/>
        <v>385.33082033630194</v>
      </c>
      <c r="Z134" s="329">
        <f t="shared" si="28"/>
        <v>0.36291657350195672</v>
      </c>
      <c r="AA134" s="329">
        <f t="shared" si="28"/>
        <v>0</v>
      </c>
      <c r="AB134" s="329">
        <f t="shared" si="28"/>
        <v>0</v>
      </c>
      <c r="AC134" s="329">
        <f t="shared" si="28"/>
        <v>22.066260864546351</v>
      </c>
      <c r="AD134" s="329">
        <f t="shared" si="28"/>
        <v>157.31407309674779</v>
      </c>
    </row>
    <row r="135" spans="3:30" ht="14.25" customHeight="1" x14ac:dyDescent="0.2">
      <c r="C135" s="8" t="str">
        <v>Mali</v>
      </c>
      <c r="D135" s="8" t="str">
        <v>Sub-Saharan Africa</v>
      </c>
      <c r="E135" s="13" t="s">
        <v>586</v>
      </c>
      <c r="F135" s="124" t="str">
        <f t="shared" si="16"/>
        <v>Sub-Saharan Africa_Low income</v>
      </c>
      <c r="G135" s="329">
        <f t="shared" si="27"/>
        <v>23.309971460536438</v>
      </c>
      <c r="H135" s="329">
        <f t="shared" si="27"/>
        <v>136.54200831083281</v>
      </c>
      <c r="I135" s="329">
        <f t="shared" si="27"/>
        <v>48.066711217553774</v>
      </c>
      <c r="J135" s="329">
        <f t="shared" si="27"/>
        <v>0.38963996426925313</v>
      </c>
      <c r="K135" s="329">
        <f t="shared" si="27"/>
        <v>136.54200831083281</v>
      </c>
      <c r="L135" s="329">
        <f t="shared" si="27"/>
        <v>48.066711217553774</v>
      </c>
      <c r="M135" s="329">
        <f t="shared" si="27"/>
        <v>386.36066988979189</v>
      </c>
      <c r="N135" s="329">
        <f t="shared" si="27"/>
        <v>3.0069383810950008</v>
      </c>
      <c r="O135" s="329">
        <f t="shared" si="27"/>
        <v>6.2955859660608509</v>
      </c>
      <c r="P135" s="329">
        <f t="shared" si="27"/>
        <v>4.9289279581529488</v>
      </c>
      <c r="Q135" s="329">
        <f t="shared" si="28"/>
        <v>124.01862912013361</v>
      </c>
      <c r="R135" s="329">
        <f t="shared" si="28"/>
        <v>3.0069383810950008</v>
      </c>
      <c r="S135" s="329">
        <f t="shared" si="28"/>
        <v>6.2955859660608509</v>
      </c>
      <c r="T135" s="329">
        <f t="shared" si="28"/>
        <v>4.9289279581529488</v>
      </c>
      <c r="U135" s="329">
        <f t="shared" si="28"/>
        <v>0</v>
      </c>
      <c r="V135" s="329">
        <f t="shared" si="28"/>
        <v>6.2955859660608509</v>
      </c>
      <c r="W135" s="329">
        <f t="shared" si="28"/>
        <v>4.9289279581529488</v>
      </c>
      <c r="X135" s="329">
        <f t="shared" si="28"/>
        <v>3.0069383810950008</v>
      </c>
      <c r="Y135" s="329">
        <f t="shared" si="28"/>
        <v>386.36066988979189</v>
      </c>
      <c r="Z135" s="329">
        <f t="shared" si="28"/>
        <v>0.38963996426925313</v>
      </c>
      <c r="AA135" s="329">
        <f t="shared" si="28"/>
        <v>0</v>
      </c>
      <c r="AB135" s="329">
        <f t="shared" si="28"/>
        <v>0</v>
      </c>
      <c r="AC135" s="329">
        <f t="shared" si="28"/>
        <v>48.066711217553774</v>
      </c>
      <c r="AD135" s="329">
        <f t="shared" si="28"/>
        <v>136.54200831083281</v>
      </c>
    </row>
    <row r="136" spans="3:30" ht="14.25" customHeight="1" x14ac:dyDescent="0.2">
      <c r="C136" s="8" t="str">
        <v>Malta</v>
      </c>
      <c r="D136" s="8" t="str">
        <v>Middle East &amp; North Africa</v>
      </c>
      <c r="E136" s="13" t="s">
        <v>579</v>
      </c>
      <c r="F136" s="124" t="str">
        <f t="shared" si="16"/>
        <v>Middle East &amp; North Africa_High income</v>
      </c>
      <c r="G136" s="329">
        <f t="shared" si="27"/>
        <v>69.656524426851533</v>
      </c>
      <c r="H136" s="329">
        <f t="shared" si="27"/>
        <v>183.05003240919942</v>
      </c>
      <c r="I136" s="329">
        <f t="shared" si="27"/>
        <v>153.90667489063208</v>
      </c>
      <c r="J136" s="329">
        <f t="shared" si="27"/>
        <v>1.1725076251857522</v>
      </c>
      <c r="K136" s="329">
        <f t="shared" si="27"/>
        <v>183.05003240919942</v>
      </c>
      <c r="L136" s="329">
        <f t="shared" si="27"/>
        <v>153.90667489063208</v>
      </c>
      <c r="M136" s="329">
        <f t="shared" si="27"/>
        <v>386.46125192258035</v>
      </c>
      <c r="N136" s="329">
        <f t="shared" si="27"/>
        <v>202.50878275083176</v>
      </c>
      <c r="O136" s="329">
        <f t="shared" si="27"/>
        <v>3.3729407228166459</v>
      </c>
      <c r="P136" s="329">
        <f t="shared" si="27"/>
        <v>4.9289279581529488</v>
      </c>
      <c r="Q136" s="329">
        <f t="shared" si="28"/>
        <v>130.30626192258038</v>
      </c>
      <c r="R136" s="329">
        <f t="shared" si="28"/>
        <v>202.50878275083176</v>
      </c>
      <c r="S136" s="329">
        <f t="shared" si="28"/>
        <v>3.3729407228166459</v>
      </c>
      <c r="T136" s="329">
        <f t="shared" si="28"/>
        <v>4.9289279581529488</v>
      </c>
      <c r="U136" s="329">
        <f t="shared" si="28"/>
        <v>0</v>
      </c>
      <c r="V136" s="329">
        <f t="shared" si="28"/>
        <v>3.3729407228166459</v>
      </c>
      <c r="W136" s="329">
        <f t="shared" si="28"/>
        <v>4.9289279581529488</v>
      </c>
      <c r="X136" s="329">
        <f t="shared" si="28"/>
        <v>202.50878275083176</v>
      </c>
      <c r="Y136" s="329">
        <f t="shared" si="28"/>
        <v>386.46125192258035</v>
      </c>
      <c r="Z136" s="329">
        <f t="shared" si="28"/>
        <v>0</v>
      </c>
      <c r="AA136" s="329">
        <f t="shared" si="28"/>
        <v>3.3729407228166459</v>
      </c>
      <c r="AB136" s="329">
        <f t="shared" si="28"/>
        <v>4.9289279581529488</v>
      </c>
      <c r="AC136" s="329">
        <f t="shared" si="28"/>
        <v>202.50878275083176</v>
      </c>
      <c r="AD136" s="329">
        <f t="shared" si="28"/>
        <v>130.30626192258038</v>
      </c>
    </row>
    <row r="137" spans="3:30" ht="14.25" customHeight="1" x14ac:dyDescent="0.2">
      <c r="C137" s="8" t="str">
        <v>Marshall Islands</v>
      </c>
      <c r="D137" s="8" t="str">
        <v>East Asia &amp; Pacific</v>
      </c>
      <c r="E137" s="13" t="s">
        <v>578</v>
      </c>
      <c r="F137" s="124" t="str">
        <f t="shared" si="16"/>
        <v>East Asia &amp; Pacific_Upper middle income</v>
      </c>
      <c r="G137" s="329">
        <f t="shared" si="27"/>
        <v>34.298020437149731</v>
      </c>
      <c r="H137" s="329">
        <f t="shared" si="27"/>
        <v>181.37962313864892</v>
      </c>
      <c r="I137" s="329">
        <f t="shared" si="27"/>
        <v>27.549263552056701</v>
      </c>
      <c r="J137" s="329">
        <f t="shared" si="27"/>
        <v>0.56631726229035517</v>
      </c>
      <c r="K137" s="329">
        <f t="shared" si="27"/>
        <v>181.37962313864892</v>
      </c>
      <c r="L137" s="329">
        <f t="shared" si="27"/>
        <v>27.549263552056701</v>
      </c>
      <c r="M137" s="329">
        <f t="shared" si="27"/>
        <v>374.08105300516564</v>
      </c>
      <c r="N137" s="329">
        <f t="shared" si="27"/>
        <v>17.323676083160976</v>
      </c>
      <c r="O137" s="329">
        <f t="shared" si="27"/>
        <v>4.3699928165963389</v>
      </c>
      <c r="P137" s="329">
        <f t="shared" si="27"/>
        <v>4.9289279581529488</v>
      </c>
      <c r="Q137" s="329">
        <f t="shared" si="28"/>
        <v>80.512983968132318</v>
      </c>
      <c r="R137" s="329">
        <f t="shared" si="28"/>
        <v>17.323676083160976</v>
      </c>
      <c r="S137" s="329">
        <f t="shared" si="28"/>
        <v>4.3699928165963389</v>
      </c>
      <c r="T137" s="329">
        <f t="shared" si="28"/>
        <v>4.9289279581529488</v>
      </c>
      <c r="U137" s="329">
        <f t="shared" si="28"/>
        <v>0</v>
      </c>
      <c r="V137" s="329">
        <f t="shared" si="28"/>
        <v>4.3699928165963389</v>
      </c>
      <c r="W137" s="329">
        <f t="shared" si="28"/>
        <v>4.9289279581529488</v>
      </c>
      <c r="X137" s="329">
        <f t="shared" si="28"/>
        <v>17.323676083160976</v>
      </c>
      <c r="Y137" s="329">
        <f t="shared" si="28"/>
        <v>374.08105300516564</v>
      </c>
      <c r="Z137" s="329">
        <f t="shared" si="28"/>
        <v>0.56631726229035517</v>
      </c>
      <c r="AA137" s="329">
        <f t="shared" si="28"/>
        <v>0</v>
      </c>
      <c r="AB137" s="329">
        <f t="shared" si="28"/>
        <v>0</v>
      </c>
      <c r="AC137" s="329">
        <f t="shared" si="28"/>
        <v>27.549263552056701</v>
      </c>
      <c r="AD137" s="329">
        <f t="shared" si="28"/>
        <v>181.37962313864892</v>
      </c>
    </row>
    <row r="138" spans="3:30" ht="14.25" customHeight="1" x14ac:dyDescent="0.2">
      <c r="C138" s="8" t="str">
        <v>Mauritania</v>
      </c>
      <c r="D138" s="8" t="str">
        <v>Sub-Saharan Africa</v>
      </c>
      <c r="E138" s="13" t="s">
        <v>580</v>
      </c>
      <c r="F138" s="124" t="str">
        <f t="shared" si="16"/>
        <v>Sub-Saharan Africa_Lower middle income</v>
      </c>
      <c r="G138" s="329">
        <f t="shared" si="27"/>
        <v>23.309971460536438</v>
      </c>
      <c r="H138" s="329">
        <f t="shared" si="27"/>
        <v>136.54200831083281</v>
      </c>
      <c r="I138" s="329">
        <f t="shared" si="27"/>
        <v>48.066711217553774</v>
      </c>
      <c r="J138" s="329">
        <f t="shared" si="27"/>
        <v>0.38963996426925313</v>
      </c>
      <c r="K138" s="329">
        <f t="shared" si="27"/>
        <v>136.54200831083281</v>
      </c>
      <c r="L138" s="329">
        <f t="shared" si="27"/>
        <v>48.066711217553774</v>
      </c>
      <c r="M138" s="329">
        <f t="shared" si="27"/>
        <v>386.36066988979189</v>
      </c>
      <c r="N138" s="329">
        <f t="shared" si="27"/>
        <v>3.0069383810950008</v>
      </c>
      <c r="O138" s="329">
        <f t="shared" si="27"/>
        <v>6.2955859660608509</v>
      </c>
      <c r="P138" s="329">
        <f t="shared" si="27"/>
        <v>4.9289279581529488</v>
      </c>
      <c r="Q138" s="329">
        <f t="shared" si="28"/>
        <v>124.01862912013361</v>
      </c>
      <c r="R138" s="329">
        <f t="shared" si="28"/>
        <v>3.0069383810950008</v>
      </c>
      <c r="S138" s="329">
        <f t="shared" si="28"/>
        <v>6.2955859660608509</v>
      </c>
      <c r="T138" s="329">
        <f t="shared" si="28"/>
        <v>4.9289279581529488</v>
      </c>
      <c r="U138" s="329">
        <f t="shared" si="28"/>
        <v>0</v>
      </c>
      <c r="V138" s="329">
        <f t="shared" si="28"/>
        <v>6.2955859660608509</v>
      </c>
      <c r="W138" s="329">
        <f t="shared" si="28"/>
        <v>4.9289279581529488</v>
      </c>
      <c r="X138" s="329">
        <f t="shared" si="28"/>
        <v>3.0069383810950008</v>
      </c>
      <c r="Y138" s="329">
        <f t="shared" si="28"/>
        <v>386.36066988979189</v>
      </c>
      <c r="Z138" s="329">
        <f t="shared" si="28"/>
        <v>0.38963996426925313</v>
      </c>
      <c r="AA138" s="329">
        <f t="shared" si="28"/>
        <v>0</v>
      </c>
      <c r="AB138" s="329">
        <f t="shared" si="28"/>
        <v>0</v>
      </c>
      <c r="AC138" s="329">
        <f t="shared" si="28"/>
        <v>48.066711217553774</v>
      </c>
      <c r="AD138" s="329">
        <f t="shared" si="28"/>
        <v>136.54200831083281</v>
      </c>
    </row>
    <row r="139" spans="3:30" ht="14.25" customHeight="1" x14ac:dyDescent="0.2">
      <c r="C139" s="8" t="str">
        <v>Mauritius</v>
      </c>
      <c r="D139" s="8" t="str">
        <v>Sub-Saharan Africa</v>
      </c>
      <c r="E139" s="13" t="s">
        <v>578</v>
      </c>
      <c r="F139" s="124" t="str">
        <f t="shared" si="16"/>
        <v>Sub-Saharan Africa_Upper middle income</v>
      </c>
      <c r="G139" s="329">
        <f t="shared" si="27"/>
        <v>44.847679566063562</v>
      </c>
      <c r="H139" s="329">
        <f t="shared" si="27"/>
        <v>9.4643612202311207</v>
      </c>
      <c r="I139" s="329">
        <f t="shared" si="27"/>
        <v>28.726036410276929</v>
      </c>
      <c r="J139" s="329">
        <f t="shared" si="27"/>
        <v>0.75585976796736343</v>
      </c>
      <c r="K139" s="329">
        <f t="shared" si="27"/>
        <v>9.4643612202311207</v>
      </c>
      <c r="L139" s="329">
        <f t="shared" si="27"/>
        <v>28.726036410276929</v>
      </c>
      <c r="M139" s="329">
        <f t="shared" si="27"/>
        <v>387.80522999999999</v>
      </c>
      <c r="N139" s="329">
        <f t="shared" si="27"/>
        <v>0</v>
      </c>
      <c r="O139" s="329">
        <f t="shared" si="27"/>
        <v>1.5197151695252897</v>
      </c>
      <c r="P139" s="329">
        <f t="shared" si="27"/>
        <v>4.9289279581529488</v>
      </c>
      <c r="Q139" s="329">
        <f t="shared" si="28"/>
        <v>131.65024000000003</v>
      </c>
      <c r="R139" s="329">
        <f t="shared" si="28"/>
        <v>0</v>
      </c>
      <c r="S139" s="329">
        <f t="shared" si="28"/>
        <v>1.5197151695252897</v>
      </c>
      <c r="T139" s="329">
        <f t="shared" si="28"/>
        <v>4.9289279581529488</v>
      </c>
      <c r="U139" s="329">
        <f t="shared" si="28"/>
        <v>0</v>
      </c>
      <c r="V139" s="329">
        <f t="shared" si="28"/>
        <v>1.5197151695252897</v>
      </c>
      <c r="W139" s="329">
        <f t="shared" si="28"/>
        <v>4.9289279581529488</v>
      </c>
      <c r="X139" s="329">
        <f t="shared" si="28"/>
        <v>0</v>
      </c>
      <c r="Y139" s="329">
        <f t="shared" si="28"/>
        <v>387.80522999999999</v>
      </c>
      <c r="Z139" s="329">
        <f t="shared" si="28"/>
        <v>0</v>
      </c>
      <c r="AA139" s="329">
        <f t="shared" si="28"/>
        <v>1.5197151695252897</v>
      </c>
      <c r="AB139" s="329">
        <f t="shared" si="28"/>
        <v>4.9289279581529488</v>
      </c>
      <c r="AC139" s="329">
        <f t="shared" si="28"/>
        <v>0</v>
      </c>
      <c r="AD139" s="329">
        <f t="shared" si="28"/>
        <v>131.65024000000003</v>
      </c>
    </row>
    <row r="140" spans="3:30" ht="14.25" customHeight="1" x14ac:dyDescent="0.2">
      <c r="C140" s="8" t="str">
        <v>Mexico</v>
      </c>
      <c r="D140" s="8" t="str">
        <v>Latin America &amp; Caribbean</v>
      </c>
      <c r="E140" s="13" t="s">
        <v>578</v>
      </c>
      <c r="F140" s="124" t="str">
        <f t="shared" si="16"/>
        <v>Latin America &amp; Caribbean_Upper middle income</v>
      </c>
      <c r="G140" s="329">
        <f t="shared" si="27"/>
        <v>19.261863209537939</v>
      </c>
      <c r="H140" s="329">
        <f t="shared" si="27"/>
        <v>42.920443416545837</v>
      </c>
      <c r="I140" s="329">
        <f t="shared" si="27"/>
        <v>3.7218940666371929</v>
      </c>
      <c r="J140" s="329">
        <f t="shared" si="27"/>
        <v>0.32463814398097651</v>
      </c>
      <c r="K140" s="329">
        <f t="shared" si="27"/>
        <v>42.920443416545837</v>
      </c>
      <c r="L140" s="329">
        <f t="shared" si="27"/>
        <v>3.7218940666371929</v>
      </c>
      <c r="M140" s="329">
        <f t="shared" si="27"/>
        <v>382.48458895500346</v>
      </c>
      <c r="N140" s="329">
        <f t="shared" si="27"/>
        <v>2.5099715358478929</v>
      </c>
      <c r="O140" s="329">
        <f t="shared" si="27"/>
        <v>4.0764802547292067</v>
      </c>
      <c r="P140" s="329">
        <f t="shared" si="27"/>
        <v>4.9289279581529488</v>
      </c>
      <c r="Q140" s="329">
        <f t="shared" si="28"/>
        <v>126.32959895500349</v>
      </c>
      <c r="R140" s="329">
        <f t="shared" si="28"/>
        <v>2.5099715358478929</v>
      </c>
      <c r="S140" s="329">
        <f t="shared" si="28"/>
        <v>4.0764802547292067</v>
      </c>
      <c r="T140" s="329">
        <f t="shared" si="28"/>
        <v>4.9289279581529488</v>
      </c>
      <c r="U140" s="329">
        <f t="shared" si="28"/>
        <v>0</v>
      </c>
      <c r="V140" s="329">
        <f t="shared" si="28"/>
        <v>4.0764802547292067</v>
      </c>
      <c r="W140" s="329">
        <f t="shared" si="28"/>
        <v>4.9289279581529488</v>
      </c>
      <c r="X140" s="329">
        <f t="shared" si="28"/>
        <v>2.5099715358478929</v>
      </c>
      <c r="Y140" s="329">
        <f t="shared" si="28"/>
        <v>382.48458895500346</v>
      </c>
      <c r="Z140" s="329">
        <f t="shared" si="28"/>
        <v>0</v>
      </c>
      <c r="AA140" s="329">
        <f t="shared" si="28"/>
        <v>4.0764802547292067</v>
      </c>
      <c r="AB140" s="329">
        <f t="shared" si="28"/>
        <v>4.9289279581529488</v>
      </c>
      <c r="AC140" s="329">
        <f t="shared" si="28"/>
        <v>2.5099715358478929</v>
      </c>
      <c r="AD140" s="329">
        <f t="shared" si="28"/>
        <v>126.32959895500349</v>
      </c>
    </row>
    <row r="141" spans="3:30" ht="14.25" customHeight="1" x14ac:dyDescent="0.2">
      <c r="C141" s="8" t="str">
        <v>Micronesia, Fed. Sts.</v>
      </c>
      <c r="D141" s="8" t="str">
        <v>East Asia &amp; Pacific</v>
      </c>
      <c r="E141" s="13" t="s">
        <v>580</v>
      </c>
      <c r="F141" s="124" t="str">
        <f t="shared" si="16"/>
        <v>East Asia &amp; Pacific_Lower middle income</v>
      </c>
      <c r="G141" s="329">
        <f t="shared" si="27"/>
        <v>21.040892851983276</v>
      </c>
      <c r="H141" s="329">
        <f t="shared" si="27"/>
        <v>185.01256757493803</v>
      </c>
      <c r="I141" s="329">
        <f t="shared" si="27"/>
        <v>304.6771769642977</v>
      </c>
      <c r="J141" s="329">
        <f t="shared" si="27"/>
        <v>0.34423100460524525</v>
      </c>
      <c r="K141" s="329">
        <f t="shared" si="27"/>
        <v>185.01256757493803</v>
      </c>
      <c r="L141" s="329">
        <f t="shared" si="27"/>
        <v>304.6771769642977</v>
      </c>
      <c r="M141" s="329">
        <f t="shared" si="27"/>
        <v>376.62670320349753</v>
      </c>
      <c r="N141" s="329">
        <f t="shared" si="27"/>
        <v>23.80079428655403</v>
      </c>
      <c r="O141" s="329">
        <f t="shared" si="27"/>
        <v>4.2989077809646146</v>
      </c>
      <c r="P141" s="329">
        <f t="shared" si="27"/>
        <v>4.9289279581529488</v>
      </c>
      <c r="Q141" s="329">
        <f t="shared" si="28"/>
        <v>120.47171320349753</v>
      </c>
      <c r="R141" s="329">
        <f t="shared" si="28"/>
        <v>23.80079428655403</v>
      </c>
      <c r="S141" s="329">
        <f t="shared" si="28"/>
        <v>4.2989077809646146</v>
      </c>
      <c r="T141" s="329">
        <f t="shared" si="28"/>
        <v>4.9289279581529488</v>
      </c>
      <c r="U141" s="329">
        <f t="shared" si="28"/>
        <v>21.040892851983276</v>
      </c>
      <c r="V141" s="329">
        <f t="shared" si="28"/>
        <v>0</v>
      </c>
      <c r="W141" s="329">
        <f t="shared" si="28"/>
        <v>0</v>
      </c>
      <c r="X141" s="329">
        <f t="shared" si="28"/>
        <v>304.6771769642977</v>
      </c>
      <c r="Y141" s="329">
        <f t="shared" si="28"/>
        <v>185.01256757493803</v>
      </c>
      <c r="Z141" s="329">
        <f t="shared" si="28"/>
        <v>0.34423100460524525</v>
      </c>
      <c r="AA141" s="329">
        <f t="shared" si="28"/>
        <v>0</v>
      </c>
      <c r="AB141" s="329">
        <f t="shared" si="28"/>
        <v>0</v>
      </c>
      <c r="AC141" s="329">
        <f t="shared" si="28"/>
        <v>304.6771769642977</v>
      </c>
      <c r="AD141" s="329">
        <f t="shared" si="28"/>
        <v>185.01256757493803</v>
      </c>
    </row>
    <row r="142" spans="3:30" ht="14.25" customHeight="1" x14ac:dyDescent="0.2">
      <c r="C142" s="8" t="str">
        <v>Moldova</v>
      </c>
      <c r="D142" s="8" t="str">
        <v>Europe &amp; Central Asia</v>
      </c>
      <c r="E142" s="13" t="s">
        <v>578</v>
      </c>
      <c r="F142" s="124" t="str">
        <f t="shared" ref="F142:F205" si="29">D142&amp;"_"&amp;E142</f>
        <v>Europe &amp; Central Asia_Upper middle income</v>
      </c>
      <c r="G142" s="329">
        <f t="shared" si="27"/>
        <v>19.63003739407586</v>
      </c>
      <c r="H142" s="329">
        <f t="shared" si="27"/>
        <v>187.00281170809052</v>
      </c>
      <c r="I142" s="329">
        <f t="shared" si="27"/>
        <v>152.66999372239431</v>
      </c>
      <c r="J142" s="329">
        <f t="shared" si="27"/>
        <v>0.33005732005694194</v>
      </c>
      <c r="K142" s="329">
        <f t="shared" si="27"/>
        <v>187.00281170809052</v>
      </c>
      <c r="L142" s="329">
        <f t="shared" si="27"/>
        <v>152.66999372239431</v>
      </c>
      <c r="M142" s="329">
        <f t="shared" si="27"/>
        <v>380.27773922168274</v>
      </c>
      <c r="N142" s="329">
        <f t="shared" si="27"/>
        <v>4.5928298109575465</v>
      </c>
      <c r="O142" s="329">
        <f t="shared" si="27"/>
        <v>3.6994518758026187</v>
      </c>
      <c r="P142" s="329">
        <f t="shared" si="27"/>
        <v>4.9289279581529488</v>
      </c>
      <c r="Q142" s="329">
        <f t="shared" si="28"/>
        <v>94.874795267611404</v>
      </c>
      <c r="R142" s="329">
        <f t="shared" si="28"/>
        <v>4.5928298109575465</v>
      </c>
      <c r="S142" s="329">
        <f t="shared" si="28"/>
        <v>3.6994518758026187</v>
      </c>
      <c r="T142" s="329">
        <f t="shared" si="28"/>
        <v>4.9289279581529488</v>
      </c>
      <c r="U142" s="329">
        <f t="shared" si="28"/>
        <v>0</v>
      </c>
      <c r="V142" s="329">
        <f t="shared" si="28"/>
        <v>3.6994518758026187</v>
      </c>
      <c r="W142" s="329">
        <f t="shared" si="28"/>
        <v>4.9289279581529488</v>
      </c>
      <c r="X142" s="329">
        <f t="shared" si="28"/>
        <v>4.5928298109575465</v>
      </c>
      <c r="Y142" s="329">
        <f t="shared" si="28"/>
        <v>380.27773922168274</v>
      </c>
      <c r="Z142" s="329">
        <f t="shared" si="28"/>
        <v>0.33005732005694194</v>
      </c>
      <c r="AA142" s="329">
        <f t="shared" si="28"/>
        <v>0</v>
      </c>
      <c r="AB142" s="329">
        <f t="shared" si="28"/>
        <v>0</v>
      </c>
      <c r="AC142" s="329">
        <f t="shared" si="28"/>
        <v>152.66999372239431</v>
      </c>
      <c r="AD142" s="329">
        <f t="shared" si="28"/>
        <v>187.00281170809052</v>
      </c>
    </row>
    <row r="143" spans="3:30" ht="14.25" customHeight="1" x14ac:dyDescent="0.2">
      <c r="C143" s="8" t="str">
        <v>Monaco</v>
      </c>
      <c r="D143" s="8" t="str">
        <v>Europe &amp; Central Asia</v>
      </c>
      <c r="E143" s="13" t="s">
        <v>579</v>
      </c>
      <c r="F143" s="124" t="str">
        <f t="shared" si="29"/>
        <v>Europe &amp; Central Asia_High income</v>
      </c>
      <c r="G143" s="329">
        <f t="shared" ref="G143:P152" si="30">IFERROR(IF(INDEX(Interim_Coefficients,MATCH($C143,Interim_Countries,0),MATCH(G$12,Interim_type,0))="No value",INDEX(Interim_CombinedCoefficients,MATCH($F143,Interim_CombinedTag,0),MATCH(G$12,Interim_CombinedType,0)),INDEX(Interim_Coefficients,MATCH($C143,Interim_Countries,0),MATCH(G$12,Interim_type,0))),INDEX(Interim_CombinedCoefficients,MATCH($F143,Interim_CombinedTag,0),MATCH(G$12,Interim_CombinedType,0)))</f>
        <v>32.401299306692998</v>
      </c>
      <c r="H143" s="329">
        <f t="shared" si="30"/>
        <v>185.85127347327975</v>
      </c>
      <c r="I143" s="329">
        <f t="shared" si="30"/>
        <v>371.75902354309056</v>
      </c>
      <c r="J143" s="329">
        <f t="shared" si="30"/>
        <v>0.53910505368023443</v>
      </c>
      <c r="K143" s="329">
        <f t="shared" si="30"/>
        <v>185.85127347327975</v>
      </c>
      <c r="L143" s="329">
        <f t="shared" si="30"/>
        <v>371.75902354309056</v>
      </c>
      <c r="M143" s="329">
        <f t="shared" si="30"/>
        <v>385.53377512854041</v>
      </c>
      <c r="N143" s="329">
        <f t="shared" si="30"/>
        <v>25.640462448793837</v>
      </c>
      <c r="O143" s="329">
        <f t="shared" si="30"/>
        <v>3.6681185273460932</v>
      </c>
      <c r="P143" s="329">
        <f t="shared" si="30"/>
        <v>4.9289279581529506</v>
      </c>
      <c r="Q143" s="329">
        <f t="shared" ref="Q143:AD152" si="31">IFERROR(IF(INDEX(Interim_Coefficients,MATCH($C143,Interim_Countries,0),MATCH(Q$12,Interim_type,0))="No value",INDEX(Interim_CombinedCoefficients,MATCH($F143,Interim_CombinedTag,0),MATCH(Q$12,Interim_CombinedType,0)),INDEX(Interim_Coefficients,MATCH($C143,Interim_Countries,0),MATCH(Q$12,Interim_type,0))),INDEX(Interim_CombinedCoefficients,MATCH($F143,Interim_CombinedTag,0),MATCH(Q$12,Interim_CombinedType,0)))</f>
        <v>97.069054585259593</v>
      </c>
      <c r="R143" s="329">
        <f t="shared" si="31"/>
        <v>25.640462448793837</v>
      </c>
      <c r="S143" s="329">
        <f t="shared" si="31"/>
        <v>3.6681185273460932</v>
      </c>
      <c r="T143" s="329">
        <f t="shared" si="31"/>
        <v>4.9289279581529506</v>
      </c>
      <c r="U143" s="329">
        <f t="shared" si="31"/>
        <v>32.401299306692998</v>
      </c>
      <c r="V143" s="329">
        <f t="shared" si="31"/>
        <v>0</v>
      </c>
      <c r="W143" s="329">
        <f t="shared" si="31"/>
        <v>0</v>
      </c>
      <c r="X143" s="329">
        <f t="shared" si="31"/>
        <v>371.75902354309056</v>
      </c>
      <c r="Y143" s="329">
        <f t="shared" si="31"/>
        <v>185.85127347327975</v>
      </c>
      <c r="Z143" s="329">
        <f t="shared" si="31"/>
        <v>0.53910505368023443</v>
      </c>
      <c r="AA143" s="329">
        <f t="shared" si="31"/>
        <v>0</v>
      </c>
      <c r="AB143" s="329">
        <f t="shared" si="31"/>
        <v>0</v>
      </c>
      <c r="AC143" s="329">
        <f t="shared" si="31"/>
        <v>371.75902354309056</v>
      </c>
      <c r="AD143" s="329">
        <f t="shared" si="31"/>
        <v>185.85127347327975</v>
      </c>
    </row>
    <row r="144" spans="3:30" ht="14.25" customHeight="1" x14ac:dyDescent="0.2">
      <c r="C144" s="8" t="str">
        <v>Mongolia</v>
      </c>
      <c r="D144" s="8" t="str">
        <v>East Asia &amp; Pacific</v>
      </c>
      <c r="E144" s="13" t="s">
        <v>580</v>
      </c>
      <c r="F144" s="124" t="str">
        <f t="shared" si="29"/>
        <v>East Asia &amp; Pacific_Lower middle income</v>
      </c>
      <c r="G144" s="329">
        <f t="shared" si="30"/>
        <v>21.040892851983276</v>
      </c>
      <c r="H144" s="329">
        <f t="shared" si="30"/>
        <v>185.01256757493803</v>
      </c>
      <c r="I144" s="329">
        <f t="shared" si="30"/>
        <v>304.6771769642977</v>
      </c>
      <c r="J144" s="329">
        <f t="shared" si="30"/>
        <v>0.34423100460524525</v>
      </c>
      <c r="K144" s="329">
        <f t="shared" si="30"/>
        <v>185.01256757493803</v>
      </c>
      <c r="L144" s="329">
        <f t="shared" si="30"/>
        <v>304.6771769642977</v>
      </c>
      <c r="M144" s="329">
        <f t="shared" si="30"/>
        <v>376.62670320349753</v>
      </c>
      <c r="N144" s="329">
        <f t="shared" si="30"/>
        <v>23.80079428655403</v>
      </c>
      <c r="O144" s="329">
        <f t="shared" si="30"/>
        <v>4.2989077809646146</v>
      </c>
      <c r="P144" s="329">
        <f t="shared" si="30"/>
        <v>4.9289279581529488</v>
      </c>
      <c r="Q144" s="329">
        <f t="shared" si="31"/>
        <v>120.47171320349753</v>
      </c>
      <c r="R144" s="329">
        <f t="shared" si="31"/>
        <v>23.80079428655403</v>
      </c>
      <c r="S144" s="329">
        <f t="shared" si="31"/>
        <v>4.2989077809646146</v>
      </c>
      <c r="T144" s="329">
        <f t="shared" si="31"/>
        <v>4.9289279581529488</v>
      </c>
      <c r="U144" s="329">
        <f t="shared" si="31"/>
        <v>21.040892851983276</v>
      </c>
      <c r="V144" s="329">
        <f t="shared" si="31"/>
        <v>0</v>
      </c>
      <c r="W144" s="329">
        <f t="shared" si="31"/>
        <v>0</v>
      </c>
      <c r="X144" s="329">
        <f t="shared" si="31"/>
        <v>304.6771769642977</v>
      </c>
      <c r="Y144" s="329">
        <f t="shared" si="31"/>
        <v>185.01256757493803</v>
      </c>
      <c r="Z144" s="329">
        <f t="shared" si="31"/>
        <v>0.34423100460524525</v>
      </c>
      <c r="AA144" s="329">
        <f t="shared" si="31"/>
        <v>0</v>
      </c>
      <c r="AB144" s="329">
        <f t="shared" si="31"/>
        <v>0</v>
      </c>
      <c r="AC144" s="329">
        <f t="shared" si="31"/>
        <v>304.6771769642977</v>
      </c>
      <c r="AD144" s="329">
        <f t="shared" si="31"/>
        <v>185.01256757493803</v>
      </c>
    </row>
    <row r="145" spans="3:30" ht="14.25" customHeight="1" x14ac:dyDescent="0.2">
      <c r="C145" s="8" t="str">
        <v>Montenegro</v>
      </c>
      <c r="D145" s="8" t="str">
        <v>Europe &amp; Central Asia</v>
      </c>
      <c r="E145" s="13" t="s">
        <v>578</v>
      </c>
      <c r="F145" s="124" t="str">
        <f t="shared" si="29"/>
        <v>Europe &amp; Central Asia_Upper middle income</v>
      </c>
      <c r="G145" s="329">
        <f t="shared" si="30"/>
        <v>19.63003739407586</v>
      </c>
      <c r="H145" s="329">
        <f t="shared" si="30"/>
        <v>187.00281170809052</v>
      </c>
      <c r="I145" s="329">
        <f t="shared" si="30"/>
        <v>152.66999372239431</v>
      </c>
      <c r="J145" s="329">
        <f t="shared" si="30"/>
        <v>0.33005732005694194</v>
      </c>
      <c r="K145" s="329">
        <f t="shared" si="30"/>
        <v>187.00281170809052</v>
      </c>
      <c r="L145" s="329">
        <f t="shared" si="30"/>
        <v>152.66999372239431</v>
      </c>
      <c r="M145" s="329">
        <f t="shared" si="30"/>
        <v>380.27773922168274</v>
      </c>
      <c r="N145" s="329">
        <f t="shared" si="30"/>
        <v>4.5928298109575465</v>
      </c>
      <c r="O145" s="329">
        <f t="shared" si="30"/>
        <v>3.6994518758026187</v>
      </c>
      <c r="P145" s="329">
        <f t="shared" si="30"/>
        <v>4.9289279581529488</v>
      </c>
      <c r="Q145" s="329">
        <f t="shared" si="31"/>
        <v>94.874795267611404</v>
      </c>
      <c r="R145" s="329">
        <f t="shared" si="31"/>
        <v>4.5928298109575465</v>
      </c>
      <c r="S145" s="329">
        <f t="shared" si="31"/>
        <v>3.6994518758026187</v>
      </c>
      <c r="T145" s="329">
        <f t="shared" si="31"/>
        <v>4.9289279581529488</v>
      </c>
      <c r="U145" s="329">
        <f t="shared" si="31"/>
        <v>0</v>
      </c>
      <c r="V145" s="329">
        <f t="shared" si="31"/>
        <v>3.6994518758026187</v>
      </c>
      <c r="W145" s="329">
        <f t="shared" si="31"/>
        <v>4.9289279581529488</v>
      </c>
      <c r="X145" s="329">
        <f t="shared" si="31"/>
        <v>4.5928298109575465</v>
      </c>
      <c r="Y145" s="329">
        <f t="shared" si="31"/>
        <v>380.27773922168274</v>
      </c>
      <c r="Z145" s="329">
        <f t="shared" si="31"/>
        <v>0.33005732005694194</v>
      </c>
      <c r="AA145" s="329">
        <f t="shared" si="31"/>
        <v>0</v>
      </c>
      <c r="AB145" s="329">
        <f t="shared" si="31"/>
        <v>0</v>
      </c>
      <c r="AC145" s="329">
        <f t="shared" si="31"/>
        <v>152.66999372239431</v>
      </c>
      <c r="AD145" s="329">
        <f t="shared" si="31"/>
        <v>187.00281170809052</v>
      </c>
    </row>
    <row r="146" spans="3:30" ht="14.25" customHeight="1" x14ac:dyDescent="0.2">
      <c r="C146" s="8" t="str">
        <v>Morocco</v>
      </c>
      <c r="D146" s="8" t="str">
        <v>Middle East &amp; North Africa</v>
      </c>
      <c r="E146" s="13" t="s">
        <v>580</v>
      </c>
      <c r="F146" s="124" t="str">
        <f t="shared" si="29"/>
        <v>Middle East &amp; North Africa_Lower middle income</v>
      </c>
      <c r="G146" s="329">
        <f t="shared" si="30"/>
        <v>18.10397927927896</v>
      </c>
      <c r="H146" s="329">
        <f t="shared" si="30"/>
        <v>183.05003240919942</v>
      </c>
      <c r="I146" s="329">
        <f t="shared" si="30"/>
        <v>8.9537853227281001</v>
      </c>
      <c r="J146" s="329">
        <f t="shared" si="30"/>
        <v>0.29929645004290506</v>
      </c>
      <c r="K146" s="329">
        <f t="shared" si="30"/>
        <v>183.05003240919942</v>
      </c>
      <c r="L146" s="329">
        <f t="shared" si="30"/>
        <v>8.9537853227281001</v>
      </c>
      <c r="M146" s="329">
        <f t="shared" si="30"/>
        <v>386.45224005661373</v>
      </c>
      <c r="N146" s="329">
        <f t="shared" si="30"/>
        <v>0.93587167759875556</v>
      </c>
      <c r="O146" s="329">
        <f t="shared" si="30"/>
        <v>4.1054973591834791</v>
      </c>
      <c r="P146" s="329">
        <f t="shared" si="30"/>
        <v>4.9289279581529488</v>
      </c>
      <c r="Q146" s="329">
        <f t="shared" si="31"/>
        <v>92.061010441720953</v>
      </c>
      <c r="R146" s="329">
        <f t="shared" si="31"/>
        <v>0.93587167759875556</v>
      </c>
      <c r="S146" s="329">
        <f t="shared" si="31"/>
        <v>4.1054973591834791</v>
      </c>
      <c r="T146" s="329">
        <f t="shared" si="31"/>
        <v>4.9289279581529488</v>
      </c>
      <c r="U146" s="329">
        <f t="shared" si="31"/>
        <v>0</v>
      </c>
      <c r="V146" s="329">
        <f t="shared" si="31"/>
        <v>4.1054973591834791</v>
      </c>
      <c r="W146" s="329">
        <f t="shared" si="31"/>
        <v>4.9289279581529488</v>
      </c>
      <c r="X146" s="329">
        <f t="shared" si="31"/>
        <v>0.93587167759875556</v>
      </c>
      <c r="Y146" s="329">
        <f t="shared" si="31"/>
        <v>386.45224005661373</v>
      </c>
      <c r="Z146" s="329">
        <f t="shared" si="31"/>
        <v>0.29929645004290506</v>
      </c>
      <c r="AA146" s="329">
        <f t="shared" si="31"/>
        <v>0</v>
      </c>
      <c r="AB146" s="329">
        <f t="shared" si="31"/>
        <v>0</v>
      </c>
      <c r="AC146" s="329">
        <f t="shared" si="31"/>
        <v>8.9537853227281001</v>
      </c>
      <c r="AD146" s="329">
        <f t="shared" si="31"/>
        <v>183.05003240919942</v>
      </c>
    </row>
    <row r="147" spans="3:30" ht="14.25" customHeight="1" x14ac:dyDescent="0.2">
      <c r="C147" s="8" t="str">
        <v>Mozambique</v>
      </c>
      <c r="D147" s="8" t="str">
        <v>Sub-Saharan Africa</v>
      </c>
      <c r="E147" s="13" t="s">
        <v>586</v>
      </c>
      <c r="F147" s="124" t="str">
        <f t="shared" si="29"/>
        <v>Sub-Saharan Africa_Low income</v>
      </c>
      <c r="G147" s="329">
        <f t="shared" si="30"/>
        <v>23.309971460536438</v>
      </c>
      <c r="H147" s="329">
        <f t="shared" si="30"/>
        <v>136.54200831083281</v>
      </c>
      <c r="I147" s="329">
        <f t="shared" si="30"/>
        <v>48.066711217553774</v>
      </c>
      <c r="J147" s="329">
        <f t="shared" si="30"/>
        <v>0.38963996426925313</v>
      </c>
      <c r="K147" s="329">
        <f t="shared" si="30"/>
        <v>136.54200831083281</v>
      </c>
      <c r="L147" s="329">
        <f t="shared" si="30"/>
        <v>48.066711217553774</v>
      </c>
      <c r="M147" s="329">
        <f t="shared" si="30"/>
        <v>386.36066988979189</v>
      </c>
      <c r="N147" s="329">
        <f t="shared" si="30"/>
        <v>3.0069383810950008</v>
      </c>
      <c r="O147" s="329">
        <f t="shared" si="30"/>
        <v>6.2955859660608509</v>
      </c>
      <c r="P147" s="329">
        <f t="shared" si="30"/>
        <v>4.9289279581529488</v>
      </c>
      <c r="Q147" s="329">
        <f t="shared" si="31"/>
        <v>124.01862912013361</v>
      </c>
      <c r="R147" s="329">
        <f t="shared" si="31"/>
        <v>3.0069383810950008</v>
      </c>
      <c r="S147" s="329">
        <f t="shared" si="31"/>
        <v>6.2955859660608509</v>
      </c>
      <c r="T147" s="329">
        <f t="shared" si="31"/>
        <v>4.9289279581529488</v>
      </c>
      <c r="U147" s="329">
        <f t="shared" si="31"/>
        <v>0</v>
      </c>
      <c r="V147" s="329">
        <f t="shared" si="31"/>
        <v>6.2955859660608509</v>
      </c>
      <c r="W147" s="329">
        <f t="shared" si="31"/>
        <v>4.9289279581529488</v>
      </c>
      <c r="X147" s="329">
        <f t="shared" si="31"/>
        <v>3.0069383810950008</v>
      </c>
      <c r="Y147" s="329">
        <f t="shared" si="31"/>
        <v>386.36066988979189</v>
      </c>
      <c r="Z147" s="329">
        <f t="shared" si="31"/>
        <v>0.38963996426925313</v>
      </c>
      <c r="AA147" s="329">
        <f t="shared" si="31"/>
        <v>0</v>
      </c>
      <c r="AB147" s="329">
        <f t="shared" si="31"/>
        <v>0</v>
      </c>
      <c r="AC147" s="329">
        <f t="shared" si="31"/>
        <v>48.066711217553774</v>
      </c>
      <c r="AD147" s="329">
        <f t="shared" si="31"/>
        <v>136.54200831083281</v>
      </c>
    </row>
    <row r="148" spans="3:30" ht="14.25" customHeight="1" x14ac:dyDescent="0.2">
      <c r="C148" s="8" t="str">
        <v>Myanmar</v>
      </c>
      <c r="D148" s="8" t="str">
        <v>East Asia &amp; Pacific</v>
      </c>
      <c r="E148" s="13" t="s">
        <v>580</v>
      </c>
      <c r="F148" s="124" t="str">
        <f t="shared" si="29"/>
        <v>East Asia &amp; Pacific_Lower middle income</v>
      </c>
      <c r="G148" s="329">
        <f t="shared" si="30"/>
        <v>21.040892851983276</v>
      </c>
      <c r="H148" s="329">
        <f t="shared" si="30"/>
        <v>185.01256757493803</v>
      </c>
      <c r="I148" s="329">
        <f t="shared" si="30"/>
        <v>304.6771769642977</v>
      </c>
      <c r="J148" s="329">
        <f t="shared" si="30"/>
        <v>0.34423100460524525</v>
      </c>
      <c r="K148" s="329">
        <f t="shared" si="30"/>
        <v>185.01256757493803</v>
      </c>
      <c r="L148" s="329">
        <f t="shared" si="30"/>
        <v>304.6771769642977</v>
      </c>
      <c r="M148" s="329">
        <f t="shared" si="30"/>
        <v>376.62670320349753</v>
      </c>
      <c r="N148" s="329">
        <f t="shared" si="30"/>
        <v>23.80079428655403</v>
      </c>
      <c r="O148" s="329">
        <f t="shared" si="30"/>
        <v>4.2989077809646146</v>
      </c>
      <c r="P148" s="329">
        <f t="shared" si="30"/>
        <v>4.9289279581529488</v>
      </c>
      <c r="Q148" s="329">
        <f t="shared" si="31"/>
        <v>120.47171320349753</v>
      </c>
      <c r="R148" s="329">
        <f t="shared" si="31"/>
        <v>23.80079428655403</v>
      </c>
      <c r="S148" s="329">
        <f t="shared" si="31"/>
        <v>4.2989077809646146</v>
      </c>
      <c r="T148" s="329">
        <f t="shared" si="31"/>
        <v>4.9289279581529488</v>
      </c>
      <c r="U148" s="329">
        <f t="shared" si="31"/>
        <v>21.040892851983276</v>
      </c>
      <c r="V148" s="329">
        <f t="shared" si="31"/>
        <v>0</v>
      </c>
      <c r="W148" s="329">
        <f t="shared" si="31"/>
        <v>0</v>
      </c>
      <c r="X148" s="329">
        <f t="shared" si="31"/>
        <v>304.6771769642977</v>
      </c>
      <c r="Y148" s="329">
        <f t="shared" si="31"/>
        <v>185.01256757493803</v>
      </c>
      <c r="Z148" s="329">
        <f t="shared" si="31"/>
        <v>0.34423100460524525</v>
      </c>
      <c r="AA148" s="329">
        <f t="shared" si="31"/>
        <v>0</v>
      </c>
      <c r="AB148" s="329">
        <f t="shared" si="31"/>
        <v>0</v>
      </c>
      <c r="AC148" s="329">
        <f t="shared" si="31"/>
        <v>304.6771769642977</v>
      </c>
      <c r="AD148" s="329">
        <f t="shared" si="31"/>
        <v>185.01256757493803</v>
      </c>
    </row>
    <row r="149" spans="3:30" ht="14.25" customHeight="1" x14ac:dyDescent="0.2">
      <c r="C149" s="8" t="str">
        <v>Namibia</v>
      </c>
      <c r="D149" s="8" t="str">
        <v>Sub-Saharan Africa</v>
      </c>
      <c r="E149" s="13" t="s">
        <v>578</v>
      </c>
      <c r="F149" s="124" t="str">
        <f t="shared" si="29"/>
        <v>Sub-Saharan Africa_Upper middle income</v>
      </c>
      <c r="G149" s="329">
        <f t="shared" si="30"/>
        <v>28.925537175275039</v>
      </c>
      <c r="H149" s="329">
        <f t="shared" si="30"/>
        <v>96.257196814715272</v>
      </c>
      <c r="I149" s="329">
        <f t="shared" si="30"/>
        <v>20.369852633192828</v>
      </c>
      <c r="J149" s="329">
        <f t="shared" si="30"/>
        <v>0.48750905351587148</v>
      </c>
      <c r="K149" s="329">
        <f t="shared" si="30"/>
        <v>96.257196814715272</v>
      </c>
      <c r="L149" s="329">
        <f t="shared" si="30"/>
        <v>20.369852633192828</v>
      </c>
      <c r="M149" s="329">
        <f t="shared" si="30"/>
        <v>387.80522999999999</v>
      </c>
      <c r="N149" s="329">
        <f t="shared" si="30"/>
        <v>0</v>
      </c>
      <c r="O149" s="329">
        <f t="shared" si="30"/>
        <v>1.3825221310123885</v>
      </c>
      <c r="P149" s="329">
        <f t="shared" si="30"/>
        <v>4.9289279581529488</v>
      </c>
      <c r="Q149" s="329">
        <f t="shared" si="31"/>
        <v>131.65024000000003</v>
      </c>
      <c r="R149" s="329">
        <f t="shared" si="31"/>
        <v>0</v>
      </c>
      <c r="S149" s="329">
        <f t="shared" si="31"/>
        <v>1.3825221310123885</v>
      </c>
      <c r="T149" s="329">
        <f t="shared" si="31"/>
        <v>4.9289279581529488</v>
      </c>
      <c r="U149" s="329">
        <f t="shared" si="31"/>
        <v>0</v>
      </c>
      <c r="V149" s="329">
        <f t="shared" si="31"/>
        <v>1.3825221310123885</v>
      </c>
      <c r="W149" s="329">
        <f t="shared" si="31"/>
        <v>4.9289279581529488</v>
      </c>
      <c r="X149" s="329">
        <f t="shared" si="31"/>
        <v>0</v>
      </c>
      <c r="Y149" s="329">
        <f t="shared" si="31"/>
        <v>387.80522999999999</v>
      </c>
      <c r="Z149" s="329">
        <f t="shared" si="31"/>
        <v>0</v>
      </c>
      <c r="AA149" s="329">
        <f t="shared" si="31"/>
        <v>1.3825221310123885</v>
      </c>
      <c r="AB149" s="329">
        <f t="shared" si="31"/>
        <v>4.9289279581529488</v>
      </c>
      <c r="AC149" s="329">
        <f t="shared" si="31"/>
        <v>0</v>
      </c>
      <c r="AD149" s="329">
        <f t="shared" si="31"/>
        <v>131.65024000000003</v>
      </c>
    </row>
    <row r="150" spans="3:30" ht="14.25" customHeight="1" x14ac:dyDescent="0.2">
      <c r="C150" s="8" t="str">
        <v>Nauru</v>
      </c>
      <c r="D150" s="8" t="str">
        <v>East Asia &amp; Pacific</v>
      </c>
      <c r="E150" s="13" t="s">
        <v>579</v>
      </c>
      <c r="F150" s="124" t="str">
        <f t="shared" si="29"/>
        <v>East Asia &amp; Pacific_High income</v>
      </c>
      <c r="G150" s="329">
        <f t="shared" si="30"/>
        <v>44.443145199894367</v>
      </c>
      <c r="H150" s="329">
        <f t="shared" si="30"/>
        <v>183.8442475693883</v>
      </c>
      <c r="I150" s="329">
        <f t="shared" si="30"/>
        <v>105.92574003437052</v>
      </c>
      <c r="J150" s="329">
        <f t="shared" si="30"/>
        <v>0.74702806793375442</v>
      </c>
      <c r="K150" s="329">
        <f t="shared" si="30"/>
        <v>183.8442475693883</v>
      </c>
      <c r="L150" s="329">
        <f t="shared" si="30"/>
        <v>105.92574003437052</v>
      </c>
      <c r="M150" s="329">
        <f t="shared" si="30"/>
        <v>369.66231455327676</v>
      </c>
      <c r="N150" s="329">
        <f t="shared" si="30"/>
        <v>87.076870251981461</v>
      </c>
      <c r="O150" s="329">
        <f t="shared" si="30"/>
        <v>2.6357425797782517</v>
      </c>
      <c r="P150" s="329">
        <f t="shared" si="30"/>
        <v>4.9289279581529488</v>
      </c>
      <c r="Q150" s="329">
        <f t="shared" si="31"/>
        <v>113.50732455327682</v>
      </c>
      <c r="R150" s="329">
        <f t="shared" si="31"/>
        <v>87.076870251981461</v>
      </c>
      <c r="S150" s="329">
        <f t="shared" si="31"/>
        <v>2.6357425797782517</v>
      </c>
      <c r="T150" s="329">
        <f t="shared" si="31"/>
        <v>4.9289279581529488</v>
      </c>
      <c r="U150" s="329">
        <f t="shared" si="31"/>
        <v>0</v>
      </c>
      <c r="V150" s="329">
        <f t="shared" si="31"/>
        <v>2.6357425797782517</v>
      </c>
      <c r="W150" s="329">
        <f t="shared" si="31"/>
        <v>4.9289279581529488</v>
      </c>
      <c r="X150" s="329">
        <f t="shared" si="31"/>
        <v>87.076870251981461</v>
      </c>
      <c r="Y150" s="329">
        <f t="shared" si="31"/>
        <v>369.66231455327676</v>
      </c>
      <c r="Z150" s="329">
        <f t="shared" si="31"/>
        <v>0.74702806793375442</v>
      </c>
      <c r="AA150" s="329">
        <f t="shared" si="31"/>
        <v>0</v>
      </c>
      <c r="AB150" s="329">
        <f t="shared" si="31"/>
        <v>0</v>
      </c>
      <c r="AC150" s="329">
        <f t="shared" si="31"/>
        <v>105.92574003437052</v>
      </c>
      <c r="AD150" s="329">
        <f t="shared" si="31"/>
        <v>183.8442475693883</v>
      </c>
    </row>
    <row r="151" spans="3:30" ht="14.25" customHeight="1" x14ac:dyDescent="0.2">
      <c r="C151" s="8" t="str">
        <v>Nepal</v>
      </c>
      <c r="D151" s="8" t="str">
        <v>South Asia</v>
      </c>
      <c r="E151" s="13" t="s">
        <v>580</v>
      </c>
      <c r="F151" s="124" t="str">
        <f t="shared" si="29"/>
        <v>South Asia_Lower middle income</v>
      </c>
      <c r="G151" s="329">
        <f t="shared" si="30"/>
        <v>18.682549411015433</v>
      </c>
      <c r="H151" s="329">
        <f t="shared" si="30"/>
        <v>181.47379975685718</v>
      </c>
      <c r="I151" s="329">
        <f t="shared" si="30"/>
        <v>16.163512715224211</v>
      </c>
      <c r="J151" s="329">
        <f t="shared" si="30"/>
        <v>0.30633780951627371</v>
      </c>
      <c r="K151" s="329">
        <f t="shared" si="30"/>
        <v>181.47379975685718</v>
      </c>
      <c r="L151" s="329">
        <f t="shared" si="30"/>
        <v>16.163512715224211</v>
      </c>
      <c r="M151" s="329">
        <f t="shared" si="30"/>
        <v>387.80522999999999</v>
      </c>
      <c r="N151" s="329">
        <f t="shared" si="30"/>
        <v>0</v>
      </c>
      <c r="O151" s="329">
        <f t="shared" si="30"/>
        <v>25.353014152547104</v>
      </c>
      <c r="P151" s="329">
        <f t="shared" si="30"/>
        <v>4.9289279581529488</v>
      </c>
      <c r="Q151" s="329">
        <f t="shared" si="31"/>
        <v>131.65024000000003</v>
      </c>
      <c r="R151" s="329">
        <f t="shared" si="31"/>
        <v>0</v>
      </c>
      <c r="S151" s="329">
        <f t="shared" si="31"/>
        <v>25.353014152547104</v>
      </c>
      <c r="T151" s="329">
        <f t="shared" si="31"/>
        <v>4.9289279581529488</v>
      </c>
      <c r="U151" s="329">
        <f t="shared" si="31"/>
        <v>0</v>
      </c>
      <c r="V151" s="329">
        <f t="shared" si="31"/>
        <v>25.353014152547104</v>
      </c>
      <c r="W151" s="329">
        <f t="shared" si="31"/>
        <v>4.9289279581529488</v>
      </c>
      <c r="X151" s="329">
        <f t="shared" si="31"/>
        <v>0</v>
      </c>
      <c r="Y151" s="329">
        <f t="shared" si="31"/>
        <v>387.80522999999999</v>
      </c>
      <c r="Z151" s="329">
        <f t="shared" si="31"/>
        <v>0.30633780951627371</v>
      </c>
      <c r="AA151" s="329">
        <f t="shared" si="31"/>
        <v>0</v>
      </c>
      <c r="AB151" s="329">
        <f t="shared" si="31"/>
        <v>0</v>
      </c>
      <c r="AC151" s="329">
        <f t="shared" si="31"/>
        <v>16.163512715224211</v>
      </c>
      <c r="AD151" s="329">
        <f t="shared" si="31"/>
        <v>181.47379975685718</v>
      </c>
    </row>
    <row r="152" spans="3:30" ht="14.25" customHeight="1" x14ac:dyDescent="0.2">
      <c r="C152" s="8" t="str">
        <v>Netherlands</v>
      </c>
      <c r="D152" s="8" t="str">
        <v>Europe &amp; Central Asia</v>
      </c>
      <c r="E152" s="13" t="s">
        <v>579</v>
      </c>
      <c r="F152" s="124" t="str">
        <f t="shared" si="29"/>
        <v>Europe &amp; Central Asia_High income</v>
      </c>
      <c r="G152" s="329">
        <f t="shared" si="30"/>
        <v>11.386615891288072</v>
      </c>
      <c r="H152" s="329">
        <f t="shared" si="30"/>
        <v>187.00281170809052</v>
      </c>
      <c r="I152" s="329">
        <f t="shared" si="30"/>
        <v>2825.8667321963458</v>
      </c>
      <c r="J152" s="329">
        <f t="shared" si="30"/>
        <v>0.18073993478235037</v>
      </c>
      <c r="K152" s="329">
        <f t="shared" si="30"/>
        <v>187.00281170809052</v>
      </c>
      <c r="L152" s="329">
        <f t="shared" si="30"/>
        <v>2825.8667321963458</v>
      </c>
      <c r="M152" s="329">
        <f t="shared" si="30"/>
        <v>384.16309766809036</v>
      </c>
      <c r="N152" s="329">
        <f t="shared" si="30"/>
        <v>119.70225174831582</v>
      </c>
      <c r="O152" s="329">
        <f t="shared" si="30"/>
        <v>3.1588549026789909</v>
      </c>
      <c r="P152" s="329">
        <f t="shared" si="30"/>
        <v>4.9289279581529488</v>
      </c>
      <c r="Q152" s="329">
        <f t="shared" si="31"/>
        <v>89.273551859909702</v>
      </c>
      <c r="R152" s="329">
        <f t="shared" si="31"/>
        <v>119.70225174831582</v>
      </c>
      <c r="S152" s="329">
        <f t="shared" si="31"/>
        <v>3.1588549026789909</v>
      </c>
      <c r="T152" s="329">
        <f t="shared" si="31"/>
        <v>4.9289279581529488</v>
      </c>
      <c r="U152" s="329">
        <f t="shared" si="31"/>
        <v>11.386615891288072</v>
      </c>
      <c r="V152" s="329">
        <f t="shared" si="31"/>
        <v>0</v>
      </c>
      <c r="W152" s="329">
        <f t="shared" si="31"/>
        <v>0</v>
      </c>
      <c r="X152" s="329">
        <f t="shared" si="31"/>
        <v>2825.8667321963458</v>
      </c>
      <c r="Y152" s="329">
        <f t="shared" si="31"/>
        <v>187.00281170809052</v>
      </c>
      <c r="Z152" s="329">
        <f t="shared" si="31"/>
        <v>0.18073993478235037</v>
      </c>
      <c r="AA152" s="329">
        <f t="shared" si="31"/>
        <v>0</v>
      </c>
      <c r="AB152" s="329">
        <f t="shared" si="31"/>
        <v>0</v>
      </c>
      <c r="AC152" s="329">
        <f t="shared" si="31"/>
        <v>2825.8667321963458</v>
      </c>
      <c r="AD152" s="329">
        <f t="shared" si="31"/>
        <v>187.00281170809052</v>
      </c>
    </row>
    <row r="153" spans="3:30" ht="14.25" customHeight="1" x14ac:dyDescent="0.2">
      <c r="C153" s="8" t="str">
        <v>New Caledonia</v>
      </c>
      <c r="D153" s="8" t="str">
        <v>East Asia &amp; Pacific</v>
      </c>
      <c r="E153" s="13" t="s">
        <v>579</v>
      </c>
      <c r="F153" s="124" t="str">
        <f t="shared" si="29"/>
        <v>East Asia &amp; Pacific_High income</v>
      </c>
      <c r="G153" s="329">
        <f t="shared" ref="G153:P162" si="32">IFERROR(IF(INDEX(Interim_Coefficients,MATCH($C153,Interim_Countries,0),MATCH(G$12,Interim_type,0))="No value",INDEX(Interim_CombinedCoefficients,MATCH($F153,Interim_CombinedTag,0),MATCH(G$12,Interim_CombinedType,0)),INDEX(Interim_Coefficients,MATCH($C153,Interim_Countries,0),MATCH(G$12,Interim_type,0))),INDEX(Interim_CombinedCoefficients,MATCH($F153,Interim_CombinedTag,0),MATCH(G$12,Interim_CombinedType,0)))</f>
        <v>44.443145199894367</v>
      </c>
      <c r="H153" s="329">
        <f t="shared" si="32"/>
        <v>183.8442475693883</v>
      </c>
      <c r="I153" s="329">
        <f t="shared" si="32"/>
        <v>105.92574003437052</v>
      </c>
      <c r="J153" s="329">
        <f t="shared" si="32"/>
        <v>0.74702806793375442</v>
      </c>
      <c r="K153" s="329">
        <f t="shared" si="32"/>
        <v>183.8442475693883</v>
      </c>
      <c r="L153" s="329">
        <f t="shared" si="32"/>
        <v>105.92574003437052</v>
      </c>
      <c r="M153" s="329">
        <f t="shared" si="32"/>
        <v>369.66231455327676</v>
      </c>
      <c r="N153" s="329">
        <f t="shared" si="32"/>
        <v>87.076870251981461</v>
      </c>
      <c r="O153" s="329">
        <f t="shared" si="32"/>
        <v>2.6357425797782517</v>
      </c>
      <c r="P153" s="329">
        <f t="shared" si="32"/>
        <v>4.9289279581529488</v>
      </c>
      <c r="Q153" s="329">
        <f t="shared" ref="Q153:AD162" si="33">IFERROR(IF(INDEX(Interim_Coefficients,MATCH($C153,Interim_Countries,0),MATCH(Q$12,Interim_type,0))="No value",INDEX(Interim_CombinedCoefficients,MATCH($F153,Interim_CombinedTag,0),MATCH(Q$12,Interim_CombinedType,0)),INDEX(Interim_Coefficients,MATCH($C153,Interim_Countries,0),MATCH(Q$12,Interim_type,0))),INDEX(Interim_CombinedCoefficients,MATCH($F153,Interim_CombinedTag,0),MATCH(Q$12,Interim_CombinedType,0)))</f>
        <v>113.50732455327682</v>
      </c>
      <c r="R153" s="329">
        <f t="shared" si="33"/>
        <v>87.076870251981461</v>
      </c>
      <c r="S153" s="329">
        <f t="shared" si="33"/>
        <v>2.6357425797782517</v>
      </c>
      <c r="T153" s="329">
        <f t="shared" si="33"/>
        <v>4.9289279581529488</v>
      </c>
      <c r="U153" s="329">
        <f t="shared" si="33"/>
        <v>0</v>
      </c>
      <c r="V153" s="329">
        <f t="shared" si="33"/>
        <v>2.6357425797782517</v>
      </c>
      <c r="W153" s="329">
        <f t="shared" si="33"/>
        <v>4.9289279581529488</v>
      </c>
      <c r="X153" s="329">
        <f t="shared" si="33"/>
        <v>87.076870251981461</v>
      </c>
      <c r="Y153" s="329">
        <f t="shared" si="33"/>
        <v>369.66231455327676</v>
      </c>
      <c r="Z153" s="329">
        <f t="shared" si="33"/>
        <v>0.74702806793375442</v>
      </c>
      <c r="AA153" s="329">
        <f t="shared" si="33"/>
        <v>0</v>
      </c>
      <c r="AB153" s="329">
        <f t="shared" si="33"/>
        <v>0</v>
      </c>
      <c r="AC153" s="329">
        <f t="shared" si="33"/>
        <v>105.92574003437052</v>
      </c>
      <c r="AD153" s="329">
        <f t="shared" si="33"/>
        <v>183.8442475693883</v>
      </c>
    </row>
    <row r="154" spans="3:30" ht="14.25" customHeight="1" x14ac:dyDescent="0.2">
      <c r="C154" s="8" t="str">
        <v>New Zealand</v>
      </c>
      <c r="D154" s="8" t="str">
        <v>East Asia &amp; Pacific</v>
      </c>
      <c r="E154" s="13" t="s">
        <v>579</v>
      </c>
      <c r="F154" s="124" t="str">
        <f t="shared" si="29"/>
        <v>East Asia &amp; Pacific_High income</v>
      </c>
      <c r="G154" s="329">
        <f t="shared" si="32"/>
        <v>19.850700147398207</v>
      </c>
      <c r="H154" s="329">
        <f t="shared" si="32"/>
        <v>187.00281170809052</v>
      </c>
      <c r="I154" s="329">
        <f t="shared" si="32"/>
        <v>6.6372154441223481</v>
      </c>
      <c r="J154" s="329">
        <f t="shared" si="32"/>
        <v>0.33289994036009413</v>
      </c>
      <c r="K154" s="329">
        <f t="shared" si="32"/>
        <v>187.00281170809052</v>
      </c>
      <c r="L154" s="329">
        <f t="shared" si="32"/>
        <v>6.6372154441223481</v>
      </c>
      <c r="M154" s="329">
        <f t="shared" si="32"/>
        <v>387.80522999999999</v>
      </c>
      <c r="N154" s="329">
        <f t="shared" si="32"/>
        <v>0</v>
      </c>
      <c r="O154" s="329">
        <f t="shared" si="32"/>
        <v>1.0668727105709097</v>
      </c>
      <c r="P154" s="329">
        <f t="shared" si="32"/>
        <v>4.9289279581529488</v>
      </c>
      <c r="Q154" s="329">
        <f t="shared" si="33"/>
        <v>131.65024000000003</v>
      </c>
      <c r="R154" s="329">
        <f t="shared" si="33"/>
        <v>0</v>
      </c>
      <c r="S154" s="329">
        <f t="shared" si="33"/>
        <v>1.0668727105709097</v>
      </c>
      <c r="T154" s="329">
        <f t="shared" si="33"/>
        <v>4.9289279581529488</v>
      </c>
      <c r="U154" s="329">
        <f t="shared" si="33"/>
        <v>0</v>
      </c>
      <c r="V154" s="329">
        <f t="shared" si="33"/>
        <v>1.0668727105709097</v>
      </c>
      <c r="W154" s="329">
        <f t="shared" si="33"/>
        <v>4.9289279581529488</v>
      </c>
      <c r="X154" s="329">
        <f t="shared" si="33"/>
        <v>0</v>
      </c>
      <c r="Y154" s="329">
        <f t="shared" si="33"/>
        <v>387.80522999999999</v>
      </c>
      <c r="Z154" s="329">
        <f t="shared" si="33"/>
        <v>0.33289994036009413</v>
      </c>
      <c r="AA154" s="329">
        <f t="shared" si="33"/>
        <v>0</v>
      </c>
      <c r="AB154" s="329">
        <f t="shared" si="33"/>
        <v>0</v>
      </c>
      <c r="AC154" s="329">
        <f t="shared" si="33"/>
        <v>6.6372154441223481</v>
      </c>
      <c r="AD154" s="329">
        <f t="shared" si="33"/>
        <v>187.00281170809052</v>
      </c>
    </row>
    <row r="155" spans="3:30" ht="14.25" customHeight="1" x14ac:dyDescent="0.2">
      <c r="C155" s="8" t="str">
        <v>Nicaragua</v>
      </c>
      <c r="D155" s="8" t="str">
        <v>Latin America &amp; Caribbean</v>
      </c>
      <c r="E155" s="13" t="s">
        <v>580</v>
      </c>
      <c r="F155" s="124" t="str">
        <f t="shared" si="29"/>
        <v>Latin America &amp; Caribbean_Lower middle income</v>
      </c>
      <c r="G155" s="329">
        <f t="shared" si="32"/>
        <v>8.5223688119908019</v>
      </c>
      <c r="H155" s="329">
        <f t="shared" si="32"/>
        <v>123.89196731561637</v>
      </c>
      <c r="I155" s="329">
        <f t="shared" si="32"/>
        <v>0</v>
      </c>
      <c r="J155" s="329">
        <f t="shared" si="32"/>
        <v>0.14363542941557531</v>
      </c>
      <c r="K155" s="329">
        <f t="shared" si="32"/>
        <v>123.89196731561637</v>
      </c>
      <c r="L155" s="329">
        <f t="shared" si="32"/>
        <v>0</v>
      </c>
      <c r="M155" s="329">
        <f t="shared" si="32"/>
        <v>387.80522999999999</v>
      </c>
      <c r="N155" s="329">
        <f t="shared" si="32"/>
        <v>0</v>
      </c>
      <c r="O155" s="329">
        <f t="shared" si="32"/>
        <v>4.0413508996351162</v>
      </c>
      <c r="P155" s="329">
        <f t="shared" si="32"/>
        <v>4.9289279581529488</v>
      </c>
      <c r="Q155" s="329">
        <f t="shared" si="33"/>
        <v>131.65024000000003</v>
      </c>
      <c r="R155" s="329">
        <f t="shared" si="33"/>
        <v>0</v>
      </c>
      <c r="S155" s="329">
        <f t="shared" si="33"/>
        <v>4.0413508996351162</v>
      </c>
      <c r="T155" s="329">
        <f t="shared" si="33"/>
        <v>4.9289279581529488</v>
      </c>
      <c r="U155" s="329">
        <f t="shared" si="33"/>
        <v>0</v>
      </c>
      <c r="V155" s="329">
        <f t="shared" si="33"/>
        <v>4.0413508996351162</v>
      </c>
      <c r="W155" s="329">
        <f t="shared" si="33"/>
        <v>4.9289279581529488</v>
      </c>
      <c r="X155" s="329">
        <f t="shared" si="33"/>
        <v>0</v>
      </c>
      <c r="Y155" s="329">
        <f t="shared" si="33"/>
        <v>387.80522999999999</v>
      </c>
      <c r="Z155" s="329">
        <f t="shared" si="33"/>
        <v>0</v>
      </c>
      <c r="AA155" s="329">
        <f t="shared" si="33"/>
        <v>4.0413508996351162</v>
      </c>
      <c r="AB155" s="329">
        <f t="shared" si="33"/>
        <v>4.9289279581529488</v>
      </c>
      <c r="AC155" s="329">
        <f t="shared" si="33"/>
        <v>0</v>
      </c>
      <c r="AD155" s="329">
        <f t="shared" si="33"/>
        <v>131.65024000000003</v>
      </c>
    </row>
    <row r="156" spans="3:30" ht="14.25" customHeight="1" x14ac:dyDescent="0.2">
      <c r="C156" s="8" t="str">
        <v>Niger</v>
      </c>
      <c r="D156" s="8" t="str">
        <v>Sub-Saharan Africa</v>
      </c>
      <c r="E156" s="13" t="s">
        <v>586</v>
      </c>
      <c r="F156" s="124" t="str">
        <f t="shared" si="29"/>
        <v>Sub-Saharan Africa_Low income</v>
      </c>
      <c r="G156" s="329">
        <f t="shared" si="32"/>
        <v>23.309971460536438</v>
      </c>
      <c r="H156" s="329">
        <f t="shared" si="32"/>
        <v>136.54200831083281</v>
      </c>
      <c r="I156" s="329">
        <f t="shared" si="32"/>
        <v>48.066711217553774</v>
      </c>
      <c r="J156" s="329">
        <f t="shared" si="32"/>
        <v>0.38963996426925313</v>
      </c>
      <c r="K156" s="329">
        <f t="shared" si="32"/>
        <v>136.54200831083281</v>
      </c>
      <c r="L156" s="329">
        <f t="shared" si="32"/>
        <v>48.066711217553774</v>
      </c>
      <c r="M156" s="329">
        <f t="shared" si="32"/>
        <v>386.36066988979189</v>
      </c>
      <c r="N156" s="329">
        <f t="shared" si="32"/>
        <v>3.0069383810950008</v>
      </c>
      <c r="O156" s="329">
        <f t="shared" si="32"/>
        <v>6.2955859660608509</v>
      </c>
      <c r="P156" s="329">
        <f t="shared" si="32"/>
        <v>4.9289279581529488</v>
      </c>
      <c r="Q156" s="329">
        <f t="shared" si="33"/>
        <v>124.01862912013361</v>
      </c>
      <c r="R156" s="329">
        <f t="shared" si="33"/>
        <v>3.0069383810950008</v>
      </c>
      <c r="S156" s="329">
        <f t="shared" si="33"/>
        <v>6.2955859660608509</v>
      </c>
      <c r="T156" s="329">
        <f t="shared" si="33"/>
        <v>4.9289279581529488</v>
      </c>
      <c r="U156" s="329">
        <f t="shared" si="33"/>
        <v>0</v>
      </c>
      <c r="V156" s="329">
        <f t="shared" si="33"/>
        <v>6.2955859660608509</v>
      </c>
      <c r="W156" s="329">
        <f t="shared" si="33"/>
        <v>4.9289279581529488</v>
      </c>
      <c r="X156" s="329">
        <f t="shared" si="33"/>
        <v>3.0069383810950008</v>
      </c>
      <c r="Y156" s="329">
        <f t="shared" si="33"/>
        <v>386.36066988979189</v>
      </c>
      <c r="Z156" s="329">
        <f t="shared" si="33"/>
        <v>0.38963996426925313</v>
      </c>
      <c r="AA156" s="329">
        <f t="shared" si="33"/>
        <v>0</v>
      </c>
      <c r="AB156" s="329">
        <f t="shared" si="33"/>
        <v>0</v>
      </c>
      <c r="AC156" s="329">
        <f t="shared" si="33"/>
        <v>48.066711217553774</v>
      </c>
      <c r="AD156" s="329">
        <f t="shared" si="33"/>
        <v>136.54200831083281</v>
      </c>
    </row>
    <row r="157" spans="3:30" ht="14.25" customHeight="1" x14ac:dyDescent="0.2">
      <c r="C157" s="8" t="str">
        <v>Nigeria</v>
      </c>
      <c r="D157" s="8" t="str">
        <v>Sub-Saharan Africa</v>
      </c>
      <c r="E157" s="13" t="s">
        <v>580</v>
      </c>
      <c r="F157" s="124" t="str">
        <f t="shared" si="29"/>
        <v>Sub-Saharan Africa_Lower middle income</v>
      </c>
      <c r="G157" s="329">
        <f t="shared" si="32"/>
        <v>23.309971460536438</v>
      </c>
      <c r="H157" s="329">
        <f t="shared" si="32"/>
        <v>136.54200831083281</v>
      </c>
      <c r="I157" s="329">
        <f t="shared" si="32"/>
        <v>48.066711217553774</v>
      </c>
      <c r="J157" s="329">
        <f t="shared" si="32"/>
        <v>0.38963996426925313</v>
      </c>
      <c r="K157" s="329">
        <f t="shared" si="32"/>
        <v>136.54200831083281</v>
      </c>
      <c r="L157" s="329">
        <f t="shared" si="32"/>
        <v>48.066711217553774</v>
      </c>
      <c r="M157" s="329">
        <f t="shared" si="32"/>
        <v>386.36066988979189</v>
      </c>
      <c r="N157" s="329">
        <f t="shared" si="32"/>
        <v>3.0069383810950008</v>
      </c>
      <c r="O157" s="329">
        <f t="shared" si="32"/>
        <v>6.2955859660608509</v>
      </c>
      <c r="P157" s="329">
        <f t="shared" si="32"/>
        <v>4.9289279581529488</v>
      </c>
      <c r="Q157" s="329">
        <f t="shared" si="33"/>
        <v>124.01862912013361</v>
      </c>
      <c r="R157" s="329">
        <f t="shared" si="33"/>
        <v>3.0069383810950008</v>
      </c>
      <c r="S157" s="329">
        <f t="shared" si="33"/>
        <v>6.2955859660608509</v>
      </c>
      <c r="T157" s="329">
        <f t="shared" si="33"/>
        <v>4.9289279581529488</v>
      </c>
      <c r="U157" s="329">
        <f t="shared" si="33"/>
        <v>0</v>
      </c>
      <c r="V157" s="329">
        <f t="shared" si="33"/>
        <v>6.2955859660608509</v>
      </c>
      <c r="W157" s="329">
        <f t="shared" si="33"/>
        <v>4.9289279581529488</v>
      </c>
      <c r="X157" s="329">
        <f t="shared" si="33"/>
        <v>3.0069383810950008</v>
      </c>
      <c r="Y157" s="329">
        <f t="shared" si="33"/>
        <v>386.36066988979189</v>
      </c>
      <c r="Z157" s="329">
        <f t="shared" si="33"/>
        <v>0.38963996426925313</v>
      </c>
      <c r="AA157" s="329">
        <f t="shared" si="33"/>
        <v>0</v>
      </c>
      <c r="AB157" s="329">
        <f t="shared" si="33"/>
        <v>0</v>
      </c>
      <c r="AC157" s="329">
        <f t="shared" si="33"/>
        <v>48.066711217553774</v>
      </c>
      <c r="AD157" s="329">
        <f t="shared" si="33"/>
        <v>136.54200831083281</v>
      </c>
    </row>
    <row r="158" spans="3:30" ht="14.25" customHeight="1" x14ac:dyDescent="0.2">
      <c r="C158" s="8" t="str">
        <v>North Macedonia</v>
      </c>
      <c r="D158" s="8" t="str">
        <v>Europe &amp; Central Asia</v>
      </c>
      <c r="E158" s="13" t="s">
        <v>578</v>
      </c>
      <c r="F158" s="124" t="str">
        <f t="shared" si="29"/>
        <v>Europe &amp; Central Asia_Upper middle income</v>
      </c>
      <c r="G158" s="329">
        <f t="shared" si="32"/>
        <v>19.63003739407586</v>
      </c>
      <c r="H158" s="329">
        <f t="shared" si="32"/>
        <v>187.00281170809052</v>
      </c>
      <c r="I158" s="329">
        <f t="shared" si="32"/>
        <v>152.66999372239431</v>
      </c>
      <c r="J158" s="329">
        <f t="shared" si="32"/>
        <v>0.33005732005694194</v>
      </c>
      <c r="K158" s="329">
        <f t="shared" si="32"/>
        <v>187.00281170809052</v>
      </c>
      <c r="L158" s="329">
        <f t="shared" si="32"/>
        <v>152.66999372239431</v>
      </c>
      <c r="M158" s="329">
        <f t="shared" si="32"/>
        <v>380.27773922168274</v>
      </c>
      <c r="N158" s="329">
        <f t="shared" si="32"/>
        <v>4.5928298109575465</v>
      </c>
      <c r="O158" s="329">
        <f t="shared" si="32"/>
        <v>3.6994518758026187</v>
      </c>
      <c r="P158" s="329">
        <f t="shared" si="32"/>
        <v>4.9289279581529488</v>
      </c>
      <c r="Q158" s="329">
        <f t="shared" si="33"/>
        <v>94.874795267611404</v>
      </c>
      <c r="R158" s="329">
        <f t="shared" si="33"/>
        <v>4.5928298109575465</v>
      </c>
      <c r="S158" s="329">
        <f t="shared" si="33"/>
        <v>3.6994518758026187</v>
      </c>
      <c r="T158" s="329">
        <f t="shared" si="33"/>
        <v>4.9289279581529488</v>
      </c>
      <c r="U158" s="329">
        <f t="shared" si="33"/>
        <v>0</v>
      </c>
      <c r="V158" s="329">
        <f t="shared" si="33"/>
        <v>3.6994518758026187</v>
      </c>
      <c r="W158" s="329">
        <f t="shared" si="33"/>
        <v>4.9289279581529488</v>
      </c>
      <c r="X158" s="329">
        <f t="shared" si="33"/>
        <v>4.5928298109575465</v>
      </c>
      <c r="Y158" s="329">
        <f t="shared" si="33"/>
        <v>380.27773922168274</v>
      </c>
      <c r="Z158" s="329">
        <f t="shared" si="33"/>
        <v>0.33005732005694194</v>
      </c>
      <c r="AA158" s="329">
        <f t="shared" si="33"/>
        <v>0</v>
      </c>
      <c r="AB158" s="329">
        <f t="shared" si="33"/>
        <v>0</v>
      </c>
      <c r="AC158" s="329">
        <f t="shared" si="33"/>
        <v>152.66999372239431</v>
      </c>
      <c r="AD158" s="329">
        <f t="shared" si="33"/>
        <v>187.00281170809052</v>
      </c>
    </row>
    <row r="159" spans="3:30" ht="14.25" customHeight="1" x14ac:dyDescent="0.2">
      <c r="C159" s="8" t="str">
        <v>Northern Mariana Islands</v>
      </c>
      <c r="D159" s="8" t="str">
        <v>East Asia &amp; Pacific</v>
      </c>
      <c r="E159" s="13" t="s">
        <v>579</v>
      </c>
      <c r="F159" s="124" t="str">
        <f t="shared" si="29"/>
        <v>East Asia &amp; Pacific_High income</v>
      </c>
      <c r="G159" s="329">
        <f t="shared" si="32"/>
        <v>44.443145199894367</v>
      </c>
      <c r="H159" s="329">
        <f t="shared" si="32"/>
        <v>183.8442475693883</v>
      </c>
      <c r="I159" s="329">
        <f t="shared" si="32"/>
        <v>105.92574003437052</v>
      </c>
      <c r="J159" s="329">
        <f t="shared" si="32"/>
        <v>0.74702806793375442</v>
      </c>
      <c r="K159" s="329">
        <f t="shared" si="32"/>
        <v>183.8442475693883</v>
      </c>
      <c r="L159" s="329">
        <f t="shared" si="32"/>
        <v>105.92574003437052</v>
      </c>
      <c r="M159" s="329">
        <f t="shared" si="32"/>
        <v>369.66231455327676</v>
      </c>
      <c r="N159" s="329">
        <f t="shared" si="32"/>
        <v>87.076870251981461</v>
      </c>
      <c r="O159" s="329">
        <f t="shared" si="32"/>
        <v>2.6357425797782517</v>
      </c>
      <c r="P159" s="329">
        <f t="shared" si="32"/>
        <v>4.9289279581529488</v>
      </c>
      <c r="Q159" s="329">
        <f t="shared" si="33"/>
        <v>113.50732455327682</v>
      </c>
      <c r="R159" s="329">
        <f t="shared" si="33"/>
        <v>87.076870251981461</v>
      </c>
      <c r="S159" s="329">
        <f t="shared" si="33"/>
        <v>2.6357425797782517</v>
      </c>
      <c r="T159" s="329">
        <f t="shared" si="33"/>
        <v>4.9289279581529488</v>
      </c>
      <c r="U159" s="329">
        <f t="shared" si="33"/>
        <v>0</v>
      </c>
      <c r="V159" s="329">
        <f t="shared" si="33"/>
        <v>2.6357425797782517</v>
      </c>
      <c r="W159" s="329">
        <f t="shared" si="33"/>
        <v>4.9289279581529488</v>
      </c>
      <c r="X159" s="329">
        <f t="shared" si="33"/>
        <v>87.076870251981461</v>
      </c>
      <c r="Y159" s="329">
        <f t="shared" si="33"/>
        <v>369.66231455327676</v>
      </c>
      <c r="Z159" s="329">
        <f t="shared" si="33"/>
        <v>0.74702806793375442</v>
      </c>
      <c r="AA159" s="329">
        <f t="shared" si="33"/>
        <v>0</v>
      </c>
      <c r="AB159" s="329">
        <f t="shared" si="33"/>
        <v>0</v>
      </c>
      <c r="AC159" s="329">
        <f t="shared" si="33"/>
        <v>105.92574003437052</v>
      </c>
      <c r="AD159" s="329">
        <f t="shared" si="33"/>
        <v>183.8442475693883</v>
      </c>
    </row>
    <row r="160" spans="3:30" ht="14.25" customHeight="1" x14ac:dyDescent="0.2">
      <c r="C160" s="8" t="str">
        <v>Norway</v>
      </c>
      <c r="D160" s="8" t="str">
        <v>Europe &amp; Central Asia</v>
      </c>
      <c r="E160" s="13" t="s">
        <v>579</v>
      </c>
      <c r="F160" s="124" t="str">
        <f t="shared" si="29"/>
        <v>Europe &amp; Central Asia_High income</v>
      </c>
      <c r="G160" s="329">
        <f t="shared" si="32"/>
        <v>38.394097152096911</v>
      </c>
      <c r="H160" s="329">
        <f t="shared" si="32"/>
        <v>180.68162788335823</v>
      </c>
      <c r="I160" s="329">
        <f t="shared" si="32"/>
        <v>10.665392238556715</v>
      </c>
      <c r="J160" s="329">
        <f t="shared" si="32"/>
        <v>0.64387616342025877</v>
      </c>
      <c r="K160" s="329">
        <f t="shared" si="32"/>
        <v>180.68162788335823</v>
      </c>
      <c r="L160" s="329">
        <f t="shared" si="32"/>
        <v>10.665392238556715</v>
      </c>
      <c r="M160" s="329">
        <f t="shared" si="32"/>
        <v>387.69638987973929</v>
      </c>
      <c r="N160" s="329">
        <f t="shared" si="32"/>
        <v>4.0502005291787482</v>
      </c>
      <c r="O160" s="329">
        <f t="shared" si="32"/>
        <v>5.9022938937228169</v>
      </c>
      <c r="P160" s="329">
        <f t="shared" si="32"/>
        <v>4.9289279581529488</v>
      </c>
      <c r="Q160" s="329">
        <f t="shared" si="33"/>
        <v>127.58414118906074</v>
      </c>
      <c r="R160" s="329">
        <f t="shared" si="33"/>
        <v>4.0502005291787482</v>
      </c>
      <c r="S160" s="329">
        <f t="shared" si="33"/>
        <v>5.9022938937228169</v>
      </c>
      <c r="T160" s="329">
        <f t="shared" si="33"/>
        <v>4.9289279581529488</v>
      </c>
      <c r="U160" s="329">
        <f t="shared" si="33"/>
        <v>0</v>
      </c>
      <c r="V160" s="329">
        <f t="shared" si="33"/>
        <v>5.9022938937228169</v>
      </c>
      <c r="W160" s="329">
        <f t="shared" si="33"/>
        <v>4.9289279581529488</v>
      </c>
      <c r="X160" s="329">
        <f t="shared" si="33"/>
        <v>4.0502005291787482</v>
      </c>
      <c r="Y160" s="329">
        <f t="shared" si="33"/>
        <v>387.69638987973929</v>
      </c>
      <c r="Z160" s="329">
        <f t="shared" si="33"/>
        <v>0.64387616342025877</v>
      </c>
      <c r="AA160" s="329">
        <f t="shared" si="33"/>
        <v>0</v>
      </c>
      <c r="AB160" s="329">
        <f t="shared" si="33"/>
        <v>0</v>
      </c>
      <c r="AC160" s="329">
        <f t="shared" si="33"/>
        <v>10.665392238556715</v>
      </c>
      <c r="AD160" s="329">
        <f t="shared" si="33"/>
        <v>180.68162788335823</v>
      </c>
    </row>
    <row r="161" spans="3:30" ht="14.25" customHeight="1" x14ac:dyDescent="0.2">
      <c r="C161" s="8" t="str">
        <v>Oman</v>
      </c>
      <c r="D161" s="8" t="str">
        <v>Middle East &amp; North Africa</v>
      </c>
      <c r="E161" s="13" t="s">
        <v>579</v>
      </c>
      <c r="F161" s="124" t="str">
        <f t="shared" si="29"/>
        <v>Middle East &amp; North Africa_High income</v>
      </c>
      <c r="G161" s="329">
        <f t="shared" si="32"/>
        <v>69.656524426851533</v>
      </c>
      <c r="H161" s="329">
        <f t="shared" si="32"/>
        <v>183.05003240919942</v>
      </c>
      <c r="I161" s="329">
        <f t="shared" si="32"/>
        <v>153.90667489063208</v>
      </c>
      <c r="J161" s="329">
        <f t="shared" si="32"/>
        <v>1.1725076251857522</v>
      </c>
      <c r="K161" s="329">
        <f t="shared" si="32"/>
        <v>183.05003240919942</v>
      </c>
      <c r="L161" s="329">
        <f t="shared" si="32"/>
        <v>153.90667489063208</v>
      </c>
      <c r="M161" s="329">
        <f t="shared" si="32"/>
        <v>386.46125192258035</v>
      </c>
      <c r="N161" s="329">
        <f t="shared" si="32"/>
        <v>202.50878275083176</v>
      </c>
      <c r="O161" s="329">
        <f t="shared" si="32"/>
        <v>3.3729407228166459</v>
      </c>
      <c r="P161" s="329">
        <f t="shared" si="32"/>
        <v>4.9289279581529488</v>
      </c>
      <c r="Q161" s="329">
        <f t="shared" si="33"/>
        <v>130.30626192258038</v>
      </c>
      <c r="R161" s="329">
        <f t="shared" si="33"/>
        <v>202.50878275083176</v>
      </c>
      <c r="S161" s="329">
        <f t="shared" si="33"/>
        <v>3.3729407228166459</v>
      </c>
      <c r="T161" s="329">
        <f t="shared" si="33"/>
        <v>4.9289279581529488</v>
      </c>
      <c r="U161" s="329">
        <f t="shared" si="33"/>
        <v>0</v>
      </c>
      <c r="V161" s="329">
        <f t="shared" si="33"/>
        <v>3.3729407228166459</v>
      </c>
      <c r="W161" s="329">
        <f t="shared" si="33"/>
        <v>4.9289279581529488</v>
      </c>
      <c r="X161" s="329">
        <f t="shared" si="33"/>
        <v>202.50878275083176</v>
      </c>
      <c r="Y161" s="329">
        <f t="shared" si="33"/>
        <v>386.46125192258035</v>
      </c>
      <c r="Z161" s="329">
        <f t="shared" si="33"/>
        <v>0</v>
      </c>
      <c r="AA161" s="329">
        <f t="shared" si="33"/>
        <v>3.3729407228166459</v>
      </c>
      <c r="AB161" s="329">
        <f t="shared" si="33"/>
        <v>4.9289279581529488</v>
      </c>
      <c r="AC161" s="329">
        <f t="shared" si="33"/>
        <v>202.50878275083176</v>
      </c>
      <c r="AD161" s="329">
        <f t="shared" si="33"/>
        <v>130.30626192258038</v>
      </c>
    </row>
    <row r="162" spans="3:30" ht="14.25" customHeight="1" x14ac:dyDescent="0.2">
      <c r="C162" s="8" t="str">
        <v>Pakistan</v>
      </c>
      <c r="D162" s="8" t="str">
        <v>South Asia</v>
      </c>
      <c r="E162" s="13" t="s">
        <v>580</v>
      </c>
      <c r="F162" s="124" t="str">
        <f t="shared" si="29"/>
        <v>South Asia_Lower middle income</v>
      </c>
      <c r="G162" s="329">
        <f t="shared" si="32"/>
        <v>18.682549411015433</v>
      </c>
      <c r="H162" s="329">
        <f t="shared" si="32"/>
        <v>181.47379975685718</v>
      </c>
      <c r="I162" s="329">
        <f t="shared" si="32"/>
        <v>16.163512715224211</v>
      </c>
      <c r="J162" s="329">
        <f t="shared" si="32"/>
        <v>0.30633780951627371</v>
      </c>
      <c r="K162" s="329">
        <f t="shared" si="32"/>
        <v>181.47379975685718</v>
      </c>
      <c r="L162" s="329">
        <f t="shared" si="32"/>
        <v>16.163512715224211</v>
      </c>
      <c r="M162" s="329">
        <f t="shared" si="32"/>
        <v>387.80522999999999</v>
      </c>
      <c r="N162" s="329">
        <f t="shared" si="32"/>
        <v>0</v>
      </c>
      <c r="O162" s="329">
        <f t="shared" si="32"/>
        <v>25.353014152547104</v>
      </c>
      <c r="P162" s="329">
        <f t="shared" si="32"/>
        <v>4.9289279581529488</v>
      </c>
      <c r="Q162" s="329">
        <f t="shared" si="33"/>
        <v>131.65024000000003</v>
      </c>
      <c r="R162" s="329">
        <f t="shared" si="33"/>
        <v>0</v>
      </c>
      <c r="S162" s="329">
        <f t="shared" si="33"/>
        <v>25.353014152547104</v>
      </c>
      <c r="T162" s="329">
        <f t="shared" si="33"/>
        <v>4.9289279581529488</v>
      </c>
      <c r="U162" s="329">
        <f t="shared" si="33"/>
        <v>0</v>
      </c>
      <c r="V162" s="329">
        <f t="shared" si="33"/>
        <v>25.353014152547104</v>
      </c>
      <c r="W162" s="329">
        <f t="shared" si="33"/>
        <v>4.9289279581529488</v>
      </c>
      <c r="X162" s="329">
        <f t="shared" si="33"/>
        <v>0</v>
      </c>
      <c r="Y162" s="329">
        <f t="shared" si="33"/>
        <v>387.80522999999999</v>
      </c>
      <c r="Z162" s="329">
        <f t="shared" si="33"/>
        <v>0.30633780951627371</v>
      </c>
      <c r="AA162" s="329">
        <f t="shared" si="33"/>
        <v>0</v>
      </c>
      <c r="AB162" s="329">
        <f t="shared" si="33"/>
        <v>0</v>
      </c>
      <c r="AC162" s="329">
        <f t="shared" si="33"/>
        <v>16.163512715224211</v>
      </c>
      <c r="AD162" s="329">
        <f t="shared" si="33"/>
        <v>181.47379975685718</v>
      </c>
    </row>
    <row r="163" spans="3:30" ht="14.25" customHeight="1" x14ac:dyDescent="0.2">
      <c r="C163" s="8" t="str">
        <v>Palau</v>
      </c>
      <c r="D163" s="8" t="str">
        <v>East Asia &amp; Pacific</v>
      </c>
      <c r="E163" s="13" t="s">
        <v>578</v>
      </c>
      <c r="F163" s="124" t="str">
        <f t="shared" si="29"/>
        <v>East Asia &amp; Pacific_Upper middle income</v>
      </c>
      <c r="G163" s="329">
        <f t="shared" ref="G163:P172" si="34">IFERROR(IF(INDEX(Interim_Coefficients,MATCH($C163,Interim_Countries,0),MATCH(G$12,Interim_type,0))="No value",INDEX(Interim_CombinedCoefficients,MATCH($F163,Interim_CombinedTag,0),MATCH(G$12,Interim_CombinedType,0)),INDEX(Interim_Coefficients,MATCH($C163,Interim_Countries,0),MATCH(G$12,Interim_type,0))),INDEX(Interim_CombinedCoefficients,MATCH($F163,Interim_CombinedTag,0),MATCH(G$12,Interim_CombinedType,0)))</f>
        <v>34.298020437149731</v>
      </c>
      <c r="H163" s="329">
        <f t="shared" si="34"/>
        <v>181.37962313864892</v>
      </c>
      <c r="I163" s="329">
        <f t="shared" si="34"/>
        <v>27.549263552056701</v>
      </c>
      <c r="J163" s="329">
        <f t="shared" si="34"/>
        <v>0.56631726229035517</v>
      </c>
      <c r="K163" s="329">
        <f t="shared" si="34"/>
        <v>181.37962313864892</v>
      </c>
      <c r="L163" s="329">
        <f t="shared" si="34"/>
        <v>27.549263552056701</v>
      </c>
      <c r="M163" s="329">
        <f t="shared" si="34"/>
        <v>374.08105300516564</v>
      </c>
      <c r="N163" s="329">
        <f t="shared" si="34"/>
        <v>17.323676083160976</v>
      </c>
      <c r="O163" s="329">
        <f t="shared" si="34"/>
        <v>4.3699928165963389</v>
      </c>
      <c r="P163" s="329">
        <f t="shared" si="34"/>
        <v>4.9289279581529488</v>
      </c>
      <c r="Q163" s="329">
        <f t="shared" ref="Q163:AD172" si="35">IFERROR(IF(INDEX(Interim_Coefficients,MATCH($C163,Interim_Countries,0),MATCH(Q$12,Interim_type,0))="No value",INDEX(Interim_CombinedCoefficients,MATCH($F163,Interim_CombinedTag,0),MATCH(Q$12,Interim_CombinedType,0)),INDEX(Interim_Coefficients,MATCH($C163,Interim_Countries,0),MATCH(Q$12,Interim_type,0))),INDEX(Interim_CombinedCoefficients,MATCH($F163,Interim_CombinedTag,0),MATCH(Q$12,Interim_CombinedType,0)))</f>
        <v>80.512983968132318</v>
      </c>
      <c r="R163" s="329">
        <f t="shared" si="35"/>
        <v>17.323676083160976</v>
      </c>
      <c r="S163" s="329">
        <f t="shared" si="35"/>
        <v>4.3699928165963389</v>
      </c>
      <c r="T163" s="329">
        <f t="shared" si="35"/>
        <v>4.9289279581529488</v>
      </c>
      <c r="U163" s="329">
        <f t="shared" si="35"/>
        <v>0</v>
      </c>
      <c r="V163" s="329">
        <f t="shared" si="35"/>
        <v>4.3699928165963389</v>
      </c>
      <c r="W163" s="329">
        <f t="shared" si="35"/>
        <v>4.9289279581529488</v>
      </c>
      <c r="X163" s="329">
        <f t="shared" si="35"/>
        <v>17.323676083160976</v>
      </c>
      <c r="Y163" s="329">
        <f t="shared" si="35"/>
        <v>374.08105300516564</v>
      </c>
      <c r="Z163" s="329">
        <f t="shared" si="35"/>
        <v>0.56631726229035517</v>
      </c>
      <c r="AA163" s="329">
        <f t="shared" si="35"/>
        <v>0</v>
      </c>
      <c r="AB163" s="329">
        <f t="shared" si="35"/>
        <v>0</v>
      </c>
      <c r="AC163" s="329">
        <f t="shared" si="35"/>
        <v>27.549263552056701</v>
      </c>
      <c r="AD163" s="329">
        <f t="shared" si="35"/>
        <v>181.37962313864892</v>
      </c>
    </row>
    <row r="164" spans="3:30" ht="14.25" customHeight="1" x14ac:dyDescent="0.2">
      <c r="C164" s="8" t="str">
        <v>Panama</v>
      </c>
      <c r="D164" s="8" t="str">
        <v>Latin America &amp; Caribbean</v>
      </c>
      <c r="E164" s="13" t="s">
        <v>579</v>
      </c>
      <c r="F164" s="124" t="str">
        <f t="shared" si="29"/>
        <v>Latin America &amp; Caribbean_High income</v>
      </c>
      <c r="G164" s="329">
        <f t="shared" si="34"/>
        <v>27.325838967974903</v>
      </c>
      <c r="H164" s="329">
        <f t="shared" si="34"/>
        <v>111.34522424759668</v>
      </c>
      <c r="I164" s="329">
        <f t="shared" si="34"/>
        <v>5.2183678953752413</v>
      </c>
      <c r="J164" s="329">
        <f t="shared" si="34"/>
        <v>0.46054784777485791</v>
      </c>
      <c r="K164" s="329">
        <f t="shared" si="34"/>
        <v>111.34522424759668</v>
      </c>
      <c r="L164" s="329">
        <f t="shared" si="34"/>
        <v>5.2183678953752413</v>
      </c>
      <c r="M164" s="329">
        <f t="shared" si="34"/>
        <v>384.58278691656943</v>
      </c>
      <c r="N164" s="329">
        <f t="shared" si="34"/>
        <v>3.3112916281562885</v>
      </c>
      <c r="O164" s="329">
        <f t="shared" si="34"/>
        <v>3.766588497275789</v>
      </c>
      <c r="P164" s="329">
        <f t="shared" si="34"/>
        <v>4.9289279581529488</v>
      </c>
      <c r="Q164" s="329">
        <f t="shared" si="35"/>
        <v>128.42779691656946</v>
      </c>
      <c r="R164" s="329">
        <f t="shared" si="35"/>
        <v>3.3112916281562885</v>
      </c>
      <c r="S164" s="329">
        <f t="shared" si="35"/>
        <v>3.766588497275789</v>
      </c>
      <c r="T164" s="329">
        <f t="shared" si="35"/>
        <v>4.9289279581529488</v>
      </c>
      <c r="U164" s="329">
        <f t="shared" si="35"/>
        <v>0</v>
      </c>
      <c r="V164" s="329">
        <f t="shared" si="35"/>
        <v>3.766588497275789</v>
      </c>
      <c r="W164" s="329">
        <f t="shared" si="35"/>
        <v>4.9289279581529488</v>
      </c>
      <c r="X164" s="329">
        <f t="shared" si="35"/>
        <v>3.3112916281562885</v>
      </c>
      <c r="Y164" s="329">
        <f t="shared" si="35"/>
        <v>384.58278691656943</v>
      </c>
      <c r="Z164" s="329">
        <f t="shared" si="35"/>
        <v>0</v>
      </c>
      <c r="AA164" s="329">
        <f t="shared" si="35"/>
        <v>3.766588497275789</v>
      </c>
      <c r="AB164" s="329">
        <f t="shared" si="35"/>
        <v>4.9289279581529488</v>
      </c>
      <c r="AC164" s="329">
        <f t="shared" si="35"/>
        <v>3.3112916281562885</v>
      </c>
      <c r="AD164" s="329">
        <f t="shared" si="35"/>
        <v>128.42779691656946</v>
      </c>
    </row>
    <row r="165" spans="3:30" ht="14.25" customHeight="1" x14ac:dyDescent="0.2">
      <c r="C165" s="8" t="str">
        <v>Papua New Guinea</v>
      </c>
      <c r="D165" s="8" t="str">
        <v>East Asia &amp; Pacific</v>
      </c>
      <c r="E165" s="13" t="s">
        <v>580</v>
      </c>
      <c r="F165" s="124" t="str">
        <f t="shared" si="29"/>
        <v>East Asia &amp; Pacific_Lower middle income</v>
      </c>
      <c r="G165" s="329">
        <f t="shared" si="34"/>
        <v>21.040892851983276</v>
      </c>
      <c r="H165" s="329">
        <f t="shared" si="34"/>
        <v>185.01256757493803</v>
      </c>
      <c r="I165" s="329">
        <f t="shared" si="34"/>
        <v>304.6771769642977</v>
      </c>
      <c r="J165" s="329">
        <f t="shared" si="34"/>
        <v>0.34423100460524525</v>
      </c>
      <c r="K165" s="329">
        <f t="shared" si="34"/>
        <v>185.01256757493803</v>
      </c>
      <c r="L165" s="329">
        <f t="shared" si="34"/>
        <v>304.6771769642977</v>
      </c>
      <c r="M165" s="329">
        <f t="shared" si="34"/>
        <v>376.62670320349753</v>
      </c>
      <c r="N165" s="329">
        <f t="shared" si="34"/>
        <v>23.80079428655403</v>
      </c>
      <c r="O165" s="329">
        <f t="shared" si="34"/>
        <v>4.2989077809646146</v>
      </c>
      <c r="P165" s="329">
        <f t="shared" si="34"/>
        <v>4.9289279581529488</v>
      </c>
      <c r="Q165" s="329">
        <f t="shared" si="35"/>
        <v>120.47171320349753</v>
      </c>
      <c r="R165" s="329">
        <f t="shared" si="35"/>
        <v>23.80079428655403</v>
      </c>
      <c r="S165" s="329">
        <f t="shared" si="35"/>
        <v>4.2989077809646146</v>
      </c>
      <c r="T165" s="329">
        <f t="shared" si="35"/>
        <v>4.9289279581529488</v>
      </c>
      <c r="U165" s="329">
        <f t="shared" si="35"/>
        <v>21.040892851983276</v>
      </c>
      <c r="V165" s="329">
        <f t="shared" si="35"/>
        <v>0</v>
      </c>
      <c r="W165" s="329">
        <f t="shared" si="35"/>
        <v>0</v>
      </c>
      <c r="X165" s="329">
        <f t="shared" si="35"/>
        <v>304.6771769642977</v>
      </c>
      <c r="Y165" s="329">
        <f t="shared" si="35"/>
        <v>185.01256757493803</v>
      </c>
      <c r="Z165" s="329">
        <f t="shared" si="35"/>
        <v>0.34423100460524525</v>
      </c>
      <c r="AA165" s="329">
        <f t="shared" si="35"/>
        <v>0</v>
      </c>
      <c r="AB165" s="329">
        <f t="shared" si="35"/>
        <v>0</v>
      </c>
      <c r="AC165" s="329">
        <f t="shared" si="35"/>
        <v>304.6771769642977</v>
      </c>
      <c r="AD165" s="329">
        <f t="shared" si="35"/>
        <v>185.01256757493803</v>
      </c>
    </row>
    <row r="166" spans="3:30" ht="14.25" customHeight="1" x14ac:dyDescent="0.2">
      <c r="C166" s="8" t="str">
        <v>Paraguay</v>
      </c>
      <c r="D166" s="8" t="str">
        <v>Latin America &amp; Caribbean</v>
      </c>
      <c r="E166" s="13" t="s">
        <v>578</v>
      </c>
      <c r="F166" s="124" t="str">
        <f t="shared" si="29"/>
        <v>Latin America &amp; Caribbean_Upper middle income</v>
      </c>
      <c r="G166" s="329">
        <f t="shared" si="34"/>
        <v>22.111961568366297</v>
      </c>
      <c r="H166" s="329">
        <f t="shared" si="34"/>
        <v>112.53582479053843</v>
      </c>
      <c r="I166" s="329">
        <f t="shared" si="34"/>
        <v>6.830402213100033</v>
      </c>
      <c r="J166" s="329">
        <f t="shared" si="34"/>
        <v>0.36505142784704681</v>
      </c>
      <c r="K166" s="329">
        <f t="shared" si="34"/>
        <v>112.53582479053843</v>
      </c>
      <c r="L166" s="329">
        <f t="shared" si="34"/>
        <v>6.830402213100033</v>
      </c>
      <c r="M166" s="329">
        <f t="shared" si="34"/>
        <v>385.61651384685882</v>
      </c>
      <c r="N166" s="329">
        <f t="shared" si="34"/>
        <v>2.2139650608027845</v>
      </c>
      <c r="O166" s="329">
        <f t="shared" si="34"/>
        <v>4.0000741704248659</v>
      </c>
      <c r="P166" s="329">
        <f t="shared" si="34"/>
        <v>4.9289279581529479</v>
      </c>
      <c r="Q166" s="329">
        <f t="shared" si="35"/>
        <v>122.08344331569037</v>
      </c>
      <c r="R166" s="329">
        <f t="shared" si="35"/>
        <v>2.2139650608027845</v>
      </c>
      <c r="S166" s="329">
        <f t="shared" si="35"/>
        <v>4.0000741704248659</v>
      </c>
      <c r="T166" s="329">
        <f t="shared" si="35"/>
        <v>4.9289279581529479</v>
      </c>
      <c r="U166" s="329">
        <f t="shared" si="35"/>
        <v>0</v>
      </c>
      <c r="V166" s="329">
        <f t="shared" si="35"/>
        <v>4.0000741704248659</v>
      </c>
      <c r="W166" s="329">
        <f t="shared" si="35"/>
        <v>4.9289279581529479</v>
      </c>
      <c r="X166" s="329">
        <f t="shared" si="35"/>
        <v>2.2139650608027845</v>
      </c>
      <c r="Y166" s="329">
        <f t="shared" si="35"/>
        <v>385.61651384685882</v>
      </c>
      <c r="Z166" s="329">
        <f t="shared" si="35"/>
        <v>0</v>
      </c>
      <c r="AA166" s="329">
        <f t="shared" si="35"/>
        <v>4.0000741704248659</v>
      </c>
      <c r="AB166" s="329">
        <f t="shared" si="35"/>
        <v>4.9289279581529479</v>
      </c>
      <c r="AC166" s="329">
        <f t="shared" si="35"/>
        <v>2.2139650608027845</v>
      </c>
      <c r="AD166" s="329">
        <f t="shared" si="35"/>
        <v>122.08344331569037</v>
      </c>
    </row>
    <row r="167" spans="3:30" ht="14.25" customHeight="1" x14ac:dyDescent="0.2">
      <c r="C167" s="8" t="str">
        <v>Peru</v>
      </c>
      <c r="D167" s="8" t="str">
        <v>Latin America &amp; Caribbean</v>
      </c>
      <c r="E167" s="13" t="s">
        <v>578</v>
      </c>
      <c r="F167" s="124" t="str">
        <f t="shared" si="29"/>
        <v>Latin America &amp; Caribbean_Upper middle income</v>
      </c>
      <c r="G167" s="329">
        <f t="shared" si="34"/>
        <v>12.619966233542497</v>
      </c>
      <c r="H167" s="329">
        <f t="shared" si="34"/>
        <v>145.42120363021866</v>
      </c>
      <c r="I167" s="329">
        <f t="shared" si="34"/>
        <v>1.6863207138223091</v>
      </c>
      <c r="J167" s="329">
        <f t="shared" si="34"/>
        <v>0.21267148872987857</v>
      </c>
      <c r="K167" s="329">
        <f t="shared" si="34"/>
        <v>145.42120363021866</v>
      </c>
      <c r="L167" s="329">
        <f t="shared" si="34"/>
        <v>1.6863207138223091</v>
      </c>
      <c r="M167" s="329">
        <f t="shared" si="34"/>
        <v>387.77474864128544</v>
      </c>
      <c r="N167" s="329">
        <f t="shared" si="34"/>
        <v>1.3136438360675786</v>
      </c>
      <c r="O167" s="329">
        <f t="shared" si="34"/>
        <v>4.1565702473597916</v>
      </c>
      <c r="P167" s="329">
        <f t="shared" si="34"/>
        <v>4.9289279581529488</v>
      </c>
      <c r="Q167" s="329">
        <f t="shared" si="35"/>
        <v>96.035058102714572</v>
      </c>
      <c r="R167" s="329">
        <f t="shared" si="35"/>
        <v>1.3136438360675786</v>
      </c>
      <c r="S167" s="329">
        <f t="shared" si="35"/>
        <v>4.1565702473597916</v>
      </c>
      <c r="T167" s="329">
        <f t="shared" si="35"/>
        <v>4.9289279581529488</v>
      </c>
      <c r="U167" s="329">
        <f t="shared" si="35"/>
        <v>0</v>
      </c>
      <c r="V167" s="329">
        <f t="shared" si="35"/>
        <v>4.1565702473597916</v>
      </c>
      <c r="W167" s="329">
        <f t="shared" si="35"/>
        <v>4.9289279581529488</v>
      </c>
      <c r="X167" s="329">
        <f t="shared" si="35"/>
        <v>1.3136438360675786</v>
      </c>
      <c r="Y167" s="329">
        <f t="shared" si="35"/>
        <v>387.77474864128544</v>
      </c>
      <c r="Z167" s="329">
        <f t="shared" si="35"/>
        <v>0.21267148872987857</v>
      </c>
      <c r="AA167" s="329">
        <f t="shared" si="35"/>
        <v>0</v>
      </c>
      <c r="AB167" s="329">
        <f t="shared" si="35"/>
        <v>0</v>
      </c>
      <c r="AC167" s="329">
        <f t="shared" si="35"/>
        <v>1.6863207138223091</v>
      </c>
      <c r="AD167" s="329">
        <f t="shared" si="35"/>
        <v>145.42120363021866</v>
      </c>
    </row>
    <row r="168" spans="3:30" ht="14.25" customHeight="1" x14ac:dyDescent="0.2">
      <c r="C168" s="8" t="str">
        <v>Philippines</v>
      </c>
      <c r="D168" s="8" t="str">
        <v>East Asia &amp; Pacific</v>
      </c>
      <c r="E168" s="13" t="s">
        <v>580</v>
      </c>
      <c r="F168" s="124" t="str">
        <f t="shared" si="29"/>
        <v>East Asia &amp; Pacific_Lower middle income</v>
      </c>
      <c r="G168" s="329">
        <f t="shared" si="34"/>
        <v>23.939238235929217</v>
      </c>
      <c r="H168" s="329">
        <f t="shared" si="34"/>
        <v>191.70380069770326</v>
      </c>
      <c r="I168" s="329">
        <f t="shared" si="34"/>
        <v>32.217685182367461</v>
      </c>
      <c r="J168" s="329">
        <f t="shared" si="34"/>
        <v>0.3830278117748675</v>
      </c>
      <c r="K168" s="329">
        <f t="shared" si="34"/>
        <v>191.70380069770326</v>
      </c>
      <c r="L168" s="329">
        <f t="shared" si="34"/>
        <v>32.217685182367461</v>
      </c>
      <c r="M168" s="329">
        <f t="shared" si="34"/>
        <v>374.51134339767594</v>
      </c>
      <c r="N168" s="329">
        <f t="shared" si="34"/>
        <v>22.268863998052389</v>
      </c>
      <c r="O168" s="329">
        <f t="shared" si="34"/>
        <v>3.269098180716191</v>
      </c>
      <c r="P168" s="329">
        <f t="shared" si="34"/>
        <v>4.9289279581529488</v>
      </c>
      <c r="Q168" s="329">
        <f t="shared" si="35"/>
        <v>118.35635339767599</v>
      </c>
      <c r="R168" s="329">
        <f t="shared" si="35"/>
        <v>22.268863998052389</v>
      </c>
      <c r="S168" s="329">
        <f t="shared" si="35"/>
        <v>3.269098180716191</v>
      </c>
      <c r="T168" s="329">
        <f t="shared" si="35"/>
        <v>4.9289279581529488</v>
      </c>
      <c r="U168" s="329">
        <f t="shared" si="35"/>
        <v>0</v>
      </c>
      <c r="V168" s="329">
        <f t="shared" si="35"/>
        <v>3.269098180716191</v>
      </c>
      <c r="W168" s="329">
        <f t="shared" si="35"/>
        <v>4.9289279581529488</v>
      </c>
      <c r="X168" s="329">
        <f t="shared" si="35"/>
        <v>22.268863998052389</v>
      </c>
      <c r="Y168" s="329">
        <f t="shared" si="35"/>
        <v>374.51134339767594</v>
      </c>
      <c r="Z168" s="329">
        <f t="shared" si="35"/>
        <v>0.3830278117748675</v>
      </c>
      <c r="AA168" s="329">
        <f t="shared" si="35"/>
        <v>0</v>
      </c>
      <c r="AB168" s="329">
        <f t="shared" si="35"/>
        <v>0</v>
      </c>
      <c r="AC168" s="329">
        <f t="shared" si="35"/>
        <v>32.217685182367461</v>
      </c>
      <c r="AD168" s="329">
        <f t="shared" si="35"/>
        <v>191.70380069770326</v>
      </c>
    </row>
    <row r="169" spans="3:30" ht="14.25" customHeight="1" x14ac:dyDescent="0.2">
      <c r="C169" s="8" t="str">
        <v>Poland</v>
      </c>
      <c r="D169" s="8" t="str">
        <v>Europe &amp; Central Asia</v>
      </c>
      <c r="E169" s="13" t="s">
        <v>579</v>
      </c>
      <c r="F169" s="124" t="str">
        <f t="shared" si="29"/>
        <v>Europe &amp; Central Asia_High income</v>
      </c>
      <c r="G169" s="329">
        <f t="shared" si="34"/>
        <v>50.207751213225194</v>
      </c>
      <c r="H169" s="329">
        <f t="shared" si="34"/>
        <v>187.00281170809052</v>
      </c>
      <c r="I169" s="329">
        <f t="shared" si="34"/>
        <v>19.843060617345021</v>
      </c>
      <c r="J169" s="329">
        <f t="shared" si="34"/>
        <v>0.83036677097489309</v>
      </c>
      <c r="K169" s="329">
        <f t="shared" si="34"/>
        <v>187.00281170809052</v>
      </c>
      <c r="L169" s="329">
        <f t="shared" si="34"/>
        <v>19.843060617345021</v>
      </c>
      <c r="M169" s="329">
        <f t="shared" si="34"/>
        <v>378.23399741602321</v>
      </c>
      <c r="N169" s="329">
        <f t="shared" si="34"/>
        <v>13.51235382701214</v>
      </c>
      <c r="O169" s="329">
        <f t="shared" si="34"/>
        <v>3.1356052380199904</v>
      </c>
      <c r="P169" s="329">
        <f t="shared" si="34"/>
        <v>4.9289279581529488</v>
      </c>
      <c r="Q169" s="329">
        <f t="shared" si="35"/>
        <v>37.402623847976834</v>
      </c>
      <c r="R169" s="329">
        <f t="shared" si="35"/>
        <v>13.51235382701214</v>
      </c>
      <c r="S169" s="329">
        <f t="shared" si="35"/>
        <v>3.1356052380199904</v>
      </c>
      <c r="T169" s="329">
        <f t="shared" si="35"/>
        <v>4.9289279581529488</v>
      </c>
      <c r="U169" s="329">
        <f t="shared" si="35"/>
        <v>0</v>
      </c>
      <c r="V169" s="329">
        <f t="shared" si="35"/>
        <v>3.1356052380199904</v>
      </c>
      <c r="W169" s="329">
        <f t="shared" si="35"/>
        <v>4.9289279581529488</v>
      </c>
      <c r="X169" s="329">
        <f t="shared" si="35"/>
        <v>13.51235382701214</v>
      </c>
      <c r="Y169" s="329">
        <f t="shared" si="35"/>
        <v>378.23399741602321</v>
      </c>
      <c r="Z169" s="329">
        <f t="shared" si="35"/>
        <v>0.83036677097489309</v>
      </c>
      <c r="AA169" s="329">
        <f t="shared" si="35"/>
        <v>0</v>
      </c>
      <c r="AB169" s="329">
        <f t="shared" si="35"/>
        <v>0</v>
      </c>
      <c r="AC169" s="329">
        <f t="shared" si="35"/>
        <v>19.843060617345021</v>
      </c>
      <c r="AD169" s="329">
        <f t="shared" si="35"/>
        <v>187.00281170809052</v>
      </c>
    </row>
    <row r="170" spans="3:30" ht="14.25" customHeight="1" x14ac:dyDescent="0.2">
      <c r="C170" s="8" t="str">
        <v>Portugal</v>
      </c>
      <c r="D170" s="8" t="str">
        <v>Europe &amp; Central Asia</v>
      </c>
      <c r="E170" s="13" t="s">
        <v>579</v>
      </c>
      <c r="F170" s="124" t="str">
        <f t="shared" si="29"/>
        <v>Europe &amp; Central Asia_High income</v>
      </c>
      <c r="G170" s="329">
        <f t="shared" si="34"/>
        <v>61.048999198365259</v>
      </c>
      <c r="H170" s="329">
        <f t="shared" si="34"/>
        <v>178.32133445217278</v>
      </c>
      <c r="I170" s="329">
        <f t="shared" si="34"/>
        <v>19.374354459332437</v>
      </c>
      <c r="J170" s="329">
        <f t="shared" si="34"/>
        <v>1.0090743669151283</v>
      </c>
      <c r="K170" s="329">
        <f t="shared" si="34"/>
        <v>178.32133445217278</v>
      </c>
      <c r="L170" s="329">
        <f t="shared" si="34"/>
        <v>19.374354459332437</v>
      </c>
      <c r="M170" s="329">
        <f t="shared" si="34"/>
        <v>387.29407773589287</v>
      </c>
      <c r="N170" s="329">
        <f t="shared" si="34"/>
        <v>12.845909023432432</v>
      </c>
      <c r="O170" s="329">
        <f t="shared" si="34"/>
        <v>4.0162531112228201</v>
      </c>
      <c r="P170" s="329">
        <f t="shared" si="34"/>
        <v>4.9289279581529488</v>
      </c>
      <c r="Q170" s="329">
        <f t="shared" si="35"/>
        <v>100.27390770410716</v>
      </c>
      <c r="R170" s="329">
        <f t="shared" si="35"/>
        <v>12.845909023432432</v>
      </c>
      <c r="S170" s="329">
        <f t="shared" si="35"/>
        <v>4.0162531112228201</v>
      </c>
      <c r="T170" s="329">
        <f t="shared" si="35"/>
        <v>4.9289279581529488</v>
      </c>
      <c r="U170" s="329">
        <f t="shared" si="35"/>
        <v>0</v>
      </c>
      <c r="V170" s="329">
        <f t="shared" si="35"/>
        <v>4.0162531112228201</v>
      </c>
      <c r="W170" s="329">
        <f t="shared" si="35"/>
        <v>4.9289279581529488</v>
      </c>
      <c r="X170" s="329">
        <f t="shared" si="35"/>
        <v>12.845909023432432</v>
      </c>
      <c r="Y170" s="329">
        <f t="shared" si="35"/>
        <v>387.29407773589287</v>
      </c>
      <c r="Z170" s="329">
        <f t="shared" si="35"/>
        <v>1.0090743669151283</v>
      </c>
      <c r="AA170" s="329">
        <f t="shared" si="35"/>
        <v>0</v>
      </c>
      <c r="AB170" s="329">
        <f t="shared" si="35"/>
        <v>0</v>
      </c>
      <c r="AC170" s="329">
        <f t="shared" si="35"/>
        <v>19.374354459332437</v>
      </c>
      <c r="AD170" s="329">
        <f t="shared" si="35"/>
        <v>178.32133445217278</v>
      </c>
    </row>
    <row r="171" spans="3:30" ht="14.25" customHeight="1" x14ac:dyDescent="0.2">
      <c r="C171" s="8" t="str">
        <v>Puerto Rico</v>
      </c>
      <c r="D171" s="8" t="str">
        <v>Latin America &amp; Caribbean</v>
      </c>
      <c r="E171" s="13" t="s">
        <v>579</v>
      </c>
      <c r="F171" s="124" t="str">
        <f t="shared" si="29"/>
        <v>Latin America &amp; Caribbean_High income</v>
      </c>
      <c r="G171" s="329">
        <f t="shared" si="34"/>
        <v>20.148173869272608</v>
      </c>
      <c r="H171" s="329">
        <f t="shared" si="34"/>
        <v>152.33868437748353</v>
      </c>
      <c r="I171" s="329">
        <f t="shared" si="34"/>
        <v>3.0416344571758089</v>
      </c>
      <c r="J171" s="329">
        <f t="shared" si="34"/>
        <v>0.33569845745632426</v>
      </c>
      <c r="K171" s="329">
        <f t="shared" si="34"/>
        <v>152.33868437748353</v>
      </c>
      <c r="L171" s="329">
        <f t="shared" si="34"/>
        <v>3.0416344571758089</v>
      </c>
      <c r="M171" s="329">
        <f t="shared" si="34"/>
        <v>385.49779249232023</v>
      </c>
      <c r="N171" s="329">
        <f t="shared" si="34"/>
        <v>1.7137512604923126</v>
      </c>
      <c r="O171" s="329">
        <f t="shared" si="34"/>
        <v>4.1115263115021587</v>
      </c>
      <c r="P171" s="329">
        <f t="shared" si="34"/>
        <v>4.9289279581529488</v>
      </c>
      <c r="Q171" s="329">
        <f t="shared" si="35"/>
        <v>129.34280249232026</v>
      </c>
      <c r="R171" s="329">
        <f t="shared" si="35"/>
        <v>1.7137512604923126</v>
      </c>
      <c r="S171" s="329">
        <f t="shared" si="35"/>
        <v>4.1115263115021587</v>
      </c>
      <c r="T171" s="329">
        <f t="shared" si="35"/>
        <v>4.9289279581529488</v>
      </c>
      <c r="U171" s="329">
        <f t="shared" si="35"/>
        <v>0</v>
      </c>
      <c r="V171" s="329">
        <f t="shared" si="35"/>
        <v>4.1115263115021587</v>
      </c>
      <c r="W171" s="329">
        <f t="shared" si="35"/>
        <v>4.9289279581529488</v>
      </c>
      <c r="X171" s="329">
        <f t="shared" si="35"/>
        <v>1.7137512604923126</v>
      </c>
      <c r="Y171" s="329">
        <f t="shared" si="35"/>
        <v>385.49779249232023</v>
      </c>
      <c r="Z171" s="329">
        <f t="shared" si="35"/>
        <v>0.33569845745632426</v>
      </c>
      <c r="AA171" s="329">
        <f t="shared" si="35"/>
        <v>0</v>
      </c>
      <c r="AB171" s="329">
        <f t="shared" si="35"/>
        <v>0</v>
      </c>
      <c r="AC171" s="329">
        <f t="shared" si="35"/>
        <v>3.0416344571758089</v>
      </c>
      <c r="AD171" s="329">
        <f t="shared" si="35"/>
        <v>152.33868437748353</v>
      </c>
    </row>
    <row r="172" spans="3:30" ht="14.25" customHeight="1" x14ac:dyDescent="0.2">
      <c r="C172" s="8" t="str">
        <v>Qatar</v>
      </c>
      <c r="D172" s="8" t="str">
        <v>Middle East &amp; North Africa</v>
      </c>
      <c r="E172" s="13" t="s">
        <v>579</v>
      </c>
      <c r="F172" s="124" t="str">
        <f t="shared" si="29"/>
        <v>Middle East &amp; North Africa_High income</v>
      </c>
      <c r="G172" s="329">
        <f t="shared" si="34"/>
        <v>69.656524426851533</v>
      </c>
      <c r="H172" s="329">
        <f t="shared" si="34"/>
        <v>183.05003240919942</v>
      </c>
      <c r="I172" s="329">
        <f t="shared" si="34"/>
        <v>153.90667489063208</v>
      </c>
      <c r="J172" s="329">
        <f t="shared" si="34"/>
        <v>1.1725076251857522</v>
      </c>
      <c r="K172" s="329">
        <f t="shared" si="34"/>
        <v>183.05003240919942</v>
      </c>
      <c r="L172" s="329">
        <f t="shared" si="34"/>
        <v>153.90667489063208</v>
      </c>
      <c r="M172" s="329">
        <f t="shared" si="34"/>
        <v>386.46125192258035</v>
      </c>
      <c r="N172" s="329">
        <f t="shared" si="34"/>
        <v>202.50878275083176</v>
      </c>
      <c r="O172" s="329">
        <f t="shared" si="34"/>
        <v>3.3729407228166459</v>
      </c>
      <c r="P172" s="329">
        <f t="shared" si="34"/>
        <v>4.9289279581529488</v>
      </c>
      <c r="Q172" s="329">
        <f t="shared" si="35"/>
        <v>130.30626192258038</v>
      </c>
      <c r="R172" s="329">
        <f t="shared" si="35"/>
        <v>202.50878275083176</v>
      </c>
      <c r="S172" s="329">
        <f t="shared" si="35"/>
        <v>3.3729407228166459</v>
      </c>
      <c r="T172" s="329">
        <f t="shared" si="35"/>
        <v>4.9289279581529488</v>
      </c>
      <c r="U172" s="329">
        <f t="shared" si="35"/>
        <v>0</v>
      </c>
      <c r="V172" s="329">
        <f t="shared" si="35"/>
        <v>3.3729407228166459</v>
      </c>
      <c r="W172" s="329">
        <f t="shared" si="35"/>
        <v>4.9289279581529488</v>
      </c>
      <c r="X172" s="329">
        <f t="shared" si="35"/>
        <v>202.50878275083176</v>
      </c>
      <c r="Y172" s="329">
        <f t="shared" si="35"/>
        <v>386.46125192258035</v>
      </c>
      <c r="Z172" s="329">
        <f t="shared" si="35"/>
        <v>0</v>
      </c>
      <c r="AA172" s="329">
        <f t="shared" si="35"/>
        <v>3.3729407228166459</v>
      </c>
      <c r="AB172" s="329">
        <f t="shared" si="35"/>
        <v>4.9289279581529488</v>
      </c>
      <c r="AC172" s="329">
        <f t="shared" si="35"/>
        <v>202.50878275083176</v>
      </c>
      <c r="AD172" s="329">
        <f t="shared" si="35"/>
        <v>130.30626192258038</v>
      </c>
    </row>
    <row r="173" spans="3:30" ht="14.25" customHeight="1" x14ac:dyDescent="0.2">
      <c r="C173" s="8" t="str">
        <v>Romania</v>
      </c>
      <c r="D173" s="8" t="str">
        <v>Europe &amp; Central Asia</v>
      </c>
      <c r="E173" s="13" t="s">
        <v>579</v>
      </c>
      <c r="F173" s="124" t="str">
        <f t="shared" si="29"/>
        <v>Europe &amp; Central Asia_High income</v>
      </c>
      <c r="G173" s="329">
        <f t="shared" ref="G173:P182" si="36">IFERROR(IF(INDEX(Interim_Coefficients,MATCH($C173,Interim_Countries,0),MATCH(G$12,Interim_type,0))="No value",INDEX(Interim_CombinedCoefficients,MATCH($F173,Interim_CombinedTag,0),MATCH(G$12,Interim_CombinedType,0)),INDEX(Interim_Coefficients,MATCH($C173,Interim_Countries,0),MATCH(G$12,Interim_type,0))),INDEX(Interim_CombinedCoefficients,MATCH($F173,Interim_CombinedTag,0),MATCH(G$12,Interim_CombinedType,0)))</f>
        <v>34.809807189262109</v>
      </c>
      <c r="H173" s="329">
        <f t="shared" si="36"/>
        <v>187.00281170809052</v>
      </c>
      <c r="I173" s="329">
        <f t="shared" si="36"/>
        <v>8.6617667917843377</v>
      </c>
      <c r="J173" s="329">
        <f t="shared" si="36"/>
        <v>0.58668214363924898</v>
      </c>
      <c r="K173" s="329">
        <f t="shared" si="36"/>
        <v>187.00281170809052</v>
      </c>
      <c r="L173" s="329">
        <f t="shared" si="36"/>
        <v>8.6617667917843377</v>
      </c>
      <c r="M173" s="329">
        <f t="shared" si="36"/>
        <v>379.11088849372493</v>
      </c>
      <c r="N173" s="329">
        <f t="shared" si="36"/>
        <v>7.0187887793035744</v>
      </c>
      <c r="O173" s="329">
        <f t="shared" si="36"/>
        <v>4.0141567794519499</v>
      </c>
      <c r="P173" s="329">
        <f t="shared" si="36"/>
        <v>4.9289279581529488</v>
      </c>
      <c r="Q173" s="329">
        <f t="shared" ref="Q173:AD182" si="37">IFERROR(IF(INDEX(Interim_Coefficients,MATCH($C173,Interim_Countries,0),MATCH(Q$12,Interim_type,0))="No value",INDEX(Interim_CombinedCoefficients,MATCH($F173,Interim_CombinedTag,0),MATCH(Q$12,Interim_CombinedType,0)),INDEX(Interim_Coefficients,MATCH($C173,Interim_Countries,0),MATCH(Q$12,Interim_type,0))),INDEX(Interim_CombinedCoefficients,MATCH($F173,Interim_CombinedTag,0),MATCH(Q$12,Interim_CombinedType,0)))</f>
        <v>98.157046394275099</v>
      </c>
      <c r="R173" s="329">
        <f t="shared" si="37"/>
        <v>7.0187887793035744</v>
      </c>
      <c r="S173" s="329">
        <f t="shared" si="37"/>
        <v>4.0141567794519499</v>
      </c>
      <c r="T173" s="329">
        <f t="shared" si="37"/>
        <v>4.9289279581529488</v>
      </c>
      <c r="U173" s="329">
        <f t="shared" si="37"/>
        <v>0</v>
      </c>
      <c r="V173" s="329">
        <f t="shared" si="37"/>
        <v>4.0141567794519499</v>
      </c>
      <c r="W173" s="329">
        <f t="shared" si="37"/>
        <v>4.9289279581529488</v>
      </c>
      <c r="X173" s="329">
        <f t="shared" si="37"/>
        <v>7.0187887793035744</v>
      </c>
      <c r="Y173" s="329">
        <f t="shared" si="37"/>
        <v>379.11088849372493</v>
      </c>
      <c r="Z173" s="329">
        <f t="shared" si="37"/>
        <v>0.58668214363924898</v>
      </c>
      <c r="AA173" s="329">
        <f t="shared" si="37"/>
        <v>0</v>
      </c>
      <c r="AB173" s="329">
        <f t="shared" si="37"/>
        <v>0</v>
      </c>
      <c r="AC173" s="329">
        <f t="shared" si="37"/>
        <v>8.6617667917843377</v>
      </c>
      <c r="AD173" s="329">
        <f t="shared" si="37"/>
        <v>187.00281170809052</v>
      </c>
    </row>
    <row r="174" spans="3:30" ht="14.25" customHeight="1" x14ac:dyDescent="0.2">
      <c r="C174" s="8" t="str">
        <v>Russian Federation</v>
      </c>
      <c r="D174" s="8" t="str">
        <v>Europe &amp; Central Asia</v>
      </c>
      <c r="E174" s="13" t="s">
        <v>578</v>
      </c>
      <c r="F174" s="124" t="str">
        <f t="shared" si="29"/>
        <v>Europe &amp; Central Asia_Upper middle income</v>
      </c>
      <c r="G174" s="329">
        <f t="shared" si="36"/>
        <v>12.841666967007891</v>
      </c>
      <c r="H174" s="329">
        <f t="shared" si="36"/>
        <v>187.00281170809052</v>
      </c>
      <c r="I174" s="329">
        <f t="shared" si="36"/>
        <v>299.07487324632484</v>
      </c>
      <c r="J174" s="329">
        <f t="shared" si="36"/>
        <v>0.21486057571258341</v>
      </c>
      <c r="K174" s="329">
        <f t="shared" si="36"/>
        <v>187.00281170809052</v>
      </c>
      <c r="L174" s="329">
        <f t="shared" si="36"/>
        <v>299.07487324632484</v>
      </c>
      <c r="M174" s="329">
        <f t="shared" si="36"/>
        <v>377.26693060129412</v>
      </c>
      <c r="N174" s="329">
        <f t="shared" si="36"/>
        <v>0.59169489311323242</v>
      </c>
      <c r="O174" s="329">
        <f t="shared" si="36"/>
        <v>3.6948388375861057</v>
      </c>
      <c r="P174" s="329">
        <f t="shared" si="36"/>
        <v>4.9289279581529488</v>
      </c>
      <c r="Q174" s="329">
        <f t="shared" si="37"/>
        <v>121.11194060129418</v>
      </c>
      <c r="R174" s="329">
        <f t="shared" si="37"/>
        <v>0.59169489311323242</v>
      </c>
      <c r="S174" s="329">
        <f t="shared" si="37"/>
        <v>3.6948388375861057</v>
      </c>
      <c r="T174" s="329">
        <f t="shared" si="37"/>
        <v>4.9289279581529488</v>
      </c>
      <c r="U174" s="329">
        <f t="shared" si="37"/>
        <v>12.841666967007891</v>
      </c>
      <c r="V174" s="329">
        <f t="shared" si="37"/>
        <v>0</v>
      </c>
      <c r="W174" s="329">
        <f t="shared" si="37"/>
        <v>0</v>
      </c>
      <c r="X174" s="329">
        <f t="shared" si="37"/>
        <v>299.07487324632484</v>
      </c>
      <c r="Y174" s="329">
        <f t="shared" si="37"/>
        <v>187.00281170809052</v>
      </c>
      <c r="Z174" s="329">
        <f t="shared" si="37"/>
        <v>0.21486057571258341</v>
      </c>
      <c r="AA174" s="329">
        <f t="shared" si="37"/>
        <v>0</v>
      </c>
      <c r="AB174" s="329">
        <f t="shared" si="37"/>
        <v>0</v>
      </c>
      <c r="AC174" s="329">
        <f t="shared" si="37"/>
        <v>299.07487324632484</v>
      </c>
      <c r="AD174" s="329">
        <f t="shared" si="37"/>
        <v>187.00281170809052</v>
      </c>
    </row>
    <row r="175" spans="3:30" ht="14.25" customHeight="1" x14ac:dyDescent="0.2">
      <c r="C175" s="8" t="str">
        <v>Rwanda</v>
      </c>
      <c r="D175" s="8" t="str">
        <v>Sub-Saharan Africa</v>
      </c>
      <c r="E175" s="13" t="s">
        <v>586</v>
      </c>
      <c r="F175" s="124" t="str">
        <f t="shared" si="29"/>
        <v>Sub-Saharan Africa_Low income</v>
      </c>
      <c r="G175" s="329">
        <f t="shared" si="36"/>
        <v>23.309971460536438</v>
      </c>
      <c r="H175" s="329">
        <f t="shared" si="36"/>
        <v>136.54200831083281</v>
      </c>
      <c r="I175" s="329">
        <f t="shared" si="36"/>
        <v>48.066711217553774</v>
      </c>
      <c r="J175" s="329">
        <f t="shared" si="36"/>
        <v>0.38963996426925313</v>
      </c>
      <c r="K175" s="329">
        <f t="shared" si="36"/>
        <v>136.54200831083281</v>
      </c>
      <c r="L175" s="329">
        <f t="shared" si="36"/>
        <v>48.066711217553774</v>
      </c>
      <c r="M175" s="329">
        <f t="shared" si="36"/>
        <v>386.36066988979189</v>
      </c>
      <c r="N175" s="329">
        <f t="shared" si="36"/>
        <v>3.0069383810950008</v>
      </c>
      <c r="O175" s="329">
        <f t="shared" si="36"/>
        <v>6.2955859660608509</v>
      </c>
      <c r="P175" s="329">
        <f t="shared" si="36"/>
        <v>4.9289279581529488</v>
      </c>
      <c r="Q175" s="329">
        <f t="shared" si="37"/>
        <v>124.01862912013361</v>
      </c>
      <c r="R175" s="329">
        <f t="shared" si="37"/>
        <v>3.0069383810950008</v>
      </c>
      <c r="S175" s="329">
        <f t="shared" si="37"/>
        <v>6.2955859660608509</v>
      </c>
      <c r="T175" s="329">
        <f t="shared" si="37"/>
        <v>4.9289279581529488</v>
      </c>
      <c r="U175" s="329">
        <f t="shared" si="37"/>
        <v>0</v>
      </c>
      <c r="V175" s="329">
        <f t="shared" si="37"/>
        <v>6.2955859660608509</v>
      </c>
      <c r="W175" s="329">
        <f t="shared" si="37"/>
        <v>4.9289279581529488</v>
      </c>
      <c r="X175" s="329">
        <f t="shared" si="37"/>
        <v>3.0069383810950008</v>
      </c>
      <c r="Y175" s="329">
        <f t="shared" si="37"/>
        <v>386.36066988979189</v>
      </c>
      <c r="Z175" s="329">
        <f t="shared" si="37"/>
        <v>0.38963996426925313</v>
      </c>
      <c r="AA175" s="329">
        <f t="shared" si="37"/>
        <v>0</v>
      </c>
      <c r="AB175" s="329">
        <f t="shared" si="37"/>
        <v>0</v>
      </c>
      <c r="AC175" s="329">
        <f t="shared" si="37"/>
        <v>48.066711217553774</v>
      </c>
      <c r="AD175" s="329">
        <f t="shared" si="37"/>
        <v>136.54200831083281</v>
      </c>
    </row>
    <row r="176" spans="3:30" ht="14.25" customHeight="1" x14ac:dyDescent="0.2">
      <c r="C176" s="8" t="str">
        <v>Samoa</v>
      </c>
      <c r="D176" s="8" t="str">
        <v>East Asia &amp; Pacific</v>
      </c>
      <c r="E176" s="13" t="s">
        <v>580</v>
      </c>
      <c r="F176" s="124" t="str">
        <f t="shared" si="29"/>
        <v>East Asia &amp; Pacific_Lower middle income</v>
      </c>
      <c r="G176" s="329">
        <f t="shared" si="36"/>
        <v>21.040892851983276</v>
      </c>
      <c r="H176" s="329">
        <f t="shared" si="36"/>
        <v>185.01256757493803</v>
      </c>
      <c r="I176" s="329">
        <f t="shared" si="36"/>
        <v>304.6771769642977</v>
      </c>
      <c r="J176" s="329">
        <f t="shared" si="36"/>
        <v>0.34423100460524525</v>
      </c>
      <c r="K176" s="329">
        <f t="shared" si="36"/>
        <v>185.01256757493803</v>
      </c>
      <c r="L176" s="329">
        <f t="shared" si="36"/>
        <v>304.6771769642977</v>
      </c>
      <c r="M176" s="329">
        <f t="shared" si="36"/>
        <v>376.62670320349753</v>
      </c>
      <c r="N176" s="329">
        <f t="shared" si="36"/>
        <v>23.80079428655403</v>
      </c>
      <c r="O176" s="329">
        <f t="shared" si="36"/>
        <v>4.2989077809646146</v>
      </c>
      <c r="P176" s="329">
        <f t="shared" si="36"/>
        <v>4.9289279581529488</v>
      </c>
      <c r="Q176" s="329">
        <f t="shared" si="37"/>
        <v>120.47171320349753</v>
      </c>
      <c r="R176" s="329">
        <f t="shared" si="37"/>
        <v>23.80079428655403</v>
      </c>
      <c r="S176" s="329">
        <f t="shared" si="37"/>
        <v>4.2989077809646146</v>
      </c>
      <c r="T176" s="329">
        <f t="shared" si="37"/>
        <v>4.9289279581529488</v>
      </c>
      <c r="U176" s="329">
        <f t="shared" si="37"/>
        <v>21.040892851983276</v>
      </c>
      <c r="V176" s="329">
        <f t="shared" si="37"/>
        <v>0</v>
      </c>
      <c r="W176" s="329">
        <f t="shared" si="37"/>
        <v>0</v>
      </c>
      <c r="X176" s="329">
        <f t="shared" si="37"/>
        <v>304.6771769642977</v>
      </c>
      <c r="Y176" s="329">
        <f t="shared" si="37"/>
        <v>185.01256757493803</v>
      </c>
      <c r="Z176" s="329">
        <f t="shared" si="37"/>
        <v>0.34423100460524525</v>
      </c>
      <c r="AA176" s="329">
        <f t="shared" si="37"/>
        <v>0</v>
      </c>
      <c r="AB176" s="329">
        <f t="shared" si="37"/>
        <v>0</v>
      </c>
      <c r="AC176" s="329">
        <f t="shared" si="37"/>
        <v>304.6771769642977</v>
      </c>
      <c r="AD176" s="329">
        <f t="shared" si="37"/>
        <v>185.01256757493803</v>
      </c>
    </row>
    <row r="177" spans="3:30" ht="14.25" customHeight="1" x14ac:dyDescent="0.2">
      <c r="C177" s="8" t="str">
        <v>San Marino</v>
      </c>
      <c r="D177" s="8" t="str">
        <v>Europe &amp; Central Asia</v>
      </c>
      <c r="E177" s="13" t="s">
        <v>579</v>
      </c>
      <c r="F177" s="124" t="str">
        <f t="shared" si="29"/>
        <v>Europe &amp; Central Asia_High income</v>
      </c>
      <c r="G177" s="329">
        <f t="shared" si="36"/>
        <v>32.401299306692998</v>
      </c>
      <c r="H177" s="329">
        <f t="shared" si="36"/>
        <v>185.85127347327975</v>
      </c>
      <c r="I177" s="329">
        <f t="shared" si="36"/>
        <v>371.75902354309056</v>
      </c>
      <c r="J177" s="329">
        <f t="shared" si="36"/>
        <v>0.53910505368023443</v>
      </c>
      <c r="K177" s="329">
        <f t="shared" si="36"/>
        <v>185.85127347327975</v>
      </c>
      <c r="L177" s="329">
        <f t="shared" si="36"/>
        <v>371.75902354309056</v>
      </c>
      <c r="M177" s="329">
        <f t="shared" si="36"/>
        <v>385.53377512854041</v>
      </c>
      <c r="N177" s="329">
        <f t="shared" si="36"/>
        <v>25.640462448793837</v>
      </c>
      <c r="O177" s="329">
        <f t="shared" si="36"/>
        <v>3.6681185273460932</v>
      </c>
      <c r="P177" s="329">
        <f t="shared" si="36"/>
        <v>4.9289279581529506</v>
      </c>
      <c r="Q177" s="329">
        <f t="shared" si="37"/>
        <v>97.069054585259593</v>
      </c>
      <c r="R177" s="329">
        <f t="shared" si="37"/>
        <v>25.640462448793837</v>
      </c>
      <c r="S177" s="329">
        <f t="shared" si="37"/>
        <v>3.6681185273460932</v>
      </c>
      <c r="T177" s="329">
        <f t="shared" si="37"/>
        <v>4.9289279581529506</v>
      </c>
      <c r="U177" s="329">
        <f t="shared" si="37"/>
        <v>32.401299306692998</v>
      </c>
      <c r="V177" s="329">
        <f t="shared" si="37"/>
        <v>0</v>
      </c>
      <c r="W177" s="329">
        <f t="shared" si="37"/>
        <v>0</v>
      </c>
      <c r="X177" s="329">
        <f t="shared" si="37"/>
        <v>371.75902354309056</v>
      </c>
      <c r="Y177" s="329">
        <f t="shared" si="37"/>
        <v>185.85127347327975</v>
      </c>
      <c r="Z177" s="329">
        <f t="shared" si="37"/>
        <v>0.53910505368023443</v>
      </c>
      <c r="AA177" s="329">
        <f t="shared" si="37"/>
        <v>0</v>
      </c>
      <c r="AB177" s="329">
        <f t="shared" si="37"/>
        <v>0</v>
      </c>
      <c r="AC177" s="329">
        <f t="shared" si="37"/>
        <v>371.75902354309056</v>
      </c>
      <c r="AD177" s="329">
        <f t="shared" si="37"/>
        <v>185.85127347327975</v>
      </c>
    </row>
    <row r="178" spans="3:30" ht="14.25" customHeight="1" x14ac:dyDescent="0.2">
      <c r="C178" s="8" t="str">
        <v>Sao Tome and Principe</v>
      </c>
      <c r="D178" s="8" t="str">
        <v>Sub-Saharan Africa</v>
      </c>
      <c r="E178" s="13" t="s">
        <v>580</v>
      </c>
      <c r="F178" s="124" t="str">
        <f t="shared" si="29"/>
        <v>Sub-Saharan Africa_Lower middle income</v>
      </c>
      <c r="G178" s="329">
        <f t="shared" si="36"/>
        <v>23.309971460536438</v>
      </c>
      <c r="H178" s="329">
        <f t="shared" si="36"/>
        <v>136.54200831083281</v>
      </c>
      <c r="I178" s="329">
        <f t="shared" si="36"/>
        <v>48.066711217553774</v>
      </c>
      <c r="J178" s="329">
        <f t="shared" si="36"/>
        <v>0.38963996426925313</v>
      </c>
      <c r="K178" s="329">
        <f t="shared" si="36"/>
        <v>136.54200831083281</v>
      </c>
      <c r="L178" s="329">
        <f t="shared" si="36"/>
        <v>48.066711217553774</v>
      </c>
      <c r="M178" s="329">
        <f t="shared" si="36"/>
        <v>386.36066988979189</v>
      </c>
      <c r="N178" s="329">
        <f t="shared" si="36"/>
        <v>3.0069383810950008</v>
      </c>
      <c r="O178" s="329">
        <f t="shared" si="36"/>
        <v>6.2955859660608509</v>
      </c>
      <c r="P178" s="329">
        <f t="shared" si="36"/>
        <v>4.9289279581529488</v>
      </c>
      <c r="Q178" s="329">
        <f t="shared" si="37"/>
        <v>124.01862912013361</v>
      </c>
      <c r="R178" s="329">
        <f t="shared" si="37"/>
        <v>3.0069383810950008</v>
      </c>
      <c r="S178" s="329">
        <f t="shared" si="37"/>
        <v>6.2955859660608509</v>
      </c>
      <c r="T178" s="329">
        <f t="shared" si="37"/>
        <v>4.9289279581529488</v>
      </c>
      <c r="U178" s="329">
        <f t="shared" si="37"/>
        <v>0</v>
      </c>
      <c r="V178" s="329">
        <f t="shared" si="37"/>
        <v>6.2955859660608509</v>
      </c>
      <c r="W178" s="329">
        <f t="shared" si="37"/>
        <v>4.9289279581529488</v>
      </c>
      <c r="X178" s="329">
        <f t="shared" si="37"/>
        <v>3.0069383810950008</v>
      </c>
      <c r="Y178" s="329">
        <f t="shared" si="37"/>
        <v>386.36066988979189</v>
      </c>
      <c r="Z178" s="329">
        <f t="shared" si="37"/>
        <v>0.38963996426925313</v>
      </c>
      <c r="AA178" s="329">
        <f t="shared" si="37"/>
        <v>0</v>
      </c>
      <c r="AB178" s="329">
        <f t="shared" si="37"/>
        <v>0</v>
      </c>
      <c r="AC178" s="329">
        <f t="shared" si="37"/>
        <v>48.066711217553774</v>
      </c>
      <c r="AD178" s="329">
        <f t="shared" si="37"/>
        <v>136.54200831083281</v>
      </c>
    </row>
    <row r="179" spans="3:30" ht="14.25" customHeight="1" x14ac:dyDescent="0.2">
      <c r="C179" s="8" t="str">
        <v>Saudi Arabia</v>
      </c>
      <c r="D179" s="8" t="str">
        <v>Middle East &amp; North Africa</v>
      </c>
      <c r="E179" s="13" t="s">
        <v>579</v>
      </c>
      <c r="F179" s="124" t="str">
        <f t="shared" si="29"/>
        <v>Middle East &amp; North Africa_High income</v>
      </c>
      <c r="G179" s="329">
        <f t="shared" si="36"/>
        <v>69.656524426851533</v>
      </c>
      <c r="H179" s="329">
        <f t="shared" si="36"/>
        <v>183.05003240919942</v>
      </c>
      <c r="I179" s="329">
        <f t="shared" si="36"/>
        <v>153.90667489063208</v>
      </c>
      <c r="J179" s="329">
        <f t="shared" si="36"/>
        <v>1.1725076251857522</v>
      </c>
      <c r="K179" s="329">
        <f t="shared" si="36"/>
        <v>183.05003240919942</v>
      </c>
      <c r="L179" s="329">
        <f t="shared" si="36"/>
        <v>153.90667489063208</v>
      </c>
      <c r="M179" s="329">
        <f t="shared" si="36"/>
        <v>386.46125192258035</v>
      </c>
      <c r="N179" s="329">
        <f t="shared" si="36"/>
        <v>202.50878275083176</v>
      </c>
      <c r="O179" s="329">
        <f t="shared" si="36"/>
        <v>3.3729407228166459</v>
      </c>
      <c r="P179" s="329">
        <f t="shared" si="36"/>
        <v>4.9289279581529488</v>
      </c>
      <c r="Q179" s="329">
        <f t="shared" si="37"/>
        <v>130.30626192258038</v>
      </c>
      <c r="R179" s="329">
        <f t="shared" si="37"/>
        <v>202.50878275083176</v>
      </c>
      <c r="S179" s="329">
        <f t="shared" si="37"/>
        <v>3.3729407228166459</v>
      </c>
      <c r="T179" s="329">
        <f t="shared" si="37"/>
        <v>4.9289279581529488</v>
      </c>
      <c r="U179" s="329">
        <f t="shared" si="37"/>
        <v>0</v>
      </c>
      <c r="V179" s="329">
        <f t="shared" si="37"/>
        <v>3.3729407228166459</v>
      </c>
      <c r="W179" s="329">
        <f t="shared" si="37"/>
        <v>4.9289279581529488</v>
      </c>
      <c r="X179" s="329">
        <f t="shared" si="37"/>
        <v>202.50878275083176</v>
      </c>
      <c r="Y179" s="329">
        <f t="shared" si="37"/>
        <v>386.46125192258035</v>
      </c>
      <c r="Z179" s="329">
        <f t="shared" si="37"/>
        <v>0</v>
      </c>
      <c r="AA179" s="329">
        <f t="shared" si="37"/>
        <v>3.3729407228166459</v>
      </c>
      <c r="AB179" s="329">
        <f t="shared" si="37"/>
        <v>4.9289279581529488</v>
      </c>
      <c r="AC179" s="329">
        <f t="shared" si="37"/>
        <v>202.50878275083176</v>
      </c>
      <c r="AD179" s="329">
        <f t="shared" si="37"/>
        <v>130.30626192258038</v>
      </c>
    </row>
    <row r="180" spans="3:30" ht="14.25" customHeight="1" x14ac:dyDescent="0.2">
      <c r="C180" s="8" t="str">
        <v>Senegal</v>
      </c>
      <c r="D180" s="8" t="str">
        <v>Sub-Saharan Africa</v>
      </c>
      <c r="E180" s="13" t="s">
        <v>580</v>
      </c>
      <c r="F180" s="124" t="str">
        <f t="shared" si="29"/>
        <v>Sub-Saharan Africa_Lower middle income</v>
      </c>
      <c r="G180" s="329">
        <f t="shared" si="36"/>
        <v>23.309971460536438</v>
      </c>
      <c r="H180" s="329">
        <f t="shared" si="36"/>
        <v>136.54200831083281</v>
      </c>
      <c r="I180" s="329">
        <f t="shared" si="36"/>
        <v>48.066711217553774</v>
      </c>
      <c r="J180" s="329">
        <f t="shared" si="36"/>
        <v>0.38963996426925313</v>
      </c>
      <c r="K180" s="329">
        <f t="shared" si="36"/>
        <v>136.54200831083281</v>
      </c>
      <c r="L180" s="329">
        <f t="shared" si="36"/>
        <v>48.066711217553774</v>
      </c>
      <c r="M180" s="329">
        <f t="shared" si="36"/>
        <v>386.36066988979189</v>
      </c>
      <c r="N180" s="329">
        <f t="shared" si="36"/>
        <v>3.0069383810950008</v>
      </c>
      <c r="O180" s="329">
        <f t="shared" si="36"/>
        <v>6.2955859660608509</v>
      </c>
      <c r="P180" s="329">
        <f t="shared" si="36"/>
        <v>4.9289279581529488</v>
      </c>
      <c r="Q180" s="329">
        <f t="shared" si="37"/>
        <v>124.01862912013361</v>
      </c>
      <c r="R180" s="329">
        <f t="shared" si="37"/>
        <v>3.0069383810950008</v>
      </c>
      <c r="S180" s="329">
        <f t="shared" si="37"/>
        <v>6.2955859660608509</v>
      </c>
      <c r="T180" s="329">
        <f t="shared" si="37"/>
        <v>4.9289279581529488</v>
      </c>
      <c r="U180" s="329">
        <f t="shared" si="37"/>
        <v>0</v>
      </c>
      <c r="V180" s="329">
        <f t="shared" si="37"/>
        <v>6.2955859660608509</v>
      </c>
      <c r="W180" s="329">
        <f t="shared" si="37"/>
        <v>4.9289279581529488</v>
      </c>
      <c r="X180" s="329">
        <f t="shared" si="37"/>
        <v>3.0069383810950008</v>
      </c>
      <c r="Y180" s="329">
        <f t="shared" si="37"/>
        <v>386.36066988979189</v>
      </c>
      <c r="Z180" s="329">
        <f t="shared" si="37"/>
        <v>0.38963996426925313</v>
      </c>
      <c r="AA180" s="329">
        <f t="shared" si="37"/>
        <v>0</v>
      </c>
      <c r="AB180" s="329">
        <f t="shared" si="37"/>
        <v>0</v>
      </c>
      <c r="AC180" s="329">
        <f t="shared" si="37"/>
        <v>48.066711217553774</v>
      </c>
      <c r="AD180" s="329">
        <f t="shared" si="37"/>
        <v>136.54200831083281</v>
      </c>
    </row>
    <row r="181" spans="3:30" ht="14.25" customHeight="1" x14ac:dyDescent="0.2">
      <c r="C181" s="8" t="str">
        <v>Serbia</v>
      </c>
      <c r="D181" s="8" t="str">
        <v>Europe &amp; Central Asia</v>
      </c>
      <c r="E181" s="13" t="s">
        <v>578</v>
      </c>
      <c r="F181" s="124" t="str">
        <f t="shared" si="29"/>
        <v>Europe &amp; Central Asia_Upper middle income</v>
      </c>
      <c r="G181" s="329">
        <f t="shared" si="36"/>
        <v>19.63003739407586</v>
      </c>
      <c r="H181" s="329">
        <f t="shared" si="36"/>
        <v>187.00281170809052</v>
      </c>
      <c r="I181" s="329">
        <f t="shared" si="36"/>
        <v>152.66999372239431</v>
      </c>
      <c r="J181" s="329">
        <f t="shared" si="36"/>
        <v>0.33005732005694194</v>
      </c>
      <c r="K181" s="329">
        <f t="shared" si="36"/>
        <v>187.00281170809052</v>
      </c>
      <c r="L181" s="329">
        <f t="shared" si="36"/>
        <v>152.66999372239431</v>
      </c>
      <c r="M181" s="329">
        <f t="shared" si="36"/>
        <v>380.27773922168274</v>
      </c>
      <c r="N181" s="329">
        <f t="shared" si="36"/>
        <v>4.5928298109575465</v>
      </c>
      <c r="O181" s="329">
        <f t="shared" si="36"/>
        <v>3.6994518758026187</v>
      </c>
      <c r="P181" s="329">
        <f t="shared" si="36"/>
        <v>4.9289279581529488</v>
      </c>
      <c r="Q181" s="329">
        <f t="shared" si="37"/>
        <v>94.874795267611404</v>
      </c>
      <c r="R181" s="329">
        <f t="shared" si="37"/>
        <v>4.5928298109575465</v>
      </c>
      <c r="S181" s="329">
        <f t="shared" si="37"/>
        <v>3.6994518758026187</v>
      </c>
      <c r="T181" s="329">
        <f t="shared" si="37"/>
        <v>4.9289279581529488</v>
      </c>
      <c r="U181" s="329">
        <f t="shared" si="37"/>
        <v>0</v>
      </c>
      <c r="V181" s="329">
        <f t="shared" si="37"/>
        <v>3.6994518758026187</v>
      </c>
      <c r="W181" s="329">
        <f t="shared" si="37"/>
        <v>4.9289279581529488</v>
      </c>
      <c r="X181" s="329">
        <f t="shared" si="37"/>
        <v>4.5928298109575465</v>
      </c>
      <c r="Y181" s="329">
        <f t="shared" si="37"/>
        <v>380.27773922168274</v>
      </c>
      <c r="Z181" s="329">
        <f t="shared" si="37"/>
        <v>0.33005732005694194</v>
      </c>
      <c r="AA181" s="329">
        <f t="shared" si="37"/>
        <v>0</v>
      </c>
      <c r="AB181" s="329">
        <f t="shared" si="37"/>
        <v>0</v>
      </c>
      <c r="AC181" s="329">
        <f t="shared" si="37"/>
        <v>152.66999372239431</v>
      </c>
      <c r="AD181" s="329">
        <f t="shared" si="37"/>
        <v>187.00281170809052</v>
      </c>
    </row>
    <row r="182" spans="3:30" ht="14.25" customHeight="1" x14ac:dyDescent="0.2">
      <c r="C182" s="8" t="str">
        <v>Seychelles</v>
      </c>
      <c r="D182" s="8" t="str">
        <v>Sub-Saharan Africa</v>
      </c>
      <c r="E182" s="13" t="s">
        <v>579</v>
      </c>
      <c r="F182" s="124" t="str">
        <f t="shared" si="29"/>
        <v>Sub-Saharan Africa_High income</v>
      </c>
      <c r="G182" s="329">
        <f t="shared" si="36"/>
        <v>31.215670288295101</v>
      </c>
      <c r="H182" s="329">
        <f t="shared" si="36"/>
        <v>139.45035226903551</v>
      </c>
      <c r="I182" s="329">
        <f t="shared" si="36"/>
        <v>150.73786232264663</v>
      </c>
      <c r="J182" s="329">
        <f t="shared" si="36"/>
        <v>0.52326437791710934</v>
      </c>
      <c r="K182" s="329">
        <f t="shared" si="36"/>
        <v>139.45035226903551</v>
      </c>
      <c r="L182" s="329">
        <f t="shared" si="36"/>
        <v>150.73786232264663</v>
      </c>
      <c r="M182" s="329">
        <f t="shared" si="36"/>
        <v>385.6670750543376</v>
      </c>
      <c r="N182" s="329">
        <f t="shared" si="36"/>
        <v>17.340901974284311</v>
      </c>
      <c r="O182" s="329">
        <f t="shared" si="36"/>
        <v>2.5446256359533139</v>
      </c>
      <c r="P182" s="329">
        <f t="shared" si="36"/>
        <v>4.9289279581529488</v>
      </c>
      <c r="Q182" s="329">
        <f t="shared" si="37"/>
        <v>118.10865074494437</v>
      </c>
      <c r="R182" s="329">
        <f t="shared" si="37"/>
        <v>17.340901974284311</v>
      </c>
      <c r="S182" s="329">
        <f t="shared" si="37"/>
        <v>2.5446256359533139</v>
      </c>
      <c r="T182" s="329">
        <f t="shared" si="37"/>
        <v>4.9289279581529488</v>
      </c>
      <c r="U182" s="329">
        <f t="shared" si="37"/>
        <v>0</v>
      </c>
      <c r="V182" s="329">
        <f t="shared" si="37"/>
        <v>2.5446256359533139</v>
      </c>
      <c r="W182" s="329">
        <f t="shared" si="37"/>
        <v>4.9289279581529488</v>
      </c>
      <c r="X182" s="329">
        <f t="shared" si="37"/>
        <v>17.340901974284311</v>
      </c>
      <c r="Y182" s="329">
        <f t="shared" si="37"/>
        <v>385.6670750543376</v>
      </c>
      <c r="Z182" s="329">
        <f t="shared" si="37"/>
        <v>0.52326437791710934</v>
      </c>
      <c r="AA182" s="329">
        <f t="shared" si="37"/>
        <v>0</v>
      </c>
      <c r="AB182" s="329">
        <f t="shared" si="37"/>
        <v>0</v>
      </c>
      <c r="AC182" s="329">
        <f t="shared" si="37"/>
        <v>150.73786232264663</v>
      </c>
      <c r="AD182" s="329">
        <f t="shared" si="37"/>
        <v>139.45035226903551</v>
      </c>
    </row>
    <row r="183" spans="3:30" ht="14.25" customHeight="1" x14ac:dyDescent="0.2">
      <c r="C183" s="8" t="str">
        <v>Sierra Leone</v>
      </c>
      <c r="D183" s="8" t="str">
        <v>Sub-Saharan Africa</v>
      </c>
      <c r="E183" s="13" t="s">
        <v>586</v>
      </c>
      <c r="F183" s="124" t="str">
        <f t="shared" si="29"/>
        <v>Sub-Saharan Africa_Low income</v>
      </c>
      <c r="G183" s="329">
        <f t="shared" ref="G183:P192" si="38">IFERROR(IF(INDEX(Interim_Coefficients,MATCH($C183,Interim_Countries,0),MATCH(G$12,Interim_type,0))="No value",INDEX(Interim_CombinedCoefficients,MATCH($F183,Interim_CombinedTag,0),MATCH(G$12,Interim_CombinedType,0)),INDEX(Interim_Coefficients,MATCH($C183,Interim_Countries,0),MATCH(G$12,Interim_type,0))),INDEX(Interim_CombinedCoefficients,MATCH($F183,Interim_CombinedTag,0),MATCH(G$12,Interim_CombinedType,0)))</f>
        <v>23.309971460536438</v>
      </c>
      <c r="H183" s="329">
        <f t="shared" si="38"/>
        <v>136.54200831083281</v>
      </c>
      <c r="I183" s="329">
        <f t="shared" si="38"/>
        <v>48.066711217553774</v>
      </c>
      <c r="J183" s="329">
        <f t="shared" si="38"/>
        <v>0.38963996426925313</v>
      </c>
      <c r="K183" s="329">
        <f t="shared" si="38"/>
        <v>136.54200831083281</v>
      </c>
      <c r="L183" s="329">
        <f t="shared" si="38"/>
        <v>48.066711217553774</v>
      </c>
      <c r="M183" s="329">
        <f t="shared" si="38"/>
        <v>386.36066988979189</v>
      </c>
      <c r="N183" s="329">
        <f t="shared" si="38"/>
        <v>3.0069383810950008</v>
      </c>
      <c r="O183" s="329">
        <f t="shared" si="38"/>
        <v>6.2955859660608509</v>
      </c>
      <c r="P183" s="329">
        <f t="shared" si="38"/>
        <v>4.9289279581529488</v>
      </c>
      <c r="Q183" s="329">
        <f t="shared" ref="Q183:AD192" si="39">IFERROR(IF(INDEX(Interim_Coefficients,MATCH($C183,Interim_Countries,0),MATCH(Q$12,Interim_type,0))="No value",INDEX(Interim_CombinedCoefficients,MATCH($F183,Interim_CombinedTag,0),MATCH(Q$12,Interim_CombinedType,0)),INDEX(Interim_Coefficients,MATCH($C183,Interim_Countries,0),MATCH(Q$12,Interim_type,0))),INDEX(Interim_CombinedCoefficients,MATCH($F183,Interim_CombinedTag,0),MATCH(Q$12,Interim_CombinedType,0)))</f>
        <v>124.01862912013361</v>
      </c>
      <c r="R183" s="329">
        <f t="shared" si="39"/>
        <v>3.0069383810950008</v>
      </c>
      <c r="S183" s="329">
        <f t="shared" si="39"/>
        <v>6.2955859660608509</v>
      </c>
      <c r="T183" s="329">
        <f t="shared" si="39"/>
        <v>4.9289279581529488</v>
      </c>
      <c r="U183" s="329">
        <f t="shared" si="39"/>
        <v>0</v>
      </c>
      <c r="V183" s="329">
        <f t="shared" si="39"/>
        <v>6.2955859660608509</v>
      </c>
      <c r="W183" s="329">
        <f t="shared" si="39"/>
        <v>4.9289279581529488</v>
      </c>
      <c r="X183" s="329">
        <f t="shared" si="39"/>
        <v>3.0069383810950008</v>
      </c>
      <c r="Y183" s="329">
        <f t="shared" si="39"/>
        <v>386.36066988979189</v>
      </c>
      <c r="Z183" s="329">
        <f t="shared" si="39"/>
        <v>0.38963996426925313</v>
      </c>
      <c r="AA183" s="329">
        <f t="shared" si="39"/>
        <v>0</v>
      </c>
      <c r="AB183" s="329">
        <f t="shared" si="39"/>
        <v>0</v>
      </c>
      <c r="AC183" s="329">
        <f t="shared" si="39"/>
        <v>48.066711217553774</v>
      </c>
      <c r="AD183" s="329">
        <f t="shared" si="39"/>
        <v>136.54200831083281</v>
      </c>
    </row>
    <row r="184" spans="3:30" ht="14.25" customHeight="1" x14ac:dyDescent="0.2">
      <c r="C184" s="8" t="str">
        <v>Singapore</v>
      </c>
      <c r="D184" s="8" t="str">
        <v>East Asia &amp; Pacific</v>
      </c>
      <c r="E184" s="13" t="s">
        <v>579</v>
      </c>
      <c r="F184" s="124" t="str">
        <f t="shared" si="29"/>
        <v>East Asia &amp; Pacific_High income</v>
      </c>
      <c r="G184" s="329">
        <f t="shared" si="38"/>
        <v>44.443145199894367</v>
      </c>
      <c r="H184" s="329">
        <f t="shared" si="38"/>
        <v>183.8442475693883</v>
      </c>
      <c r="I184" s="329">
        <f t="shared" si="38"/>
        <v>105.92574003437052</v>
      </c>
      <c r="J184" s="329">
        <f t="shared" si="38"/>
        <v>0.74702806793375442</v>
      </c>
      <c r="K184" s="329">
        <f t="shared" si="38"/>
        <v>183.8442475693883</v>
      </c>
      <c r="L184" s="329">
        <f t="shared" si="38"/>
        <v>105.92574003437052</v>
      </c>
      <c r="M184" s="329">
        <f t="shared" si="38"/>
        <v>369.66231455327676</v>
      </c>
      <c r="N184" s="329">
        <f t="shared" si="38"/>
        <v>87.076870251981461</v>
      </c>
      <c r="O184" s="329">
        <f t="shared" si="38"/>
        <v>2.6357425797782517</v>
      </c>
      <c r="P184" s="329">
        <f t="shared" si="38"/>
        <v>4.9289279581529488</v>
      </c>
      <c r="Q184" s="329">
        <f t="shared" si="39"/>
        <v>113.50732455327682</v>
      </c>
      <c r="R184" s="329">
        <f t="shared" si="39"/>
        <v>87.076870251981461</v>
      </c>
      <c r="S184" s="329">
        <f t="shared" si="39"/>
        <v>2.6357425797782517</v>
      </c>
      <c r="T184" s="329">
        <f t="shared" si="39"/>
        <v>4.9289279581529488</v>
      </c>
      <c r="U184" s="329">
        <f t="shared" si="39"/>
        <v>0</v>
      </c>
      <c r="V184" s="329">
        <f t="shared" si="39"/>
        <v>2.6357425797782517</v>
      </c>
      <c r="W184" s="329">
        <f t="shared" si="39"/>
        <v>4.9289279581529488</v>
      </c>
      <c r="X184" s="329">
        <f t="shared" si="39"/>
        <v>87.076870251981461</v>
      </c>
      <c r="Y184" s="329">
        <f t="shared" si="39"/>
        <v>369.66231455327676</v>
      </c>
      <c r="Z184" s="329">
        <f t="shared" si="39"/>
        <v>0.74702806793375442</v>
      </c>
      <c r="AA184" s="329">
        <f t="shared" si="39"/>
        <v>0</v>
      </c>
      <c r="AB184" s="329">
        <f t="shared" si="39"/>
        <v>0</v>
      </c>
      <c r="AC184" s="329">
        <f t="shared" si="39"/>
        <v>105.92574003437052</v>
      </c>
      <c r="AD184" s="329">
        <f t="shared" si="39"/>
        <v>183.8442475693883</v>
      </c>
    </row>
    <row r="185" spans="3:30" ht="14.25" customHeight="1" x14ac:dyDescent="0.2">
      <c r="C185" s="8" t="str">
        <v>Sint Maarten (Dutch part)</v>
      </c>
      <c r="D185" s="8" t="str">
        <v>Latin America &amp; Caribbean</v>
      </c>
      <c r="E185" s="13" t="s">
        <v>579</v>
      </c>
      <c r="F185" s="124" t="str">
        <f t="shared" si="29"/>
        <v>Latin America &amp; Caribbean_High income</v>
      </c>
      <c r="G185" s="329">
        <f t="shared" si="38"/>
        <v>20.148173869272608</v>
      </c>
      <c r="H185" s="329">
        <f t="shared" si="38"/>
        <v>152.33868437748353</v>
      </c>
      <c r="I185" s="329">
        <f t="shared" si="38"/>
        <v>3.0416344571758089</v>
      </c>
      <c r="J185" s="329">
        <f t="shared" si="38"/>
        <v>0.33569845745632426</v>
      </c>
      <c r="K185" s="329">
        <f t="shared" si="38"/>
        <v>152.33868437748353</v>
      </c>
      <c r="L185" s="329">
        <f t="shared" si="38"/>
        <v>3.0416344571758089</v>
      </c>
      <c r="M185" s="329">
        <f t="shared" si="38"/>
        <v>385.49779249232023</v>
      </c>
      <c r="N185" s="329">
        <f t="shared" si="38"/>
        <v>1.7137512604923126</v>
      </c>
      <c r="O185" s="329">
        <f t="shared" si="38"/>
        <v>4.1115263115021587</v>
      </c>
      <c r="P185" s="329">
        <f t="shared" si="38"/>
        <v>4.9289279581529488</v>
      </c>
      <c r="Q185" s="329">
        <f t="shared" si="39"/>
        <v>129.34280249232026</v>
      </c>
      <c r="R185" s="329">
        <f t="shared" si="39"/>
        <v>1.7137512604923126</v>
      </c>
      <c r="S185" s="329">
        <f t="shared" si="39"/>
        <v>4.1115263115021587</v>
      </c>
      <c r="T185" s="329">
        <f t="shared" si="39"/>
        <v>4.9289279581529488</v>
      </c>
      <c r="U185" s="329">
        <f t="shared" si="39"/>
        <v>0</v>
      </c>
      <c r="V185" s="329">
        <f t="shared" si="39"/>
        <v>4.1115263115021587</v>
      </c>
      <c r="W185" s="329">
        <f t="shared" si="39"/>
        <v>4.9289279581529488</v>
      </c>
      <c r="X185" s="329">
        <f t="shared" si="39"/>
        <v>1.7137512604923126</v>
      </c>
      <c r="Y185" s="329">
        <f t="shared" si="39"/>
        <v>385.49779249232023</v>
      </c>
      <c r="Z185" s="329">
        <f t="shared" si="39"/>
        <v>0.33569845745632426</v>
      </c>
      <c r="AA185" s="329">
        <f t="shared" si="39"/>
        <v>0</v>
      </c>
      <c r="AB185" s="329">
        <f t="shared" si="39"/>
        <v>0</v>
      </c>
      <c r="AC185" s="329">
        <f t="shared" si="39"/>
        <v>3.0416344571758089</v>
      </c>
      <c r="AD185" s="329">
        <f t="shared" si="39"/>
        <v>152.33868437748353</v>
      </c>
    </row>
    <row r="186" spans="3:30" ht="14.25" customHeight="1" x14ac:dyDescent="0.2">
      <c r="C186" s="8" t="str">
        <v>Slovak Republic</v>
      </c>
      <c r="D186" s="8" t="str">
        <v>Europe &amp; Central Asia</v>
      </c>
      <c r="E186" s="13" t="s">
        <v>579</v>
      </c>
      <c r="F186" s="124" t="str">
        <f t="shared" si="29"/>
        <v>Europe &amp; Central Asia_High income</v>
      </c>
      <c r="G186" s="329">
        <f t="shared" si="38"/>
        <v>58.34630912968764</v>
      </c>
      <c r="H186" s="329">
        <f t="shared" si="38"/>
        <v>187.00281170809052</v>
      </c>
      <c r="I186" s="329">
        <f t="shared" si="38"/>
        <v>16.013553888486882</v>
      </c>
      <c r="J186" s="329">
        <f t="shared" si="38"/>
        <v>0.96440180379648999</v>
      </c>
      <c r="K186" s="329">
        <f t="shared" si="38"/>
        <v>187.00281170809052</v>
      </c>
      <c r="L186" s="329">
        <f t="shared" si="38"/>
        <v>16.013553888486882</v>
      </c>
      <c r="M186" s="329">
        <f t="shared" si="38"/>
        <v>386.62325293222551</v>
      </c>
      <c r="N186" s="329">
        <f t="shared" si="38"/>
        <v>13.90158891486524</v>
      </c>
      <c r="O186" s="329">
        <f t="shared" si="38"/>
        <v>4.1090074244657684</v>
      </c>
      <c r="P186" s="329">
        <f t="shared" si="38"/>
        <v>4.9289279581529488</v>
      </c>
      <c r="Q186" s="329">
        <f t="shared" si="39"/>
        <v>112.71797529977449</v>
      </c>
      <c r="R186" s="329">
        <f t="shared" si="39"/>
        <v>13.90158891486524</v>
      </c>
      <c r="S186" s="329">
        <f t="shared" si="39"/>
        <v>4.1090074244657684</v>
      </c>
      <c r="T186" s="329">
        <f t="shared" si="39"/>
        <v>4.9289279581529488</v>
      </c>
      <c r="U186" s="329">
        <f t="shared" si="39"/>
        <v>0</v>
      </c>
      <c r="V186" s="329">
        <f t="shared" si="39"/>
        <v>4.1090074244657684</v>
      </c>
      <c r="W186" s="329">
        <f t="shared" si="39"/>
        <v>4.9289279581529488</v>
      </c>
      <c r="X186" s="329">
        <f t="shared" si="39"/>
        <v>13.90158891486524</v>
      </c>
      <c r="Y186" s="329">
        <f t="shared" si="39"/>
        <v>386.62325293222551</v>
      </c>
      <c r="Z186" s="329">
        <f t="shared" si="39"/>
        <v>0.96440180379648999</v>
      </c>
      <c r="AA186" s="329">
        <f t="shared" si="39"/>
        <v>0</v>
      </c>
      <c r="AB186" s="329">
        <f t="shared" si="39"/>
        <v>0</v>
      </c>
      <c r="AC186" s="329">
        <f t="shared" si="39"/>
        <v>16.013553888486882</v>
      </c>
      <c r="AD186" s="329">
        <f t="shared" si="39"/>
        <v>187.00281170809052</v>
      </c>
    </row>
    <row r="187" spans="3:30" ht="14.25" customHeight="1" x14ac:dyDescent="0.2">
      <c r="C187" s="8" t="str">
        <v>Slovenia</v>
      </c>
      <c r="D187" s="8" t="str">
        <v>Europe &amp; Central Asia</v>
      </c>
      <c r="E187" s="13" t="s">
        <v>579</v>
      </c>
      <c r="F187" s="124" t="str">
        <f t="shared" si="29"/>
        <v>Europe &amp; Central Asia_High income</v>
      </c>
      <c r="G187" s="329">
        <f t="shared" si="38"/>
        <v>59.708622592170997</v>
      </c>
      <c r="H187" s="329">
        <f t="shared" si="38"/>
        <v>187.00281170809052</v>
      </c>
      <c r="I187" s="329">
        <f t="shared" si="38"/>
        <v>23.374240488304864</v>
      </c>
      <c r="J187" s="329">
        <f t="shared" si="38"/>
        <v>0.98749804448839218</v>
      </c>
      <c r="K187" s="329">
        <f t="shared" si="38"/>
        <v>187.00281170809052</v>
      </c>
      <c r="L187" s="329">
        <f t="shared" si="38"/>
        <v>23.374240488304864</v>
      </c>
      <c r="M187" s="329">
        <f t="shared" si="38"/>
        <v>385.79728878519785</v>
      </c>
      <c r="N187" s="329">
        <f t="shared" si="38"/>
        <v>13.166849419261997</v>
      </c>
      <c r="O187" s="329">
        <f t="shared" si="38"/>
        <v>3.5597502597154032</v>
      </c>
      <c r="P187" s="329">
        <f t="shared" si="38"/>
        <v>4.9289279581529488</v>
      </c>
      <c r="Q187" s="329">
        <f t="shared" si="39"/>
        <v>97.198298134802158</v>
      </c>
      <c r="R187" s="329">
        <f t="shared" si="39"/>
        <v>13.166849419261997</v>
      </c>
      <c r="S187" s="329">
        <f t="shared" si="39"/>
        <v>3.5597502597154032</v>
      </c>
      <c r="T187" s="329">
        <f t="shared" si="39"/>
        <v>4.9289279581529488</v>
      </c>
      <c r="U187" s="329">
        <f t="shared" si="39"/>
        <v>0</v>
      </c>
      <c r="V187" s="329">
        <f t="shared" si="39"/>
        <v>3.5597502597154032</v>
      </c>
      <c r="W187" s="329">
        <f t="shared" si="39"/>
        <v>4.9289279581529488</v>
      </c>
      <c r="X187" s="329">
        <f t="shared" si="39"/>
        <v>13.166849419261997</v>
      </c>
      <c r="Y187" s="329">
        <f t="shared" si="39"/>
        <v>385.79728878519785</v>
      </c>
      <c r="Z187" s="329">
        <f t="shared" si="39"/>
        <v>0.98749804448839218</v>
      </c>
      <c r="AA187" s="329">
        <f t="shared" si="39"/>
        <v>0</v>
      </c>
      <c r="AB187" s="329">
        <f t="shared" si="39"/>
        <v>0</v>
      </c>
      <c r="AC187" s="329">
        <f t="shared" si="39"/>
        <v>23.374240488304864</v>
      </c>
      <c r="AD187" s="329">
        <f t="shared" si="39"/>
        <v>187.00281170809052</v>
      </c>
    </row>
    <row r="188" spans="3:30" ht="14.25" customHeight="1" x14ac:dyDescent="0.2">
      <c r="C188" s="8" t="str">
        <v>Solomon Islands</v>
      </c>
      <c r="D188" s="8" t="str">
        <v>East Asia &amp; Pacific</v>
      </c>
      <c r="E188" s="13" t="s">
        <v>580</v>
      </c>
      <c r="F188" s="124" t="str">
        <f t="shared" si="29"/>
        <v>East Asia &amp; Pacific_Lower middle income</v>
      </c>
      <c r="G188" s="329">
        <f t="shared" si="38"/>
        <v>21.040892851983276</v>
      </c>
      <c r="H188" s="329">
        <f t="shared" si="38"/>
        <v>185.01256757493803</v>
      </c>
      <c r="I188" s="329">
        <f t="shared" si="38"/>
        <v>304.6771769642977</v>
      </c>
      <c r="J188" s="329">
        <f t="shared" si="38"/>
        <v>0.34423100460524525</v>
      </c>
      <c r="K188" s="329">
        <f t="shared" si="38"/>
        <v>185.01256757493803</v>
      </c>
      <c r="L188" s="329">
        <f t="shared" si="38"/>
        <v>304.6771769642977</v>
      </c>
      <c r="M188" s="329">
        <f t="shared" si="38"/>
        <v>376.62670320349753</v>
      </c>
      <c r="N188" s="329">
        <f t="shared" si="38"/>
        <v>23.80079428655403</v>
      </c>
      <c r="O188" s="329">
        <f t="shared" si="38"/>
        <v>4.2989077809646146</v>
      </c>
      <c r="P188" s="329">
        <f t="shared" si="38"/>
        <v>4.9289279581529488</v>
      </c>
      <c r="Q188" s="329">
        <f t="shared" si="39"/>
        <v>120.47171320349753</v>
      </c>
      <c r="R188" s="329">
        <f t="shared" si="39"/>
        <v>23.80079428655403</v>
      </c>
      <c r="S188" s="329">
        <f t="shared" si="39"/>
        <v>4.2989077809646146</v>
      </c>
      <c r="T188" s="329">
        <f t="shared" si="39"/>
        <v>4.9289279581529488</v>
      </c>
      <c r="U188" s="329">
        <f t="shared" si="39"/>
        <v>21.040892851983276</v>
      </c>
      <c r="V188" s="329">
        <f t="shared" si="39"/>
        <v>0</v>
      </c>
      <c r="W188" s="329">
        <f t="shared" si="39"/>
        <v>0</v>
      </c>
      <c r="X188" s="329">
        <f t="shared" si="39"/>
        <v>304.6771769642977</v>
      </c>
      <c r="Y188" s="329">
        <f t="shared" si="39"/>
        <v>185.01256757493803</v>
      </c>
      <c r="Z188" s="329">
        <f t="shared" si="39"/>
        <v>0.34423100460524525</v>
      </c>
      <c r="AA188" s="329">
        <f t="shared" si="39"/>
        <v>0</v>
      </c>
      <c r="AB188" s="329">
        <f t="shared" si="39"/>
        <v>0</v>
      </c>
      <c r="AC188" s="329">
        <f t="shared" si="39"/>
        <v>304.6771769642977</v>
      </c>
      <c r="AD188" s="329">
        <f t="shared" si="39"/>
        <v>185.01256757493803</v>
      </c>
    </row>
    <row r="189" spans="3:30" ht="14.25" customHeight="1" x14ac:dyDescent="0.2">
      <c r="C189" s="8" t="str">
        <v>Somalia</v>
      </c>
      <c r="D189" s="8" t="str">
        <v>Sub-Saharan Africa</v>
      </c>
      <c r="E189" s="13" t="s">
        <v>586</v>
      </c>
      <c r="F189" s="124" t="str">
        <f t="shared" si="29"/>
        <v>Sub-Saharan Africa_Low income</v>
      </c>
      <c r="G189" s="329">
        <f t="shared" si="38"/>
        <v>23.309971460536438</v>
      </c>
      <c r="H189" s="329">
        <f t="shared" si="38"/>
        <v>136.54200831083281</v>
      </c>
      <c r="I189" s="329">
        <f t="shared" si="38"/>
        <v>48.066711217553774</v>
      </c>
      <c r="J189" s="329">
        <f t="shared" si="38"/>
        <v>0.38963996426925313</v>
      </c>
      <c r="K189" s="329">
        <f t="shared" si="38"/>
        <v>136.54200831083281</v>
      </c>
      <c r="L189" s="329">
        <f t="shared" si="38"/>
        <v>48.066711217553774</v>
      </c>
      <c r="M189" s="329">
        <f t="shared" si="38"/>
        <v>386.36066988979189</v>
      </c>
      <c r="N189" s="329">
        <f t="shared" si="38"/>
        <v>3.0069383810950008</v>
      </c>
      <c r="O189" s="329">
        <f t="shared" si="38"/>
        <v>6.2955859660608509</v>
      </c>
      <c r="P189" s="329">
        <f t="shared" si="38"/>
        <v>4.9289279581529488</v>
      </c>
      <c r="Q189" s="329">
        <f t="shared" si="39"/>
        <v>124.01862912013361</v>
      </c>
      <c r="R189" s="329">
        <f t="shared" si="39"/>
        <v>3.0069383810950008</v>
      </c>
      <c r="S189" s="329">
        <f t="shared" si="39"/>
        <v>6.2955859660608509</v>
      </c>
      <c r="T189" s="329">
        <f t="shared" si="39"/>
        <v>4.9289279581529488</v>
      </c>
      <c r="U189" s="329">
        <f t="shared" si="39"/>
        <v>0</v>
      </c>
      <c r="V189" s="329">
        <f t="shared" si="39"/>
        <v>6.2955859660608509</v>
      </c>
      <c r="W189" s="329">
        <f t="shared" si="39"/>
        <v>4.9289279581529488</v>
      </c>
      <c r="X189" s="329">
        <f t="shared" si="39"/>
        <v>3.0069383810950008</v>
      </c>
      <c r="Y189" s="329">
        <f t="shared" si="39"/>
        <v>386.36066988979189</v>
      </c>
      <c r="Z189" s="329">
        <f t="shared" si="39"/>
        <v>0.38963996426925313</v>
      </c>
      <c r="AA189" s="329">
        <f t="shared" si="39"/>
        <v>0</v>
      </c>
      <c r="AB189" s="329">
        <f t="shared" si="39"/>
        <v>0</v>
      </c>
      <c r="AC189" s="329">
        <f t="shared" si="39"/>
        <v>48.066711217553774</v>
      </c>
      <c r="AD189" s="329">
        <f t="shared" si="39"/>
        <v>136.54200831083281</v>
      </c>
    </row>
    <row r="190" spans="3:30" ht="14.25" customHeight="1" x14ac:dyDescent="0.2">
      <c r="C190" s="8" t="str">
        <v>South Africa</v>
      </c>
      <c r="D190" s="8" t="str">
        <v>Sub-Saharan Africa</v>
      </c>
      <c r="E190" s="13" t="s">
        <v>578</v>
      </c>
      <c r="F190" s="124" t="str">
        <f t="shared" si="29"/>
        <v>Sub-Saharan Africa_Upper middle income</v>
      </c>
      <c r="G190" s="329">
        <f t="shared" si="38"/>
        <v>13.003394784486517</v>
      </c>
      <c r="H190" s="329">
        <f t="shared" si="38"/>
        <v>183.05003240919942</v>
      </c>
      <c r="I190" s="329">
        <f t="shared" si="38"/>
        <v>12.013668856108724</v>
      </c>
      <c r="J190" s="329">
        <f t="shared" si="38"/>
        <v>0.21915833906437948</v>
      </c>
      <c r="K190" s="329">
        <f t="shared" si="38"/>
        <v>183.05003240919942</v>
      </c>
      <c r="L190" s="329">
        <f t="shared" si="38"/>
        <v>12.013668856108724</v>
      </c>
      <c r="M190" s="329">
        <f t="shared" si="38"/>
        <v>387.80522999999999</v>
      </c>
      <c r="N190" s="329">
        <f t="shared" si="38"/>
        <v>0</v>
      </c>
      <c r="O190" s="329">
        <f t="shared" si="38"/>
        <v>1.2453290924994873</v>
      </c>
      <c r="P190" s="329">
        <f t="shared" si="38"/>
        <v>4.9289279581529488</v>
      </c>
      <c r="Q190" s="329">
        <f t="shared" si="39"/>
        <v>131.65024000000003</v>
      </c>
      <c r="R190" s="329">
        <f t="shared" si="39"/>
        <v>0</v>
      </c>
      <c r="S190" s="329">
        <f t="shared" si="39"/>
        <v>1.2453290924994873</v>
      </c>
      <c r="T190" s="329">
        <f t="shared" si="39"/>
        <v>4.9289279581529488</v>
      </c>
      <c r="U190" s="329">
        <f t="shared" si="39"/>
        <v>0</v>
      </c>
      <c r="V190" s="329">
        <f t="shared" si="39"/>
        <v>1.2453290924994873</v>
      </c>
      <c r="W190" s="329">
        <f t="shared" si="39"/>
        <v>4.9289279581529488</v>
      </c>
      <c r="X190" s="329">
        <f t="shared" si="39"/>
        <v>0</v>
      </c>
      <c r="Y190" s="329">
        <f t="shared" si="39"/>
        <v>387.80522999999999</v>
      </c>
      <c r="Z190" s="329">
        <f t="shared" si="39"/>
        <v>0.21915833906437948</v>
      </c>
      <c r="AA190" s="329">
        <f t="shared" si="39"/>
        <v>0</v>
      </c>
      <c r="AB190" s="329">
        <f t="shared" si="39"/>
        <v>0</v>
      </c>
      <c r="AC190" s="329">
        <f t="shared" si="39"/>
        <v>12.013668856108724</v>
      </c>
      <c r="AD190" s="329">
        <f t="shared" si="39"/>
        <v>183.05003240919942</v>
      </c>
    </row>
    <row r="191" spans="3:30" ht="14.25" customHeight="1" x14ac:dyDescent="0.2">
      <c r="C191" s="8" t="str">
        <v>South Sudan</v>
      </c>
      <c r="D191" s="8" t="str">
        <v>Sub-Saharan Africa</v>
      </c>
      <c r="E191" s="13" t="s">
        <v>586</v>
      </c>
      <c r="F191" s="124" t="str">
        <f t="shared" si="29"/>
        <v>Sub-Saharan Africa_Low income</v>
      </c>
      <c r="G191" s="329">
        <f t="shared" si="38"/>
        <v>23.309971460536438</v>
      </c>
      <c r="H191" s="329">
        <f t="shared" si="38"/>
        <v>136.54200831083281</v>
      </c>
      <c r="I191" s="329">
        <f t="shared" si="38"/>
        <v>48.066711217553774</v>
      </c>
      <c r="J191" s="329">
        <f t="shared" si="38"/>
        <v>0.38963996426925313</v>
      </c>
      <c r="K191" s="329">
        <f t="shared" si="38"/>
        <v>136.54200831083281</v>
      </c>
      <c r="L191" s="329">
        <f t="shared" si="38"/>
        <v>48.066711217553774</v>
      </c>
      <c r="M191" s="329">
        <f t="shared" si="38"/>
        <v>386.36066988979189</v>
      </c>
      <c r="N191" s="329">
        <f t="shared" si="38"/>
        <v>3.0069383810950008</v>
      </c>
      <c r="O191" s="329">
        <f t="shared" si="38"/>
        <v>6.2955859660608509</v>
      </c>
      <c r="P191" s="329">
        <f t="shared" si="38"/>
        <v>4.9289279581529488</v>
      </c>
      <c r="Q191" s="329">
        <f t="shared" si="39"/>
        <v>124.01862912013361</v>
      </c>
      <c r="R191" s="329">
        <f t="shared" si="39"/>
        <v>3.0069383810950008</v>
      </c>
      <c r="S191" s="329">
        <f t="shared" si="39"/>
        <v>6.2955859660608509</v>
      </c>
      <c r="T191" s="329">
        <f t="shared" si="39"/>
        <v>4.9289279581529488</v>
      </c>
      <c r="U191" s="329">
        <f t="shared" si="39"/>
        <v>0</v>
      </c>
      <c r="V191" s="329">
        <f t="shared" si="39"/>
        <v>6.2955859660608509</v>
      </c>
      <c r="W191" s="329">
        <f t="shared" si="39"/>
        <v>4.9289279581529488</v>
      </c>
      <c r="X191" s="329">
        <f t="shared" si="39"/>
        <v>3.0069383810950008</v>
      </c>
      <c r="Y191" s="329">
        <f t="shared" si="39"/>
        <v>386.36066988979189</v>
      </c>
      <c r="Z191" s="329">
        <f t="shared" si="39"/>
        <v>0.38963996426925313</v>
      </c>
      <c r="AA191" s="329">
        <f t="shared" si="39"/>
        <v>0</v>
      </c>
      <c r="AB191" s="329">
        <f t="shared" si="39"/>
        <v>0</v>
      </c>
      <c r="AC191" s="329">
        <f t="shared" si="39"/>
        <v>48.066711217553774</v>
      </c>
      <c r="AD191" s="329">
        <f t="shared" si="39"/>
        <v>136.54200831083281</v>
      </c>
    </row>
    <row r="192" spans="3:30" ht="14.25" customHeight="1" x14ac:dyDescent="0.2">
      <c r="C192" s="8" t="str">
        <v>Spain</v>
      </c>
      <c r="D192" s="8" t="str">
        <v>Europe &amp; Central Asia</v>
      </c>
      <c r="E192" s="13" t="s">
        <v>579</v>
      </c>
      <c r="F192" s="124" t="str">
        <f t="shared" si="29"/>
        <v>Europe &amp; Central Asia_High income</v>
      </c>
      <c r="G192" s="329">
        <f t="shared" si="38"/>
        <v>33.615735855079201</v>
      </c>
      <c r="H192" s="329">
        <f t="shared" si="38"/>
        <v>183.05003240919942</v>
      </c>
      <c r="I192" s="329">
        <f t="shared" si="38"/>
        <v>17.183373984384097</v>
      </c>
      <c r="J192" s="329">
        <f t="shared" si="38"/>
        <v>0.56603816388277695</v>
      </c>
      <c r="K192" s="329">
        <f t="shared" si="38"/>
        <v>183.05003240919942</v>
      </c>
      <c r="L192" s="329">
        <f t="shared" si="38"/>
        <v>17.183373984384097</v>
      </c>
      <c r="M192" s="329">
        <f t="shared" si="38"/>
        <v>387.79769832631365</v>
      </c>
      <c r="N192" s="329">
        <f t="shared" si="38"/>
        <v>11.836904568894804</v>
      </c>
      <c r="O192" s="329">
        <f t="shared" si="38"/>
        <v>4.4120724042468185</v>
      </c>
      <c r="P192" s="329">
        <f t="shared" si="38"/>
        <v>4.9289279581529488</v>
      </c>
      <c r="Q192" s="329">
        <f t="shared" si="39"/>
        <v>100.82204235368638</v>
      </c>
      <c r="R192" s="329">
        <f t="shared" si="39"/>
        <v>11.836904568894804</v>
      </c>
      <c r="S192" s="329">
        <f t="shared" si="39"/>
        <v>4.4120724042468185</v>
      </c>
      <c r="T192" s="329">
        <f t="shared" si="39"/>
        <v>4.9289279581529488</v>
      </c>
      <c r="U192" s="329">
        <f t="shared" si="39"/>
        <v>0</v>
      </c>
      <c r="V192" s="329">
        <f t="shared" si="39"/>
        <v>4.4120724042468185</v>
      </c>
      <c r="W192" s="329">
        <f t="shared" si="39"/>
        <v>4.9289279581529488</v>
      </c>
      <c r="X192" s="329">
        <f t="shared" si="39"/>
        <v>11.836904568894804</v>
      </c>
      <c r="Y192" s="329">
        <f t="shared" si="39"/>
        <v>387.79769832631365</v>
      </c>
      <c r="Z192" s="329">
        <f t="shared" si="39"/>
        <v>0.56603816388277695</v>
      </c>
      <c r="AA192" s="329">
        <f t="shared" si="39"/>
        <v>0</v>
      </c>
      <c r="AB192" s="329">
        <f t="shared" si="39"/>
        <v>0</v>
      </c>
      <c r="AC192" s="329">
        <f t="shared" si="39"/>
        <v>17.183373984384097</v>
      </c>
      <c r="AD192" s="329">
        <f t="shared" si="39"/>
        <v>183.05003240919942</v>
      </c>
    </row>
    <row r="193" spans="3:30" ht="14.25" customHeight="1" x14ac:dyDescent="0.2">
      <c r="C193" s="8" t="str">
        <v>Sri Lanka</v>
      </c>
      <c r="D193" s="8" t="str">
        <v>South Asia</v>
      </c>
      <c r="E193" s="13" t="s">
        <v>580</v>
      </c>
      <c r="F193" s="124" t="str">
        <f t="shared" si="29"/>
        <v>South Asia_Lower middle income</v>
      </c>
      <c r="G193" s="329">
        <f t="shared" ref="G193:P202" si="40">IFERROR(IF(INDEX(Interim_Coefficients,MATCH($C193,Interim_Countries,0),MATCH(G$12,Interim_type,0))="No value",INDEX(Interim_CombinedCoefficients,MATCH($F193,Interim_CombinedTag,0),MATCH(G$12,Interim_CombinedType,0)),INDEX(Interim_Coefficients,MATCH($C193,Interim_Countries,0),MATCH(G$12,Interim_type,0))),INDEX(Interim_CombinedCoefficients,MATCH($F193,Interim_CombinedTag,0),MATCH(G$12,Interim_CombinedType,0)))</f>
        <v>26.175178853951994</v>
      </c>
      <c r="H193" s="329">
        <f t="shared" si="40"/>
        <v>183.05003240919942</v>
      </c>
      <c r="I193" s="329">
        <f t="shared" si="40"/>
        <v>21.019049669050236</v>
      </c>
      <c r="J193" s="329">
        <f t="shared" si="40"/>
        <v>0.44115469978570776</v>
      </c>
      <c r="K193" s="329">
        <f t="shared" si="40"/>
        <v>183.05003240919942</v>
      </c>
      <c r="L193" s="329">
        <f t="shared" si="40"/>
        <v>21.019049669050236</v>
      </c>
      <c r="M193" s="329">
        <f t="shared" si="40"/>
        <v>387.80522999999999</v>
      </c>
      <c r="N193" s="329">
        <f t="shared" si="40"/>
        <v>0</v>
      </c>
      <c r="O193" s="329">
        <f t="shared" si="40"/>
        <v>4.7252089410643077</v>
      </c>
      <c r="P193" s="329">
        <f t="shared" si="40"/>
        <v>4.9289279581529488</v>
      </c>
      <c r="Q193" s="329">
        <f t="shared" ref="Q193:AD202" si="41">IFERROR(IF(INDEX(Interim_Coefficients,MATCH($C193,Interim_Countries,0),MATCH(Q$12,Interim_type,0))="No value",INDEX(Interim_CombinedCoefficients,MATCH($F193,Interim_CombinedTag,0),MATCH(Q$12,Interim_CombinedType,0)),INDEX(Interim_Coefficients,MATCH($C193,Interim_Countries,0),MATCH(Q$12,Interim_type,0))),INDEX(Interim_CombinedCoefficients,MATCH($F193,Interim_CombinedTag,0),MATCH(Q$12,Interim_CombinedType,0)))</f>
        <v>131.65024000000003</v>
      </c>
      <c r="R193" s="329">
        <f t="shared" si="41"/>
        <v>0</v>
      </c>
      <c r="S193" s="329">
        <f t="shared" si="41"/>
        <v>4.7252089410643077</v>
      </c>
      <c r="T193" s="329">
        <f t="shared" si="41"/>
        <v>4.9289279581529488</v>
      </c>
      <c r="U193" s="329">
        <f t="shared" si="41"/>
        <v>0</v>
      </c>
      <c r="V193" s="329">
        <f t="shared" si="41"/>
        <v>4.7252089410643077</v>
      </c>
      <c r="W193" s="329">
        <f t="shared" si="41"/>
        <v>4.9289279581529488</v>
      </c>
      <c r="X193" s="329">
        <f t="shared" si="41"/>
        <v>0</v>
      </c>
      <c r="Y193" s="329">
        <f t="shared" si="41"/>
        <v>387.80522999999999</v>
      </c>
      <c r="Z193" s="329">
        <f t="shared" si="41"/>
        <v>0.44115469978570776</v>
      </c>
      <c r="AA193" s="329">
        <f t="shared" si="41"/>
        <v>0</v>
      </c>
      <c r="AB193" s="329">
        <f t="shared" si="41"/>
        <v>0</v>
      </c>
      <c r="AC193" s="329">
        <f t="shared" si="41"/>
        <v>21.019049669050236</v>
      </c>
      <c r="AD193" s="329">
        <f t="shared" si="41"/>
        <v>183.05003240919942</v>
      </c>
    </row>
    <row r="194" spans="3:30" ht="14.25" customHeight="1" x14ac:dyDescent="0.2">
      <c r="C194" s="8" t="str">
        <v>St. Kitts and Nevis</v>
      </c>
      <c r="D194" s="8" t="str">
        <v>Latin America &amp; Caribbean</v>
      </c>
      <c r="E194" s="13" t="s">
        <v>579</v>
      </c>
      <c r="F194" s="124" t="str">
        <f t="shared" si="29"/>
        <v>Latin America &amp; Caribbean_High income</v>
      </c>
      <c r="G194" s="329">
        <f t="shared" si="40"/>
        <v>20.148173869272608</v>
      </c>
      <c r="H194" s="329">
        <f t="shared" si="40"/>
        <v>152.33868437748353</v>
      </c>
      <c r="I194" s="329">
        <f t="shared" si="40"/>
        <v>3.0416344571758089</v>
      </c>
      <c r="J194" s="329">
        <f t="shared" si="40"/>
        <v>0.33569845745632426</v>
      </c>
      <c r="K194" s="329">
        <f t="shared" si="40"/>
        <v>152.33868437748353</v>
      </c>
      <c r="L194" s="329">
        <f t="shared" si="40"/>
        <v>3.0416344571758089</v>
      </c>
      <c r="M194" s="329">
        <f t="shared" si="40"/>
        <v>385.49779249232023</v>
      </c>
      <c r="N194" s="329">
        <f t="shared" si="40"/>
        <v>1.7137512604923126</v>
      </c>
      <c r="O194" s="329">
        <f t="shared" si="40"/>
        <v>4.1115263115021587</v>
      </c>
      <c r="P194" s="329">
        <f t="shared" si="40"/>
        <v>4.9289279581529488</v>
      </c>
      <c r="Q194" s="329">
        <f t="shared" si="41"/>
        <v>129.34280249232026</v>
      </c>
      <c r="R194" s="329">
        <f t="shared" si="41"/>
        <v>1.7137512604923126</v>
      </c>
      <c r="S194" s="329">
        <f t="shared" si="41"/>
        <v>4.1115263115021587</v>
      </c>
      <c r="T194" s="329">
        <f t="shared" si="41"/>
        <v>4.9289279581529488</v>
      </c>
      <c r="U194" s="329">
        <f t="shared" si="41"/>
        <v>0</v>
      </c>
      <c r="V194" s="329">
        <f t="shared" si="41"/>
        <v>4.1115263115021587</v>
      </c>
      <c r="W194" s="329">
        <f t="shared" si="41"/>
        <v>4.9289279581529488</v>
      </c>
      <c r="X194" s="329">
        <f t="shared" si="41"/>
        <v>1.7137512604923126</v>
      </c>
      <c r="Y194" s="329">
        <f t="shared" si="41"/>
        <v>385.49779249232023</v>
      </c>
      <c r="Z194" s="329">
        <f t="shared" si="41"/>
        <v>0.33569845745632426</v>
      </c>
      <c r="AA194" s="329">
        <f t="shared" si="41"/>
        <v>0</v>
      </c>
      <c r="AB194" s="329">
        <f t="shared" si="41"/>
        <v>0</v>
      </c>
      <c r="AC194" s="329">
        <f t="shared" si="41"/>
        <v>3.0416344571758089</v>
      </c>
      <c r="AD194" s="329">
        <f t="shared" si="41"/>
        <v>152.33868437748353</v>
      </c>
    </row>
    <row r="195" spans="3:30" ht="14.25" customHeight="1" x14ac:dyDescent="0.2">
      <c r="C195" s="8" t="str">
        <v>St. Lucia</v>
      </c>
      <c r="D195" s="8" t="str">
        <v>Latin America &amp; Caribbean</v>
      </c>
      <c r="E195" s="13" t="s">
        <v>578</v>
      </c>
      <c r="F195" s="124" t="str">
        <f t="shared" si="29"/>
        <v>Latin America &amp; Caribbean_Upper middle income</v>
      </c>
      <c r="G195" s="329">
        <f t="shared" si="40"/>
        <v>22.111961568366297</v>
      </c>
      <c r="H195" s="329">
        <f t="shared" si="40"/>
        <v>112.53582479053843</v>
      </c>
      <c r="I195" s="329">
        <f t="shared" si="40"/>
        <v>6.830402213100033</v>
      </c>
      <c r="J195" s="329">
        <f t="shared" si="40"/>
        <v>0.36505142784704681</v>
      </c>
      <c r="K195" s="329">
        <f t="shared" si="40"/>
        <v>112.53582479053843</v>
      </c>
      <c r="L195" s="329">
        <f t="shared" si="40"/>
        <v>6.830402213100033</v>
      </c>
      <c r="M195" s="329">
        <f t="shared" si="40"/>
        <v>385.61651384685882</v>
      </c>
      <c r="N195" s="329">
        <f t="shared" si="40"/>
        <v>2.2139650608027845</v>
      </c>
      <c r="O195" s="329">
        <f t="shared" si="40"/>
        <v>4.0000741704248659</v>
      </c>
      <c r="P195" s="329">
        <f t="shared" si="40"/>
        <v>4.9289279581529479</v>
      </c>
      <c r="Q195" s="329">
        <f t="shared" si="41"/>
        <v>122.08344331569037</v>
      </c>
      <c r="R195" s="329">
        <f t="shared" si="41"/>
        <v>2.2139650608027845</v>
      </c>
      <c r="S195" s="329">
        <f t="shared" si="41"/>
        <v>4.0000741704248659</v>
      </c>
      <c r="T195" s="329">
        <f t="shared" si="41"/>
        <v>4.9289279581529479</v>
      </c>
      <c r="U195" s="329">
        <f t="shared" si="41"/>
        <v>0</v>
      </c>
      <c r="V195" s="329">
        <f t="shared" si="41"/>
        <v>4.0000741704248659</v>
      </c>
      <c r="W195" s="329">
        <f t="shared" si="41"/>
        <v>4.9289279581529479</v>
      </c>
      <c r="X195" s="329">
        <f t="shared" si="41"/>
        <v>2.2139650608027845</v>
      </c>
      <c r="Y195" s="329">
        <f t="shared" si="41"/>
        <v>385.61651384685882</v>
      </c>
      <c r="Z195" s="329">
        <f t="shared" si="41"/>
        <v>0</v>
      </c>
      <c r="AA195" s="329">
        <f t="shared" si="41"/>
        <v>4.0000741704248659</v>
      </c>
      <c r="AB195" s="329">
        <f t="shared" si="41"/>
        <v>4.9289279581529479</v>
      </c>
      <c r="AC195" s="329">
        <f t="shared" si="41"/>
        <v>2.2139650608027845</v>
      </c>
      <c r="AD195" s="329">
        <f t="shared" si="41"/>
        <v>122.08344331569037</v>
      </c>
    </row>
    <row r="196" spans="3:30" ht="14.25" customHeight="1" x14ac:dyDescent="0.2">
      <c r="C196" s="8" t="str">
        <v>St. Martin (French part)</v>
      </c>
      <c r="D196" s="8" t="str">
        <v>Latin America &amp; Caribbean</v>
      </c>
      <c r="E196" s="13" t="s">
        <v>579</v>
      </c>
      <c r="F196" s="124" t="str">
        <f t="shared" si="29"/>
        <v>Latin America &amp; Caribbean_High income</v>
      </c>
      <c r="G196" s="329">
        <f t="shared" si="40"/>
        <v>20.148173869272608</v>
      </c>
      <c r="H196" s="329">
        <f t="shared" si="40"/>
        <v>152.33868437748353</v>
      </c>
      <c r="I196" s="329">
        <f t="shared" si="40"/>
        <v>3.0416344571758089</v>
      </c>
      <c r="J196" s="329">
        <f t="shared" si="40"/>
        <v>0.33569845745632426</v>
      </c>
      <c r="K196" s="329">
        <f t="shared" si="40"/>
        <v>152.33868437748353</v>
      </c>
      <c r="L196" s="329">
        <f t="shared" si="40"/>
        <v>3.0416344571758089</v>
      </c>
      <c r="M196" s="329">
        <f t="shared" si="40"/>
        <v>385.49779249232023</v>
      </c>
      <c r="N196" s="329">
        <f t="shared" si="40"/>
        <v>1.7137512604923126</v>
      </c>
      <c r="O196" s="329">
        <f t="shared" si="40"/>
        <v>4.1115263115021587</v>
      </c>
      <c r="P196" s="329">
        <f t="shared" si="40"/>
        <v>4.9289279581529488</v>
      </c>
      <c r="Q196" s="329">
        <f t="shared" si="41"/>
        <v>129.34280249232026</v>
      </c>
      <c r="R196" s="329">
        <f t="shared" si="41"/>
        <v>1.7137512604923126</v>
      </c>
      <c r="S196" s="329">
        <f t="shared" si="41"/>
        <v>4.1115263115021587</v>
      </c>
      <c r="T196" s="329">
        <f t="shared" si="41"/>
        <v>4.9289279581529488</v>
      </c>
      <c r="U196" s="329">
        <f t="shared" si="41"/>
        <v>0</v>
      </c>
      <c r="V196" s="329">
        <f t="shared" si="41"/>
        <v>4.1115263115021587</v>
      </c>
      <c r="W196" s="329">
        <f t="shared" si="41"/>
        <v>4.9289279581529488</v>
      </c>
      <c r="X196" s="329">
        <f t="shared" si="41"/>
        <v>1.7137512604923126</v>
      </c>
      <c r="Y196" s="329">
        <f t="shared" si="41"/>
        <v>385.49779249232023</v>
      </c>
      <c r="Z196" s="329">
        <f t="shared" si="41"/>
        <v>0.33569845745632426</v>
      </c>
      <c r="AA196" s="329">
        <f t="shared" si="41"/>
        <v>0</v>
      </c>
      <c r="AB196" s="329">
        <f t="shared" si="41"/>
        <v>0</v>
      </c>
      <c r="AC196" s="329">
        <f t="shared" si="41"/>
        <v>3.0416344571758089</v>
      </c>
      <c r="AD196" s="329">
        <f t="shared" si="41"/>
        <v>152.33868437748353</v>
      </c>
    </row>
    <row r="197" spans="3:30" ht="14.25" customHeight="1" x14ac:dyDescent="0.2">
      <c r="C197" s="8" t="str">
        <v>St. Vincent and the Grenadines</v>
      </c>
      <c r="D197" s="8" t="str">
        <v>Latin America &amp; Caribbean</v>
      </c>
      <c r="E197" s="13" t="s">
        <v>578</v>
      </c>
      <c r="F197" s="124" t="str">
        <f t="shared" si="29"/>
        <v>Latin America &amp; Caribbean_Upper middle income</v>
      </c>
      <c r="G197" s="329">
        <f t="shared" si="40"/>
        <v>22.111961568366297</v>
      </c>
      <c r="H197" s="329">
        <f t="shared" si="40"/>
        <v>112.53582479053843</v>
      </c>
      <c r="I197" s="329">
        <f t="shared" si="40"/>
        <v>6.830402213100033</v>
      </c>
      <c r="J197" s="329">
        <f t="shared" si="40"/>
        <v>0.36505142784704681</v>
      </c>
      <c r="K197" s="329">
        <f t="shared" si="40"/>
        <v>112.53582479053843</v>
      </c>
      <c r="L197" s="329">
        <f t="shared" si="40"/>
        <v>6.830402213100033</v>
      </c>
      <c r="M197" s="329">
        <f t="shared" si="40"/>
        <v>385.61651384685882</v>
      </c>
      <c r="N197" s="329">
        <f t="shared" si="40"/>
        <v>2.2139650608027845</v>
      </c>
      <c r="O197" s="329">
        <f t="shared" si="40"/>
        <v>4.0000741704248659</v>
      </c>
      <c r="P197" s="329">
        <f t="shared" si="40"/>
        <v>4.9289279581529479</v>
      </c>
      <c r="Q197" s="329">
        <f t="shared" si="41"/>
        <v>122.08344331569037</v>
      </c>
      <c r="R197" s="329">
        <f t="shared" si="41"/>
        <v>2.2139650608027845</v>
      </c>
      <c r="S197" s="329">
        <f t="shared" si="41"/>
        <v>4.0000741704248659</v>
      </c>
      <c r="T197" s="329">
        <f t="shared" si="41"/>
        <v>4.9289279581529479</v>
      </c>
      <c r="U197" s="329">
        <f t="shared" si="41"/>
        <v>0</v>
      </c>
      <c r="V197" s="329">
        <f t="shared" si="41"/>
        <v>4.0000741704248659</v>
      </c>
      <c r="W197" s="329">
        <f t="shared" si="41"/>
        <v>4.9289279581529479</v>
      </c>
      <c r="X197" s="329">
        <f t="shared" si="41"/>
        <v>2.2139650608027845</v>
      </c>
      <c r="Y197" s="329">
        <f t="shared" si="41"/>
        <v>385.61651384685882</v>
      </c>
      <c r="Z197" s="329">
        <f t="shared" si="41"/>
        <v>0</v>
      </c>
      <c r="AA197" s="329">
        <f t="shared" si="41"/>
        <v>4.0000741704248659</v>
      </c>
      <c r="AB197" s="329">
        <f t="shared" si="41"/>
        <v>4.9289279581529479</v>
      </c>
      <c r="AC197" s="329">
        <f t="shared" si="41"/>
        <v>2.2139650608027845</v>
      </c>
      <c r="AD197" s="329">
        <f t="shared" si="41"/>
        <v>122.08344331569037</v>
      </c>
    </row>
    <row r="198" spans="3:30" ht="14.25" customHeight="1" x14ac:dyDescent="0.2">
      <c r="C198" s="8" t="str">
        <v>Sudan</v>
      </c>
      <c r="D198" s="8" t="str">
        <v>Sub-Saharan Africa</v>
      </c>
      <c r="E198" s="13" t="s">
        <v>586</v>
      </c>
      <c r="F198" s="124" t="str">
        <f t="shared" si="29"/>
        <v>Sub-Saharan Africa_Low income</v>
      </c>
      <c r="G198" s="329">
        <f t="shared" si="40"/>
        <v>23.309971460536438</v>
      </c>
      <c r="H198" s="329">
        <f t="shared" si="40"/>
        <v>136.54200831083281</v>
      </c>
      <c r="I198" s="329">
        <f t="shared" si="40"/>
        <v>48.066711217553774</v>
      </c>
      <c r="J198" s="329">
        <f t="shared" si="40"/>
        <v>0.38963996426925313</v>
      </c>
      <c r="K198" s="329">
        <f t="shared" si="40"/>
        <v>136.54200831083281</v>
      </c>
      <c r="L198" s="329">
        <f t="shared" si="40"/>
        <v>48.066711217553774</v>
      </c>
      <c r="M198" s="329">
        <f t="shared" si="40"/>
        <v>386.36066988979189</v>
      </c>
      <c r="N198" s="329">
        <f t="shared" si="40"/>
        <v>3.0069383810950008</v>
      </c>
      <c r="O198" s="329">
        <f t="shared" si="40"/>
        <v>6.2955859660608509</v>
      </c>
      <c r="P198" s="329">
        <f t="shared" si="40"/>
        <v>4.9289279581529488</v>
      </c>
      <c r="Q198" s="329">
        <f t="shared" si="41"/>
        <v>124.01862912013361</v>
      </c>
      <c r="R198" s="329">
        <f t="shared" si="41"/>
        <v>3.0069383810950008</v>
      </c>
      <c r="S198" s="329">
        <f t="shared" si="41"/>
        <v>6.2955859660608509</v>
      </c>
      <c r="T198" s="329">
        <f t="shared" si="41"/>
        <v>4.9289279581529488</v>
      </c>
      <c r="U198" s="329">
        <f t="shared" si="41"/>
        <v>0</v>
      </c>
      <c r="V198" s="329">
        <f t="shared" si="41"/>
        <v>6.2955859660608509</v>
      </c>
      <c r="W198" s="329">
        <f t="shared" si="41"/>
        <v>4.9289279581529488</v>
      </c>
      <c r="X198" s="329">
        <f t="shared" si="41"/>
        <v>3.0069383810950008</v>
      </c>
      <c r="Y198" s="329">
        <f t="shared" si="41"/>
        <v>386.36066988979189</v>
      </c>
      <c r="Z198" s="329">
        <f t="shared" si="41"/>
        <v>0.38963996426925313</v>
      </c>
      <c r="AA198" s="329">
        <f t="shared" si="41"/>
        <v>0</v>
      </c>
      <c r="AB198" s="329">
        <f t="shared" si="41"/>
        <v>0</v>
      </c>
      <c r="AC198" s="329">
        <f t="shared" si="41"/>
        <v>48.066711217553774</v>
      </c>
      <c r="AD198" s="329">
        <f t="shared" si="41"/>
        <v>136.54200831083281</v>
      </c>
    </row>
    <row r="199" spans="3:30" ht="14.25" customHeight="1" x14ac:dyDescent="0.2">
      <c r="C199" s="8" t="str">
        <v>Suriname</v>
      </c>
      <c r="D199" s="8" t="str">
        <v>Latin America &amp; Caribbean</v>
      </c>
      <c r="E199" s="13" t="s">
        <v>578</v>
      </c>
      <c r="F199" s="124" t="str">
        <f t="shared" si="29"/>
        <v>Latin America &amp; Caribbean_Upper middle income</v>
      </c>
      <c r="G199" s="329">
        <f t="shared" si="40"/>
        <v>22.111961568366297</v>
      </c>
      <c r="H199" s="329">
        <f t="shared" si="40"/>
        <v>112.53582479053843</v>
      </c>
      <c r="I199" s="329">
        <f t="shared" si="40"/>
        <v>6.830402213100033</v>
      </c>
      <c r="J199" s="329">
        <f t="shared" si="40"/>
        <v>0.36505142784704681</v>
      </c>
      <c r="K199" s="329">
        <f t="shared" si="40"/>
        <v>112.53582479053843</v>
      </c>
      <c r="L199" s="329">
        <f t="shared" si="40"/>
        <v>6.830402213100033</v>
      </c>
      <c r="M199" s="329">
        <f t="shared" si="40"/>
        <v>385.61651384685882</v>
      </c>
      <c r="N199" s="329">
        <f t="shared" si="40"/>
        <v>2.2139650608027845</v>
      </c>
      <c r="O199" s="329">
        <f t="shared" si="40"/>
        <v>4.0000741704248659</v>
      </c>
      <c r="P199" s="329">
        <f t="shared" si="40"/>
        <v>4.9289279581529479</v>
      </c>
      <c r="Q199" s="329">
        <f t="shared" si="41"/>
        <v>122.08344331569037</v>
      </c>
      <c r="R199" s="329">
        <f t="shared" si="41"/>
        <v>2.2139650608027845</v>
      </c>
      <c r="S199" s="329">
        <f t="shared" si="41"/>
        <v>4.0000741704248659</v>
      </c>
      <c r="T199" s="329">
        <f t="shared" si="41"/>
        <v>4.9289279581529479</v>
      </c>
      <c r="U199" s="329">
        <f t="shared" si="41"/>
        <v>0</v>
      </c>
      <c r="V199" s="329">
        <f t="shared" si="41"/>
        <v>4.0000741704248659</v>
      </c>
      <c r="W199" s="329">
        <f t="shared" si="41"/>
        <v>4.9289279581529479</v>
      </c>
      <c r="X199" s="329">
        <f t="shared" si="41"/>
        <v>2.2139650608027845</v>
      </c>
      <c r="Y199" s="329">
        <f t="shared" si="41"/>
        <v>385.61651384685882</v>
      </c>
      <c r="Z199" s="329">
        <f t="shared" si="41"/>
        <v>0</v>
      </c>
      <c r="AA199" s="329">
        <f t="shared" si="41"/>
        <v>4.0000741704248659</v>
      </c>
      <c r="AB199" s="329">
        <f t="shared" si="41"/>
        <v>4.9289279581529479</v>
      </c>
      <c r="AC199" s="329">
        <f t="shared" si="41"/>
        <v>2.2139650608027845</v>
      </c>
      <c r="AD199" s="329">
        <f t="shared" si="41"/>
        <v>122.08344331569037</v>
      </c>
    </row>
    <row r="200" spans="3:30" ht="14.25" customHeight="1" x14ac:dyDescent="0.2">
      <c r="C200" s="8" t="str">
        <v>Sweden</v>
      </c>
      <c r="D200" s="8" t="str">
        <v>Europe &amp; Central Asia</v>
      </c>
      <c r="E200" s="13" t="s">
        <v>579</v>
      </c>
      <c r="F200" s="124" t="str">
        <f t="shared" si="29"/>
        <v>Europe &amp; Central Asia_High income</v>
      </c>
      <c r="G200" s="329">
        <f t="shared" si="40"/>
        <v>5.3797328305294991</v>
      </c>
      <c r="H200" s="329">
        <f t="shared" si="40"/>
        <v>187.00281170809052</v>
      </c>
      <c r="I200" s="329">
        <f t="shared" si="40"/>
        <v>0</v>
      </c>
      <c r="J200" s="329">
        <f t="shared" si="40"/>
        <v>8.6769884363379013E-2</v>
      </c>
      <c r="K200" s="329">
        <f t="shared" si="40"/>
        <v>187.00281170809052</v>
      </c>
      <c r="L200" s="329">
        <f t="shared" si="40"/>
        <v>0</v>
      </c>
      <c r="M200" s="329">
        <f t="shared" si="40"/>
        <v>387.28759285355829</v>
      </c>
      <c r="N200" s="329">
        <f t="shared" si="40"/>
        <v>6.6217577279584763</v>
      </c>
      <c r="O200" s="329">
        <f t="shared" si="40"/>
        <v>1.3626580704993807</v>
      </c>
      <c r="P200" s="329">
        <f t="shared" si="40"/>
        <v>4.9289279581529488</v>
      </c>
      <c r="Q200" s="329">
        <f t="shared" si="41"/>
        <v>126.35273245684171</v>
      </c>
      <c r="R200" s="329">
        <f t="shared" si="41"/>
        <v>6.6217577279584763</v>
      </c>
      <c r="S200" s="329">
        <f t="shared" si="41"/>
        <v>1.3626580704993807</v>
      </c>
      <c r="T200" s="329">
        <f t="shared" si="41"/>
        <v>4.9289279581529488</v>
      </c>
      <c r="U200" s="329">
        <f t="shared" si="41"/>
        <v>0</v>
      </c>
      <c r="V200" s="329">
        <f t="shared" si="41"/>
        <v>1.3626580704993807</v>
      </c>
      <c r="W200" s="329">
        <f t="shared" si="41"/>
        <v>4.9289279581529488</v>
      </c>
      <c r="X200" s="329">
        <f t="shared" si="41"/>
        <v>6.6217577279584763</v>
      </c>
      <c r="Y200" s="329">
        <f t="shared" si="41"/>
        <v>387.28759285355829</v>
      </c>
      <c r="Z200" s="329">
        <f t="shared" si="41"/>
        <v>8.6769884363379013E-2</v>
      </c>
      <c r="AA200" s="329">
        <f t="shared" si="41"/>
        <v>0</v>
      </c>
      <c r="AB200" s="329">
        <f t="shared" si="41"/>
        <v>0</v>
      </c>
      <c r="AC200" s="329">
        <f t="shared" si="41"/>
        <v>0</v>
      </c>
      <c r="AD200" s="329">
        <f t="shared" si="41"/>
        <v>187.00281170809052</v>
      </c>
    </row>
    <row r="201" spans="3:30" ht="14.25" customHeight="1" x14ac:dyDescent="0.2">
      <c r="C201" s="8" t="str">
        <v>Switzerland</v>
      </c>
      <c r="D201" s="8" t="str">
        <v>Europe &amp; Central Asia</v>
      </c>
      <c r="E201" s="13" t="s">
        <v>579</v>
      </c>
      <c r="F201" s="124" t="str">
        <f t="shared" si="29"/>
        <v>Europe &amp; Central Asia_High income</v>
      </c>
      <c r="G201" s="329">
        <f t="shared" si="40"/>
        <v>32.401299306692998</v>
      </c>
      <c r="H201" s="329">
        <f t="shared" si="40"/>
        <v>185.85127347327975</v>
      </c>
      <c r="I201" s="329">
        <f t="shared" si="40"/>
        <v>371.75902354309056</v>
      </c>
      <c r="J201" s="329">
        <f t="shared" si="40"/>
        <v>0.53910505368023443</v>
      </c>
      <c r="K201" s="329">
        <f t="shared" si="40"/>
        <v>185.85127347327975</v>
      </c>
      <c r="L201" s="329">
        <f t="shared" si="40"/>
        <v>371.75902354309056</v>
      </c>
      <c r="M201" s="329">
        <f t="shared" si="40"/>
        <v>385.53377512854041</v>
      </c>
      <c r="N201" s="329">
        <f t="shared" si="40"/>
        <v>25.640462448793837</v>
      </c>
      <c r="O201" s="329">
        <f t="shared" si="40"/>
        <v>3.6681185273460932</v>
      </c>
      <c r="P201" s="329">
        <f t="shared" si="40"/>
        <v>4.9289279581529506</v>
      </c>
      <c r="Q201" s="329">
        <f t="shared" si="41"/>
        <v>97.069054585259593</v>
      </c>
      <c r="R201" s="329">
        <f t="shared" si="41"/>
        <v>25.640462448793837</v>
      </c>
      <c r="S201" s="329">
        <f t="shared" si="41"/>
        <v>3.6681185273460932</v>
      </c>
      <c r="T201" s="329">
        <f t="shared" si="41"/>
        <v>4.9289279581529506</v>
      </c>
      <c r="U201" s="329">
        <f t="shared" si="41"/>
        <v>32.401299306692998</v>
      </c>
      <c r="V201" s="329">
        <f t="shared" si="41"/>
        <v>0</v>
      </c>
      <c r="W201" s="329">
        <f t="shared" si="41"/>
        <v>0</v>
      </c>
      <c r="X201" s="329">
        <f t="shared" si="41"/>
        <v>371.75902354309056</v>
      </c>
      <c r="Y201" s="329">
        <f t="shared" si="41"/>
        <v>185.85127347327975</v>
      </c>
      <c r="Z201" s="329">
        <f t="shared" si="41"/>
        <v>0.53910505368023443</v>
      </c>
      <c r="AA201" s="329">
        <f t="shared" si="41"/>
        <v>0</v>
      </c>
      <c r="AB201" s="329">
        <f t="shared" si="41"/>
        <v>0</v>
      </c>
      <c r="AC201" s="329">
        <f t="shared" si="41"/>
        <v>371.75902354309056</v>
      </c>
      <c r="AD201" s="329">
        <f t="shared" si="41"/>
        <v>185.85127347327975</v>
      </c>
    </row>
    <row r="202" spans="3:30" ht="14.25" customHeight="1" x14ac:dyDescent="0.2">
      <c r="C202" s="8" t="str">
        <v>Syrian Arab Republic</v>
      </c>
      <c r="D202" s="8" t="str">
        <v>Middle East &amp; North Africa</v>
      </c>
      <c r="E202" s="13" t="s">
        <v>586</v>
      </c>
      <c r="F202" s="124" t="str">
        <f t="shared" si="29"/>
        <v>Middle East &amp; North Africa_Low income</v>
      </c>
      <c r="G202" s="329">
        <f t="shared" si="40"/>
        <v>26.491283370467162</v>
      </c>
      <c r="H202" s="329">
        <f t="shared" si="40"/>
        <v>179.93842610807491</v>
      </c>
      <c r="I202" s="329">
        <f t="shared" si="40"/>
        <v>66.517492490305415</v>
      </c>
      <c r="J202" s="329">
        <f t="shared" si="40"/>
        <v>0.44106885838991111</v>
      </c>
      <c r="K202" s="329">
        <f t="shared" si="40"/>
        <v>179.93842610807491</v>
      </c>
      <c r="L202" s="329">
        <f t="shared" si="40"/>
        <v>66.517492490305415</v>
      </c>
      <c r="M202" s="329">
        <f t="shared" si="40"/>
        <v>385.68567689575991</v>
      </c>
      <c r="N202" s="329">
        <f t="shared" si="40"/>
        <v>37.070359398766541</v>
      </c>
      <c r="O202" s="329">
        <f t="shared" si="40"/>
        <v>7.5349808074185907</v>
      </c>
      <c r="P202" s="329">
        <f t="shared" si="40"/>
        <v>4.9289279581529488</v>
      </c>
      <c r="Q202" s="329">
        <f t="shared" si="41"/>
        <v>110.59822292113731</v>
      </c>
      <c r="R202" s="329">
        <f t="shared" si="41"/>
        <v>37.070359398766541</v>
      </c>
      <c r="S202" s="329">
        <f t="shared" si="41"/>
        <v>7.5349808074185907</v>
      </c>
      <c r="T202" s="329">
        <f t="shared" si="41"/>
        <v>4.9289279581529488</v>
      </c>
      <c r="U202" s="329">
        <f t="shared" si="41"/>
        <v>0</v>
      </c>
      <c r="V202" s="329">
        <f t="shared" si="41"/>
        <v>7.5349808074185907</v>
      </c>
      <c r="W202" s="329">
        <f t="shared" si="41"/>
        <v>4.9289279581529488</v>
      </c>
      <c r="X202" s="329">
        <f t="shared" si="41"/>
        <v>37.070359398766541</v>
      </c>
      <c r="Y202" s="329">
        <f t="shared" si="41"/>
        <v>385.68567689575991</v>
      </c>
      <c r="Z202" s="329">
        <f t="shared" si="41"/>
        <v>0.44106885838991111</v>
      </c>
      <c r="AA202" s="329">
        <f t="shared" si="41"/>
        <v>0</v>
      </c>
      <c r="AB202" s="329">
        <f t="shared" si="41"/>
        <v>0</v>
      </c>
      <c r="AC202" s="329">
        <f t="shared" si="41"/>
        <v>66.517492490305415</v>
      </c>
      <c r="AD202" s="329">
        <f t="shared" si="41"/>
        <v>179.93842610807491</v>
      </c>
    </row>
    <row r="203" spans="3:30" ht="14.25" customHeight="1" x14ac:dyDescent="0.2">
      <c r="C203" s="8" t="str">
        <v>Taiwan</v>
      </c>
      <c r="D203" s="8" t="str">
        <v>East Asia &amp; Pacific</v>
      </c>
      <c r="E203" s="13" t="s">
        <v>579</v>
      </c>
      <c r="F203" s="124" t="str">
        <f t="shared" si="29"/>
        <v>East Asia &amp; Pacific_High income</v>
      </c>
      <c r="G203" s="329">
        <f t="shared" ref="G203:P212" si="42">IFERROR(IF(INDEX(Interim_Coefficients,MATCH($C203,Interim_Countries,0),MATCH(G$12,Interim_type,0))="No value",INDEX(Interim_CombinedCoefficients,MATCH($F203,Interim_CombinedTag,0),MATCH(G$12,Interim_CombinedType,0)),INDEX(Interim_Coefficients,MATCH($C203,Interim_Countries,0),MATCH(G$12,Interim_type,0))),INDEX(Interim_CombinedCoefficients,MATCH($F203,Interim_CombinedTag,0),MATCH(G$12,Interim_CombinedType,0)))</f>
        <v>44.443145199894367</v>
      </c>
      <c r="H203" s="329">
        <f t="shared" si="42"/>
        <v>183.8442475693883</v>
      </c>
      <c r="I203" s="329">
        <f t="shared" si="42"/>
        <v>105.92574003437052</v>
      </c>
      <c r="J203" s="329">
        <f t="shared" si="42"/>
        <v>0.74702806793375442</v>
      </c>
      <c r="K203" s="329">
        <f t="shared" si="42"/>
        <v>183.8442475693883</v>
      </c>
      <c r="L203" s="329">
        <f t="shared" si="42"/>
        <v>105.92574003437052</v>
      </c>
      <c r="M203" s="329">
        <f t="shared" si="42"/>
        <v>369.66231455327676</v>
      </c>
      <c r="N203" s="329">
        <f t="shared" si="42"/>
        <v>87.076870251981461</v>
      </c>
      <c r="O203" s="329">
        <f t="shared" si="42"/>
        <v>2.6357425797782517</v>
      </c>
      <c r="P203" s="329">
        <f t="shared" si="42"/>
        <v>4.9289279581529488</v>
      </c>
      <c r="Q203" s="329">
        <f t="shared" ref="Q203:AD212" si="43">IFERROR(IF(INDEX(Interim_Coefficients,MATCH($C203,Interim_Countries,0),MATCH(Q$12,Interim_type,0))="No value",INDEX(Interim_CombinedCoefficients,MATCH($F203,Interim_CombinedTag,0),MATCH(Q$12,Interim_CombinedType,0)),INDEX(Interim_Coefficients,MATCH($C203,Interim_Countries,0),MATCH(Q$12,Interim_type,0))),INDEX(Interim_CombinedCoefficients,MATCH($F203,Interim_CombinedTag,0),MATCH(Q$12,Interim_CombinedType,0)))</f>
        <v>113.50732455327682</v>
      </c>
      <c r="R203" s="329">
        <f t="shared" si="43"/>
        <v>87.076870251981461</v>
      </c>
      <c r="S203" s="329">
        <f t="shared" si="43"/>
        <v>2.6357425797782517</v>
      </c>
      <c r="T203" s="329">
        <f t="shared" si="43"/>
        <v>4.9289279581529488</v>
      </c>
      <c r="U203" s="329">
        <f t="shared" si="43"/>
        <v>0</v>
      </c>
      <c r="V203" s="329">
        <f t="shared" si="43"/>
        <v>2.6357425797782517</v>
      </c>
      <c r="W203" s="329">
        <f t="shared" si="43"/>
        <v>4.9289279581529488</v>
      </c>
      <c r="X203" s="329">
        <f t="shared" si="43"/>
        <v>87.076870251981461</v>
      </c>
      <c r="Y203" s="329">
        <f t="shared" si="43"/>
        <v>369.66231455327676</v>
      </c>
      <c r="Z203" s="329">
        <f t="shared" si="43"/>
        <v>0.74702806793375442</v>
      </c>
      <c r="AA203" s="329">
        <f t="shared" si="43"/>
        <v>0</v>
      </c>
      <c r="AB203" s="329">
        <f t="shared" si="43"/>
        <v>0</v>
      </c>
      <c r="AC203" s="329">
        <f t="shared" si="43"/>
        <v>105.92574003437052</v>
      </c>
      <c r="AD203" s="329">
        <f t="shared" si="43"/>
        <v>183.8442475693883</v>
      </c>
    </row>
    <row r="204" spans="3:30" ht="14.25" customHeight="1" x14ac:dyDescent="0.2">
      <c r="C204" s="8" t="str">
        <v>Tajikistan</v>
      </c>
      <c r="D204" s="8" t="str">
        <v>Europe &amp; Central Asia</v>
      </c>
      <c r="E204" s="13" t="s">
        <v>580</v>
      </c>
      <c r="F204" s="124" t="str">
        <f t="shared" si="29"/>
        <v>Europe &amp; Central Asia_Lower middle income</v>
      </c>
      <c r="G204" s="329">
        <f t="shared" si="42"/>
        <v>16.389890404618974</v>
      </c>
      <c r="H204" s="329">
        <f t="shared" si="42"/>
        <v>187.00281170809052</v>
      </c>
      <c r="I204" s="329">
        <f t="shared" si="42"/>
        <v>6.1196654975083868</v>
      </c>
      <c r="J204" s="329">
        <f t="shared" si="42"/>
        <v>0.27623410794301639</v>
      </c>
      <c r="K204" s="329">
        <f t="shared" si="42"/>
        <v>187.00281170809052</v>
      </c>
      <c r="L204" s="329">
        <f t="shared" si="42"/>
        <v>6.1196654975083868</v>
      </c>
      <c r="M204" s="329">
        <f t="shared" si="42"/>
        <v>386.86618149603243</v>
      </c>
      <c r="N204" s="329">
        <f t="shared" si="42"/>
        <v>4.6515589314044448</v>
      </c>
      <c r="O204" s="329">
        <f t="shared" si="42"/>
        <v>3.9686445724112089</v>
      </c>
      <c r="P204" s="329">
        <f t="shared" si="42"/>
        <v>4.9289279581529488</v>
      </c>
      <c r="Q204" s="329">
        <f t="shared" si="43"/>
        <v>95.816756871967598</v>
      </c>
      <c r="R204" s="329">
        <f t="shared" si="43"/>
        <v>4.6515589314044448</v>
      </c>
      <c r="S204" s="329">
        <f t="shared" si="43"/>
        <v>3.9686445724112089</v>
      </c>
      <c r="T204" s="329">
        <f t="shared" si="43"/>
        <v>4.9289279581529488</v>
      </c>
      <c r="U204" s="329">
        <f t="shared" si="43"/>
        <v>0</v>
      </c>
      <c r="V204" s="329">
        <f t="shared" si="43"/>
        <v>3.9686445724112089</v>
      </c>
      <c r="W204" s="329">
        <f t="shared" si="43"/>
        <v>4.9289279581529488</v>
      </c>
      <c r="X204" s="329">
        <f t="shared" si="43"/>
        <v>4.6515589314044448</v>
      </c>
      <c r="Y204" s="329">
        <f t="shared" si="43"/>
        <v>386.86618149603243</v>
      </c>
      <c r="Z204" s="329">
        <f t="shared" si="43"/>
        <v>0.27623410794301639</v>
      </c>
      <c r="AA204" s="329">
        <f t="shared" si="43"/>
        <v>0</v>
      </c>
      <c r="AB204" s="329">
        <f t="shared" si="43"/>
        <v>0</v>
      </c>
      <c r="AC204" s="329">
        <f t="shared" si="43"/>
        <v>6.1196654975083868</v>
      </c>
      <c r="AD204" s="329">
        <f t="shared" si="43"/>
        <v>187.00281170809052</v>
      </c>
    </row>
    <row r="205" spans="3:30" ht="14.25" customHeight="1" x14ac:dyDescent="0.2">
      <c r="C205" s="8" t="str">
        <v>Tanzania</v>
      </c>
      <c r="D205" s="8" t="str">
        <v>Sub-Saharan Africa</v>
      </c>
      <c r="E205" s="13" t="s">
        <v>580</v>
      </c>
      <c r="F205" s="124" t="str">
        <f t="shared" si="29"/>
        <v>Sub-Saharan Africa_Lower middle income</v>
      </c>
      <c r="G205" s="329">
        <f t="shared" si="42"/>
        <v>23.309971460536438</v>
      </c>
      <c r="H205" s="329">
        <f t="shared" si="42"/>
        <v>136.54200831083281</v>
      </c>
      <c r="I205" s="329">
        <f t="shared" si="42"/>
        <v>48.066711217553774</v>
      </c>
      <c r="J205" s="329">
        <f t="shared" si="42"/>
        <v>0.38963996426925313</v>
      </c>
      <c r="K205" s="329">
        <f t="shared" si="42"/>
        <v>136.54200831083281</v>
      </c>
      <c r="L205" s="329">
        <f t="shared" si="42"/>
        <v>48.066711217553774</v>
      </c>
      <c r="M205" s="329">
        <f t="shared" si="42"/>
        <v>386.36066988979189</v>
      </c>
      <c r="N205" s="329">
        <f t="shared" si="42"/>
        <v>3.0069383810950008</v>
      </c>
      <c r="O205" s="329">
        <f t="shared" si="42"/>
        <v>6.2955859660608509</v>
      </c>
      <c r="P205" s="329">
        <f t="shared" si="42"/>
        <v>4.9289279581529488</v>
      </c>
      <c r="Q205" s="329">
        <f t="shared" si="43"/>
        <v>124.01862912013361</v>
      </c>
      <c r="R205" s="329">
        <f t="shared" si="43"/>
        <v>3.0069383810950008</v>
      </c>
      <c r="S205" s="329">
        <f t="shared" si="43"/>
        <v>6.2955859660608509</v>
      </c>
      <c r="T205" s="329">
        <f t="shared" si="43"/>
        <v>4.9289279581529488</v>
      </c>
      <c r="U205" s="329">
        <f t="shared" si="43"/>
        <v>0</v>
      </c>
      <c r="V205" s="329">
        <f t="shared" si="43"/>
        <v>6.2955859660608509</v>
      </c>
      <c r="W205" s="329">
        <f t="shared" si="43"/>
        <v>4.9289279581529488</v>
      </c>
      <c r="X205" s="329">
        <f t="shared" si="43"/>
        <v>3.0069383810950008</v>
      </c>
      <c r="Y205" s="329">
        <f t="shared" si="43"/>
        <v>386.36066988979189</v>
      </c>
      <c r="Z205" s="329">
        <f t="shared" si="43"/>
        <v>0.38963996426925313</v>
      </c>
      <c r="AA205" s="329">
        <f t="shared" si="43"/>
        <v>0</v>
      </c>
      <c r="AB205" s="329">
        <f t="shared" si="43"/>
        <v>0</v>
      </c>
      <c r="AC205" s="329">
        <f t="shared" si="43"/>
        <v>48.066711217553774</v>
      </c>
      <c r="AD205" s="329">
        <f t="shared" si="43"/>
        <v>136.54200831083281</v>
      </c>
    </row>
    <row r="206" spans="3:30" ht="14.25" customHeight="1" x14ac:dyDescent="0.2">
      <c r="C206" s="8" t="str">
        <v>Thailand</v>
      </c>
      <c r="D206" s="8" t="str">
        <v>East Asia &amp; Pacific</v>
      </c>
      <c r="E206" s="13" t="s">
        <v>578</v>
      </c>
      <c r="F206" s="124" t="str">
        <f t="shared" ref="F206:F230" si="44">D206&amp;"_"&amp;E206</f>
        <v>East Asia &amp; Pacific_Upper middle income</v>
      </c>
      <c r="G206" s="329">
        <f t="shared" si="42"/>
        <v>24.880265252463772</v>
      </c>
      <c r="H206" s="329">
        <f t="shared" si="42"/>
        <v>183.05003240919942</v>
      </c>
      <c r="I206" s="329">
        <f t="shared" si="42"/>
        <v>42.086186383921394</v>
      </c>
      <c r="J206" s="329">
        <f t="shared" si="42"/>
        <v>0.41151534760775338</v>
      </c>
      <c r="K206" s="329">
        <f t="shared" si="42"/>
        <v>183.05003240919942</v>
      </c>
      <c r="L206" s="329">
        <f t="shared" si="42"/>
        <v>42.086186383921394</v>
      </c>
      <c r="M206" s="329">
        <f t="shared" si="42"/>
        <v>382.53243923172982</v>
      </c>
      <c r="N206" s="329">
        <f t="shared" si="42"/>
        <v>24.489806732023222</v>
      </c>
      <c r="O206" s="329">
        <f t="shared" si="42"/>
        <v>5.0966199110013628</v>
      </c>
      <c r="P206" s="329">
        <f t="shared" si="42"/>
        <v>4.9289279581529488</v>
      </c>
      <c r="Q206" s="329">
        <f t="shared" si="43"/>
        <v>57.521836128270195</v>
      </c>
      <c r="R206" s="329">
        <f t="shared" si="43"/>
        <v>24.489806732023222</v>
      </c>
      <c r="S206" s="329">
        <f t="shared" si="43"/>
        <v>5.0966199110013628</v>
      </c>
      <c r="T206" s="329">
        <f t="shared" si="43"/>
        <v>4.9289279581529488</v>
      </c>
      <c r="U206" s="329">
        <f t="shared" si="43"/>
        <v>0</v>
      </c>
      <c r="V206" s="329">
        <f t="shared" si="43"/>
        <v>5.0966199110013628</v>
      </c>
      <c r="W206" s="329">
        <f t="shared" si="43"/>
        <v>4.9289279581529488</v>
      </c>
      <c r="X206" s="329">
        <f t="shared" si="43"/>
        <v>24.489806732023222</v>
      </c>
      <c r="Y206" s="329">
        <f t="shared" si="43"/>
        <v>382.53243923172982</v>
      </c>
      <c r="Z206" s="329">
        <f t="shared" si="43"/>
        <v>0.41151534760775338</v>
      </c>
      <c r="AA206" s="329">
        <f t="shared" si="43"/>
        <v>0</v>
      </c>
      <c r="AB206" s="329">
        <f t="shared" si="43"/>
        <v>0</v>
      </c>
      <c r="AC206" s="329">
        <f t="shared" si="43"/>
        <v>42.086186383921394</v>
      </c>
      <c r="AD206" s="329">
        <f t="shared" si="43"/>
        <v>183.05003240919942</v>
      </c>
    </row>
    <row r="207" spans="3:30" ht="14.25" customHeight="1" x14ac:dyDescent="0.2">
      <c r="C207" s="8" t="str">
        <v>Timor-Leste</v>
      </c>
      <c r="D207" s="8" t="str">
        <v>East Asia &amp; Pacific</v>
      </c>
      <c r="E207" s="13" t="s">
        <v>580</v>
      </c>
      <c r="F207" s="124" t="str">
        <f t="shared" si="44"/>
        <v>East Asia &amp; Pacific_Lower middle income</v>
      </c>
      <c r="G207" s="329">
        <f t="shared" si="42"/>
        <v>21.040892851983276</v>
      </c>
      <c r="H207" s="329">
        <f t="shared" si="42"/>
        <v>185.01256757493803</v>
      </c>
      <c r="I207" s="329">
        <f t="shared" si="42"/>
        <v>304.6771769642977</v>
      </c>
      <c r="J207" s="329">
        <f t="shared" si="42"/>
        <v>0.34423100460524525</v>
      </c>
      <c r="K207" s="329">
        <f t="shared" si="42"/>
        <v>185.01256757493803</v>
      </c>
      <c r="L207" s="329">
        <f t="shared" si="42"/>
        <v>304.6771769642977</v>
      </c>
      <c r="M207" s="329">
        <f t="shared" si="42"/>
        <v>376.62670320349753</v>
      </c>
      <c r="N207" s="329">
        <f t="shared" si="42"/>
        <v>23.80079428655403</v>
      </c>
      <c r="O207" s="329">
        <f t="shared" si="42"/>
        <v>4.2989077809646146</v>
      </c>
      <c r="P207" s="329">
        <f t="shared" si="42"/>
        <v>4.9289279581529488</v>
      </c>
      <c r="Q207" s="329">
        <f t="shared" si="43"/>
        <v>120.47171320349753</v>
      </c>
      <c r="R207" s="329">
        <f t="shared" si="43"/>
        <v>23.80079428655403</v>
      </c>
      <c r="S207" s="329">
        <f t="shared" si="43"/>
        <v>4.2989077809646146</v>
      </c>
      <c r="T207" s="329">
        <f t="shared" si="43"/>
        <v>4.9289279581529488</v>
      </c>
      <c r="U207" s="329">
        <f t="shared" si="43"/>
        <v>21.040892851983276</v>
      </c>
      <c r="V207" s="329">
        <f t="shared" si="43"/>
        <v>0</v>
      </c>
      <c r="W207" s="329">
        <f t="shared" si="43"/>
        <v>0</v>
      </c>
      <c r="X207" s="329">
        <f t="shared" si="43"/>
        <v>304.6771769642977</v>
      </c>
      <c r="Y207" s="329">
        <f t="shared" si="43"/>
        <v>185.01256757493803</v>
      </c>
      <c r="Z207" s="329">
        <f t="shared" si="43"/>
        <v>0.34423100460524525</v>
      </c>
      <c r="AA207" s="329">
        <f t="shared" si="43"/>
        <v>0</v>
      </c>
      <c r="AB207" s="329">
        <f t="shared" si="43"/>
        <v>0</v>
      </c>
      <c r="AC207" s="329">
        <f t="shared" si="43"/>
        <v>304.6771769642977</v>
      </c>
      <c r="AD207" s="329">
        <f t="shared" si="43"/>
        <v>185.01256757493803</v>
      </c>
    </row>
    <row r="208" spans="3:30" ht="14.25" customHeight="1" x14ac:dyDescent="0.2">
      <c r="C208" s="8" t="str">
        <v>Togo</v>
      </c>
      <c r="D208" s="8" t="str">
        <v>Sub-Saharan Africa</v>
      </c>
      <c r="E208" s="13" t="s">
        <v>586</v>
      </c>
      <c r="F208" s="124" t="str">
        <f t="shared" si="44"/>
        <v>Sub-Saharan Africa_Low income</v>
      </c>
      <c r="G208" s="329">
        <f t="shared" si="42"/>
        <v>23.309971460536438</v>
      </c>
      <c r="H208" s="329">
        <f t="shared" si="42"/>
        <v>136.54200831083281</v>
      </c>
      <c r="I208" s="329">
        <f t="shared" si="42"/>
        <v>48.066711217553774</v>
      </c>
      <c r="J208" s="329">
        <f t="shared" si="42"/>
        <v>0.38963996426925313</v>
      </c>
      <c r="K208" s="329">
        <f t="shared" si="42"/>
        <v>136.54200831083281</v>
      </c>
      <c r="L208" s="329">
        <f t="shared" si="42"/>
        <v>48.066711217553774</v>
      </c>
      <c r="M208" s="329">
        <f t="shared" si="42"/>
        <v>386.36066988979189</v>
      </c>
      <c r="N208" s="329">
        <f t="shared" si="42"/>
        <v>3.0069383810950008</v>
      </c>
      <c r="O208" s="329">
        <f t="shared" si="42"/>
        <v>6.2955859660608509</v>
      </c>
      <c r="P208" s="329">
        <f t="shared" si="42"/>
        <v>4.9289279581529488</v>
      </c>
      <c r="Q208" s="329">
        <f t="shared" si="43"/>
        <v>124.01862912013361</v>
      </c>
      <c r="R208" s="329">
        <f t="shared" si="43"/>
        <v>3.0069383810950008</v>
      </c>
      <c r="S208" s="329">
        <f t="shared" si="43"/>
        <v>6.2955859660608509</v>
      </c>
      <c r="T208" s="329">
        <f t="shared" si="43"/>
        <v>4.9289279581529488</v>
      </c>
      <c r="U208" s="329">
        <f t="shared" si="43"/>
        <v>0</v>
      </c>
      <c r="V208" s="329">
        <f t="shared" si="43"/>
        <v>6.2955859660608509</v>
      </c>
      <c r="W208" s="329">
        <f t="shared" si="43"/>
        <v>4.9289279581529488</v>
      </c>
      <c r="X208" s="329">
        <f t="shared" si="43"/>
        <v>3.0069383810950008</v>
      </c>
      <c r="Y208" s="329">
        <f t="shared" si="43"/>
        <v>386.36066988979189</v>
      </c>
      <c r="Z208" s="329">
        <f t="shared" si="43"/>
        <v>0.38963996426925313</v>
      </c>
      <c r="AA208" s="329">
        <f t="shared" si="43"/>
        <v>0</v>
      </c>
      <c r="AB208" s="329">
        <f t="shared" si="43"/>
        <v>0</v>
      </c>
      <c r="AC208" s="329">
        <f t="shared" si="43"/>
        <v>48.066711217553774</v>
      </c>
      <c r="AD208" s="329">
        <f t="shared" si="43"/>
        <v>136.54200831083281</v>
      </c>
    </row>
    <row r="209" spans="3:30" ht="14.25" customHeight="1" x14ac:dyDescent="0.2">
      <c r="C209" s="8" t="str">
        <v>Tonga</v>
      </c>
      <c r="D209" s="8" t="str">
        <v>East Asia &amp; Pacific</v>
      </c>
      <c r="E209" s="13" t="s">
        <v>578</v>
      </c>
      <c r="F209" s="124" t="str">
        <f t="shared" si="44"/>
        <v>East Asia &amp; Pacific_Upper middle income</v>
      </c>
      <c r="G209" s="329">
        <f t="shared" si="42"/>
        <v>34.298020437149731</v>
      </c>
      <c r="H209" s="329">
        <f t="shared" si="42"/>
        <v>181.37962313864892</v>
      </c>
      <c r="I209" s="329">
        <f t="shared" si="42"/>
        <v>27.549263552056701</v>
      </c>
      <c r="J209" s="329">
        <f t="shared" si="42"/>
        <v>0.56631726229035517</v>
      </c>
      <c r="K209" s="329">
        <f t="shared" si="42"/>
        <v>181.37962313864892</v>
      </c>
      <c r="L209" s="329">
        <f t="shared" si="42"/>
        <v>27.549263552056701</v>
      </c>
      <c r="M209" s="329">
        <f t="shared" si="42"/>
        <v>374.08105300516564</v>
      </c>
      <c r="N209" s="329">
        <f t="shared" si="42"/>
        <v>17.323676083160976</v>
      </c>
      <c r="O209" s="329">
        <f t="shared" si="42"/>
        <v>4.3699928165963389</v>
      </c>
      <c r="P209" s="329">
        <f t="shared" si="42"/>
        <v>4.9289279581529488</v>
      </c>
      <c r="Q209" s="329">
        <f t="shared" si="43"/>
        <v>80.512983968132318</v>
      </c>
      <c r="R209" s="329">
        <f t="shared" si="43"/>
        <v>17.323676083160976</v>
      </c>
      <c r="S209" s="329">
        <f t="shared" si="43"/>
        <v>4.3699928165963389</v>
      </c>
      <c r="T209" s="329">
        <f t="shared" si="43"/>
        <v>4.9289279581529488</v>
      </c>
      <c r="U209" s="329">
        <f t="shared" si="43"/>
        <v>0</v>
      </c>
      <c r="V209" s="329">
        <f t="shared" si="43"/>
        <v>4.3699928165963389</v>
      </c>
      <c r="W209" s="329">
        <f t="shared" si="43"/>
        <v>4.9289279581529488</v>
      </c>
      <c r="X209" s="329">
        <f t="shared" si="43"/>
        <v>17.323676083160976</v>
      </c>
      <c r="Y209" s="329">
        <f t="shared" si="43"/>
        <v>374.08105300516564</v>
      </c>
      <c r="Z209" s="329">
        <f t="shared" si="43"/>
        <v>0.56631726229035517</v>
      </c>
      <c r="AA209" s="329">
        <f t="shared" si="43"/>
        <v>0</v>
      </c>
      <c r="AB209" s="329">
        <f t="shared" si="43"/>
        <v>0</v>
      </c>
      <c r="AC209" s="329">
        <f t="shared" si="43"/>
        <v>27.549263552056701</v>
      </c>
      <c r="AD209" s="329">
        <f t="shared" si="43"/>
        <v>181.37962313864892</v>
      </c>
    </row>
    <row r="210" spans="3:30" ht="14.25" customHeight="1" x14ac:dyDescent="0.2">
      <c r="C210" s="8" t="str">
        <v>Trinidad and Tobago</v>
      </c>
      <c r="D210" s="8" t="str">
        <v>Latin America &amp; Caribbean</v>
      </c>
      <c r="E210" s="13" t="s">
        <v>579</v>
      </c>
      <c r="F210" s="124" t="str">
        <f t="shared" si="44"/>
        <v>Latin America &amp; Caribbean_High income</v>
      </c>
      <c r="G210" s="329">
        <f t="shared" si="42"/>
        <v>20.148173869272608</v>
      </c>
      <c r="H210" s="329">
        <f t="shared" si="42"/>
        <v>152.33868437748353</v>
      </c>
      <c r="I210" s="329">
        <f t="shared" si="42"/>
        <v>3.0416344571758089</v>
      </c>
      <c r="J210" s="329">
        <f t="shared" si="42"/>
        <v>0.33569845745632426</v>
      </c>
      <c r="K210" s="329">
        <f t="shared" si="42"/>
        <v>152.33868437748353</v>
      </c>
      <c r="L210" s="329">
        <f t="shared" si="42"/>
        <v>3.0416344571758089</v>
      </c>
      <c r="M210" s="329">
        <f t="shared" si="42"/>
        <v>385.49779249232023</v>
      </c>
      <c r="N210" s="329">
        <f t="shared" si="42"/>
        <v>1.7137512604923126</v>
      </c>
      <c r="O210" s="329">
        <f t="shared" si="42"/>
        <v>4.1115263115021587</v>
      </c>
      <c r="P210" s="329">
        <f t="shared" si="42"/>
        <v>4.9289279581529488</v>
      </c>
      <c r="Q210" s="329">
        <f t="shared" si="43"/>
        <v>129.34280249232026</v>
      </c>
      <c r="R210" s="329">
        <f t="shared" si="43"/>
        <v>1.7137512604923126</v>
      </c>
      <c r="S210" s="329">
        <f t="shared" si="43"/>
        <v>4.1115263115021587</v>
      </c>
      <c r="T210" s="329">
        <f t="shared" si="43"/>
        <v>4.9289279581529488</v>
      </c>
      <c r="U210" s="329">
        <f t="shared" si="43"/>
        <v>0</v>
      </c>
      <c r="V210" s="329">
        <f t="shared" si="43"/>
        <v>4.1115263115021587</v>
      </c>
      <c r="W210" s="329">
        <f t="shared" si="43"/>
        <v>4.9289279581529488</v>
      </c>
      <c r="X210" s="329">
        <f t="shared" si="43"/>
        <v>1.7137512604923126</v>
      </c>
      <c r="Y210" s="329">
        <f t="shared" si="43"/>
        <v>385.49779249232023</v>
      </c>
      <c r="Z210" s="329">
        <f t="shared" si="43"/>
        <v>0.33569845745632426</v>
      </c>
      <c r="AA210" s="329">
        <f t="shared" si="43"/>
        <v>0</v>
      </c>
      <c r="AB210" s="329">
        <f t="shared" si="43"/>
        <v>0</v>
      </c>
      <c r="AC210" s="329">
        <f t="shared" si="43"/>
        <v>3.0416344571758089</v>
      </c>
      <c r="AD210" s="329">
        <f t="shared" si="43"/>
        <v>152.33868437748353</v>
      </c>
    </row>
    <row r="211" spans="3:30" ht="14.25" customHeight="1" x14ac:dyDescent="0.2">
      <c r="C211" s="8" t="str">
        <v>Tunisia</v>
      </c>
      <c r="D211" s="8" t="str">
        <v>Middle East &amp; North Africa</v>
      </c>
      <c r="E211" s="13" t="s">
        <v>580</v>
      </c>
      <c r="F211" s="124" t="str">
        <f t="shared" si="44"/>
        <v>Middle East &amp; North Africa_Lower middle income</v>
      </c>
      <c r="G211" s="329">
        <f t="shared" si="42"/>
        <v>18.10397927927896</v>
      </c>
      <c r="H211" s="329">
        <f t="shared" si="42"/>
        <v>183.05003240919942</v>
      </c>
      <c r="I211" s="329">
        <f t="shared" si="42"/>
        <v>8.9537853227281001</v>
      </c>
      <c r="J211" s="329">
        <f t="shared" si="42"/>
        <v>0.29929645004290506</v>
      </c>
      <c r="K211" s="329">
        <f t="shared" si="42"/>
        <v>183.05003240919942</v>
      </c>
      <c r="L211" s="329">
        <f t="shared" si="42"/>
        <v>8.9537853227281001</v>
      </c>
      <c r="M211" s="329">
        <f t="shared" si="42"/>
        <v>386.45224005661373</v>
      </c>
      <c r="N211" s="329">
        <f t="shared" si="42"/>
        <v>0.93587167759875556</v>
      </c>
      <c r="O211" s="329">
        <f t="shared" si="42"/>
        <v>4.1054973591834791</v>
      </c>
      <c r="P211" s="329">
        <f t="shared" si="42"/>
        <v>4.9289279581529488</v>
      </c>
      <c r="Q211" s="329">
        <f t="shared" si="43"/>
        <v>92.061010441720953</v>
      </c>
      <c r="R211" s="329">
        <f t="shared" si="43"/>
        <v>0.93587167759875556</v>
      </c>
      <c r="S211" s="329">
        <f t="shared" si="43"/>
        <v>4.1054973591834791</v>
      </c>
      <c r="T211" s="329">
        <f t="shared" si="43"/>
        <v>4.9289279581529488</v>
      </c>
      <c r="U211" s="329">
        <f t="shared" si="43"/>
        <v>0</v>
      </c>
      <c r="V211" s="329">
        <f t="shared" si="43"/>
        <v>4.1054973591834791</v>
      </c>
      <c r="W211" s="329">
        <f t="shared" si="43"/>
        <v>4.9289279581529488</v>
      </c>
      <c r="X211" s="329">
        <f t="shared" si="43"/>
        <v>0.93587167759875556</v>
      </c>
      <c r="Y211" s="329">
        <f t="shared" si="43"/>
        <v>386.45224005661373</v>
      </c>
      <c r="Z211" s="329">
        <f t="shared" si="43"/>
        <v>0.29929645004290506</v>
      </c>
      <c r="AA211" s="329">
        <f t="shared" si="43"/>
        <v>0</v>
      </c>
      <c r="AB211" s="329">
        <f t="shared" si="43"/>
        <v>0</v>
      </c>
      <c r="AC211" s="329">
        <f t="shared" si="43"/>
        <v>8.9537853227281001</v>
      </c>
      <c r="AD211" s="329">
        <f t="shared" si="43"/>
        <v>183.05003240919942</v>
      </c>
    </row>
    <row r="212" spans="3:30" ht="14.25" customHeight="1" x14ac:dyDescent="0.2">
      <c r="C212" s="8" t="str">
        <v>Turkiye</v>
      </c>
      <c r="D212" s="8" t="str">
        <v>Europe &amp; Central Asia</v>
      </c>
      <c r="E212" s="13" t="s">
        <v>578</v>
      </c>
      <c r="F212" s="124" t="str">
        <f t="shared" si="44"/>
        <v>Europe &amp; Central Asia_Upper middle income</v>
      </c>
      <c r="G212" s="329">
        <f t="shared" si="42"/>
        <v>19.63003739407586</v>
      </c>
      <c r="H212" s="329">
        <f t="shared" si="42"/>
        <v>187.00281170809052</v>
      </c>
      <c r="I212" s="329">
        <f t="shared" si="42"/>
        <v>152.66999372239431</v>
      </c>
      <c r="J212" s="329">
        <f t="shared" si="42"/>
        <v>0.33005732005694194</v>
      </c>
      <c r="K212" s="329">
        <f t="shared" si="42"/>
        <v>187.00281170809052</v>
      </c>
      <c r="L212" s="329">
        <f t="shared" si="42"/>
        <v>152.66999372239431</v>
      </c>
      <c r="M212" s="329">
        <f t="shared" si="42"/>
        <v>380.27773922168274</v>
      </c>
      <c r="N212" s="329">
        <f t="shared" si="42"/>
        <v>4.5928298109575465</v>
      </c>
      <c r="O212" s="329">
        <f t="shared" si="42"/>
        <v>3.6994518758026187</v>
      </c>
      <c r="P212" s="329">
        <f t="shared" si="42"/>
        <v>4.9289279581529488</v>
      </c>
      <c r="Q212" s="329">
        <f t="shared" si="43"/>
        <v>94.874795267611404</v>
      </c>
      <c r="R212" s="329">
        <f t="shared" si="43"/>
        <v>4.5928298109575465</v>
      </c>
      <c r="S212" s="329">
        <f t="shared" si="43"/>
        <v>3.6994518758026187</v>
      </c>
      <c r="T212" s="329">
        <f t="shared" si="43"/>
        <v>4.9289279581529488</v>
      </c>
      <c r="U212" s="329">
        <f t="shared" si="43"/>
        <v>0</v>
      </c>
      <c r="V212" s="329">
        <f t="shared" si="43"/>
        <v>3.6994518758026187</v>
      </c>
      <c r="W212" s="329">
        <f t="shared" si="43"/>
        <v>4.9289279581529488</v>
      </c>
      <c r="X212" s="329">
        <f t="shared" si="43"/>
        <v>4.5928298109575465</v>
      </c>
      <c r="Y212" s="329">
        <f t="shared" si="43"/>
        <v>380.27773922168274</v>
      </c>
      <c r="Z212" s="329">
        <f t="shared" si="43"/>
        <v>0.33005732005694194</v>
      </c>
      <c r="AA212" s="329">
        <f t="shared" si="43"/>
        <v>0</v>
      </c>
      <c r="AB212" s="329">
        <f t="shared" si="43"/>
        <v>0</v>
      </c>
      <c r="AC212" s="329">
        <f t="shared" si="43"/>
        <v>152.66999372239431</v>
      </c>
      <c r="AD212" s="329">
        <f t="shared" si="43"/>
        <v>187.00281170809052</v>
      </c>
    </row>
    <row r="213" spans="3:30" ht="14.25" customHeight="1" x14ac:dyDescent="0.2">
      <c r="C213" s="8" t="str">
        <v>Turkmenistan</v>
      </c>
      <c r="D213" s="8" t="str">
        <v>Europe &amp; Central Asia</v>
      </c>
      <c r="E213" s="13" t="s">
        <v>578</v>
      </c>
      <c r="F213" s="124" t="str">
        <f t="shared" si="44"/>
        <v>Europe &amp; Central Asia_Upper middle income</v>
      </c>
      <c r="G213" s="329">
        <f t="shared" ref="G213:P222" si="45">IFERROR(IF(INDEX(Interim_Coefficients,MATCH($C213,Interim_Countries,0),MATCH(G$12,Interim_type,0))="No value",INDEX(Interim_CombinedCoefficients,MATCH($F213,Interim_CombinedTag,0),MATCH(G$12,Interim_CombinedType,0)),INDEX(Interim_Coefficients,MATCH($C213,Interim_Countries,0),MATCH(G$12,Interim_type,0))),INDEX(Interim_CombinedCoefficients,MATCH($F213,Interim_CombinedTag,0),MATCH(G$12,Interim_CombinedType,0)))</f>
        <v>19.63003739407586</v>
      </c>
      <c r="H213" s="329">
        <f t="shared" si="45"/>
        <v>187.00281170809052</v>
      </c>
      <c r="I213" s="329">
        <f t="shared" si="45"/>
        <v>152.66999372239431</v>
      </c>
      <c r="J213" s="329">
        <f t="shared" si="45"/>
        <v>0.33005732005694194</v>
      </c>
      <c r="K213" s="329">
        <f t="shared" si="45"/>
        <v>187.00281170809052</v>
      </c>
      <c r="L213" s="329">
        <f t="shared" si="45"/>
        <v>152.66999372239431</v>
      </c>
      <c r="M213" s="329">
        <f t="shared" si="45"/>
        <v>380.27773922168274</v>
      </c>
      <c r="N213" s="329">
        <f t="shared" si="45"/>
        <v>4.5928298109575465</v>
      </c>
      <c r="O213" s="329">
        <f t="shared" si="45"/>
        <v>3.6994518758026187</v>
      </c>
      <c r="P213" s="329">
        <f t="shared" si="45"/>
        <v>4.9289279581529488</v>
      </c>
      <c r="Q213" s="329">
        <f t="shared" ref="Q213:AD222" si="46">IFERROR(IF(INDEX(Interim_Coefficients,MATCH($C213,Interim_Countries,0),MATCH(Q$12,Interim_type,0))="No value",INDEX(Interim_CombinedCoefficients,MATCH($F213,Interim_CombinedTag,0),MATCH(Q$12,Interim_CombinedType,0)),INDEX(Interim_Coefficients,MATCH($C213,Interim_Countries,0),MATCH(Q$12,Interim_type,0))),INDEX(Interim_CombinedCoefficients,MATCH($F213,Interim_CombinedTag,0),MATCH(Q$12,Interim_CombinedType,0)))</f>
        <v>94.874795267611404</v>
      </c>
      <c r="R213" s="329">
        <f t="shared" si="46"/>
        <v>4.5928298109575465</v>
      </c>
      <c r="S213" s="329">
        <f t="shared" si="46"/>
        <v>3.6994518758026187</v>
      </c>
      <c r="T213" s="329">
        <f t="shared" si="46"/>
        <v>4.9289279581529488</v>
      </c>
      <c r="U213" s="329">
        <f t="shared" si="46"/>
        <v>0</v>
      </c>
      <c r="V213" s="329">
        <f t="shared" si="46"/>
        <v>3.6994518758026187</v>
      </c>
      <c r="W213" s="329">
        <f t="shared" si="46"/>
        <v>4.9289279581529488</v>
      </c>
      <c r="X213" s="329">
        <f t="shared" si="46"/>
        <v>4.5928298109575465</v>
      </c>
      <c r="Y213" s="329">
        <f t="shared" si="46"/>
        <v>380.27773922168274</v>
      </c>
      <c r="Z213" s="329">
        <f t="shared" si="46"/>
        <v>0.33005732005694194</v>
      </c>
      <c r="AA213" s="329">
        <f t="shared" si="46"/>
        <v>0</v>
      </c>
      <c r="AB213" s="329">
        <f t="shared" si="46"/>
        <v>0</v>
      </c>
      <c r="AC213" s="329">
        <f t="shared" si="46"/>
        <v>152.66999372239431</v>
      </c>
      <c r="AD213" s="329">
        <f t="shared" si="46"/>
        <v>187.00281170809052</v>
      </c>
    </row>
    <row r="214" spans="3:30" ht="14.25" customHeight="1" x14ac:dyDescent="0.2">
      <c r="C214" s="8" t="str">
        <v>Turks and Caicos Islands</v>
      </c>
      <c r="D214" s="8" t="str">
        <v>Latin America &amp; Caribbean</v>
      </c>
      <c r="E214" s="13" t="s">
        <v>579</v>
      </c>
      <c r="F214" s="124" t="str">
        <f t="shared" si="44"/>
        <v>Latin America &amp; Caribbean_High income</v>
      </c>
      <c r="G214" s="329">
        <f t="shared" si="45"/>
        <v>20.148173869272608</v>
      </c>
      <c r="H214" s="329">
        <f t="shared" si="45"/>
        <v>152.33868437748353</v>
      </c>
      <c r="I214" s="329">
        <f t="shared" si="45"/>
        <v>3.0416344571758089</v>
      </c>
      <c r="J214" s="329">
        <f t="shared" si="45"/>
        <v>0.33569845745632426</v>
      </c>
      <c r="K214" s="329">
        <f t="shared" si="45"/>
        <v>152.33868437748353</v>
      </c>
      <c r="L214" s="329">
        <f t="shared" si="45"/>
        <v>3.0416344571758089</v>
      </c>
      <c r="M214" s="329">
        <f t="shared" si="45"/>
        <v>385.49779249232023</v>
      </c>
      <c r="N214" s="329">
        <f t="shared" si="45"/>
        <v>1.7137512604923126</v>
      </c>
      <c r="O214" s="329">
        <f t="shared" si="45"/>
        <v>4.1115263115021587</v>
      </c>
      <c r="P214" s="329">
        <f t="shared" si="45"/>
        <v>4.9289279581529488</v>
      </c>
      <c r="Q214" s="329">
        <f t="shared" si="46"/>
        <v>129.34280249232026</v>
      </c>
      <c r="R214" s="329">
        <f t="shared" si="46"/>
        <v>1.7137512604923126</v>
      </c>
      <c r="S214" s="329">
        <f t="shared" si="46"/>
        <v>4.1115263115021587</v>
      </c>
      <c r="T214" s="329">
        <f t="shared" si="46"/>
        <v>4.9289279581529488</v>
      </c>
      <c r="U214" s="329">
        <f t="shared" si="46"/>
        <v>0</v>
      </c>
      <c r="V214" s="329">
        <f t="shared" si="46"/>
        <v>4.1115263115021587</v>
      </c>
      <c r="W214" s="329">
        <f t="shared" si="46"/>
        <v>4.9289279581529488</v>
      </c>
      <c r="X214" s="329">
        <f t="shared" si="46"/>
        <v>1.7137512604923126</v>
      </c>
      <c r="Y214" s="329">
        <f t="shared" si="46"/>
        <v>385.49779249232023</v>
      </c>
      <c r="Z214" s="329">
        <f t="shared" si="46"/>
        <v>0.33569845745632426</v>
      </c>
      <c r="AA214" s="329">
        <f t="shared" si="46"/>
        <v>0</v>
      </c>
      <c r="AB214" s="329">
        <f t="shared" si="46"/>
        <v>0</v>
      </c>
      <c r="AC214" s="329">
        <f t="shared" si="46"/>
        <v>3.0416344571758089</v>
      </c>
      <c r="AD214" s="329">
        <f t="shared" si="46"/>
        <v>152.33868437748353</v>
      </c>
    </row>
    <row r="215" spans="3:30" ht="14.25" customHeight="1" x14ac:dyDescent="0.2">
      <c r="C215" s="8" t="str">
        <v>Tuvalu</v>
      </c>
      <c r="D215" s="8" t="str">
        <v>East Asia &amp; Pacific</v>
      </c>
      <c r="E215" s="13" t="s">
        <v>578</v>
      </c>
      <c r="F215" s="124" t="str">
        <f t="shared" si="44"/>
        <v>East Asia &amp; Pacific_Upper middle income</v>
      </c>
      <c r="G215" s="329">
        <f t="shared" si="45"/>
        <v>34.298020437149731</v>
      </c>
      <c r="H215" s="329">
        <f t="shared" si="45"/>
        <v>181.37962313864892</v>
      </c>
      <c r="I215" s="329">
        <f t="shared" si="45"/>
        <v>27.549263552056701</v>
      </c>
      <c r="J215" s="329">
        <f t="shared" si="45"/>
        <v>0.56631726229035517</v>
      </c>
      <c r="K215" s="329">
        <f t="shared" si="45"/>
        <v>181.37962313864892</v>
      </c>
      <c r="L215" s="329">
        <f t="shared" si="45"/>
        <v>27.549263552056701</v>
      </c>
      <c r="M215" s="329">
        <f t="shared" si="45"/>
        <v>374.08105300516564</v>
      </c>
      <c r="N215" s="329">
        <f t="shared" si="45"/>
        <v>17.323676083160976</v>
      </c>
      <c r="O215" s="329">
        <f t="shared" si="45"/>
        <v>4.3699928165963389</v>
      </c>
      <c r="P215" s="329">
        <f t="shared" si="45"/>
        <v>4.9289279581529488</v>
      </c>
      <c r="Q215" s="329">
        <f t="shared" si="46"/>
        <v>80.512983968132318</v>
      </c>
      <c r="R215" s="329">
        <f t="shared" si="46"/>
        <v>17.323676083160976</v>
      </c>
      <c r="S215" s="329">
        <f t="shared" si="46"/>
        <v>4.3699928165963389</v>
      </c>
      <c r="T215" s="329">
        <f t="shared" si="46"/>
        <v>4.9289279581529488</v>
      </c>
      <c r="U215" s="329">
        <f t="shared" si="46"/>
        <v>0</v>
      </c>
      <c r="V215" s="329">
        <f t="shared" si="46"/>
        <v>4.3699928165963389</v>
      </c>
      <c r="W215" s="329">
        <f t="shared" si="46"/>
        <v>4.9289279581529488</v>
      </c>
      <c r="X215" s="329">
        <f t="shared" si="46"/>
        <v>17.323676083160976</v>
      </c>
      <c r="Y215" s="329">
        <f t="shared" si="46"/>
        <v>374.08105300516564</v>
      </c>
      <c r="Z215" s="329">
        <f t="shared" si="46"/>
        <v>0.56631726229035517</v>
      </c>
      <c r="AA215" s="329">
        <f t="shared" si="46"/>
        <v>0</v>
      </c>
      <c r="AB215" s="329">
        <f t="shared" si="46"/>
        <v>0</v>
      </c>
      <c r="AC215" s="329">
        <f t="shared" si="46"/>
        <v>27.549263552056701</v>
      </c>
      <c r="AD215" s="329">
        <f t="shared" si="46"/>
        <v>181.37962313864892</v>
      </c>
    </row>
    <row r="216" spans="3:30" ht="14.25" customHeight="1" x14ac:dyDescent="0.2">
      <c r="C216" s="8" t="str">
        <v>Uganda</v>
      </c>
      <c r="D216" s="8" t="str">
        <v>Sub-Saharan Africa</v>
      </c>
      <c r="E216" s="13" t="s">
        <v>586</v>
      </c>
      <c r="F216" s="124" t="str">
        <f t="shared" si="44"/>
        <v>Sub-Saharan Africa_Low income</v>
      </c>
      <c r="G216" s="329">
        <f t="shared" si="45"/>
        <v>23.309971460536438</v>
      </c>
      <c r="H216" s="329">
        <f t="shared" si="45"/>
        <v>136.54200831083281</v>
      </c>
      <c r="I216" s="329">
        <f t="shared" si="45"/>
        <v>48.066711217553774</v>
      </c>
      <c r="J216" s="329">
        <f t="shared" si="45"/>
        <v>0.38963996426925313</v>
      </c>
      <c r="K216" s="329">
        <f t="shared" si="45"/>
        <v>136.54200831083281</v>
      </c>
      <c r="L216" s="329">
        <f t="shared" si="45"/>
        <v>48.066711217553774</v>
      </c>
      <c r="M216" s="329">
        <f t="shared" si="45"/>
        <v>386.36066988979189</v>
      </c>
      <c r="N216" s="329">
        <f t="shared" si="45"/>
        <v>3.0069383810950008</v>
      </c>
      <c r="O216" s="329">
        <f t="shared" si="45"/>
        <v>6.2955859660608509</v>
      </c>
      <c r="P216" s="329">
        <f t="shared" si="45"/>
        <v>4.9289279581529488</v>
      </c>
      <c r="Q216" s="329">
        <f t="shared" si="46"/>
        <v>124.01862912013361</v>
      </c>
      <c r="R216" s="329">
        <f t="shared" si="46"/>
        <v>3.0069383810950008</v>
      </c>
      <c r="S216" s="329">
        <f t="shared" si="46"/>
        <v>6.2955859660608509</v>
      </c>
      <c r="T216" s="329">
        <f t="shared" si="46"/>
        <v>4.9289279581529488</v>
      </c>
      <c r="U216" s="329">
        <f t="shared" si="46"/>
        <v>0</v>
      </c>
      <c r="V216" s="329">
        <f t="shared" si="46"/>
        <v>6.2955859660608509</v>
      </c>
      <c r="W216" s="329">
        <f t="shared" si="46"/>
        <v>4.9289279581529488</v>
      </c>
      <c r="X216" s="329">
        <f t="shared" si="46"/>
        <v>3.0069383810950008</v>
      </c>
      <c r="Y216" s="329">
        <f t="shared" si="46"/>
        <v>386.36066988979189</v>
      </c>
      <c r="Z216" s="329">
        <f t="shared" si="46"/>
        <v>0.38963996426925313</v>
      </c>
      <c r="AA216" s="329">
        <f t="shared" si="46"/>
        <v>0</v>
      </c>
      <c r="AB216" s="329">
        <f t="shared" si="46"/>
        <v>0</v>
      </c>
      <c r="AC216" s="329">
        <f t="shared" si="46"/>
        <v>48.066711217553774</v>
      </c>
      <c r="AD216" s="329">
        <f t="shared" si="46"/>
        <v>136.54200831083281</v>
      </c>
    </row>
    <row r="217" spans="3:30" ht="14.25" customHeight="1" x14ac:dyDescent="0.2">
      <c r="C217" s="8" t="str">
        <v>Ukraine</v>
      </c>
      <c r="D217" s="8" t="str">
        <v>Europe &amp; Central Asia</v>
      </c>
      <c r="E217" s="13" t="s">
        <v>580</v>
      </c>
      <c r="F217" s="124" t="str">
        <f t="shared" si="44"/>
        <v>Europe &amp; Central Asia_Lower middle income</v>
      </c>
      <c r="G217" s="329">
        <f t="shared" si="45"/>
        <v>16.389890404618974</v>
      </c>
      <c r="H217" s="329">
        <f t="shared" si="45"/>
        <v>187.00281170809052</v>
      </c>
      <c r="I217" s="329">
        <f t="shared" si="45"/>
        <v>6.1196654975083868</v>
      </c>
      <c r="J217" s="329">
        <f t="shared" si="45"/>
        <v>0.27623410794301639</v>
      </c>
      <c r="K217" s="329">
        <f t="shared" si="45"/>
        <v>187.00281170809052</v>
      </c>
      <c r="L217" s="329">
        <f t="shared" si="45"/>
        <v>6.1196654975083868</v>
      </c>
      <c r="M217" s="329">
        <f t="shared" si="45"/>
        <v>386.86618149603243</v>
      </c>
      <c r="N217" s="329">
        <f t="shared" si="45"/>
        <v>4.6515589314044448</v>
      </c>
      <c r="O217" s="329">
        <f t="shared" si="45"/>
        <v>3.9686445724112089</v>
      </c>
      <c r="P217" s="329">
        <f t="shared" si="45"/>
        <v>4.9289279581529488</v>
      </c>
      <c r="Q217" s="329">
        <f t="shared" si="46"/>
        <v>95.816756871967598</v>
      </c>
      <c r="R217" s="329">
        <f t="shared" si="46"/>
        <v>4.6515589314044448</v>
      </c>
      <c r="S217" s="329">
        <f t="shared" si="46"/>
        <v>3.9686445724112089</v>
      </c>
      <c r="T217" s="329">
        <f t="shared" si="46"/>
        <v>4.9289279581529488</v>
      </c>
      <c r="U217" s="329">
        <f t="shared" si="46"/>
        <v>0</v>
      </c>
      <c r="V217" s="329">
        <f t="shared" si="46"/>
        <v>3.9686445724112089</v>
      </c>
      <c r="W217" s="329">
        <f t="shared" si="46"/>
        <v>4.9289279581529488</v>
      </c>
      <c r="X217" s="329">
        <f t="shared" si="46"/>
        <v>4.6515589314044448</v>
      </c>
      <c r="Y217" s="329">
        <f t="shared" si="46"/>
        <v>386.86618149603243</v>
      </c>
      <c r="Z217" s="329">
        <f t="shared" si="46"/>
        <v>0.27623410794301639</v>
      </c>
      <c r="AA217" s="329">
        <f t="shared" si="46"/>
        <v>0</v>
      </c>
      <c r="AB217" s="329">
        <f t="shared" si="46"/>
        <v>0</v>
      </c>
      <c r="AC217" s="329">
        <f t="shared" si="46"/>
        <v>6.1196654975083868</v>
      </c>
      <c r="AD217" s="329">
        <f t="shared" si="46"/>
        <v>187.00281170809052</v>
      </c>
    </row>
    <row r="218" spans="3:30" ht="14.25" customHeight="1" x14ac:dyDescent="0.2">
      <c r="C218" s="8" t="str">
        <v>United Arab Emirates</v>
      </c>
      <c r="D218" s="8" t="str">
        <v>Middle East &amp; North Africa</v>
      </c>
      <c r="E218" s="13" t="s">
        <v>579</v>
      </c>
      <c r="F218" s="124" t="str">
        <f t="shared" si="44"/>
        <v>Middle East &amp; North Africa_High income</v>
      </c>
      <c r="G218" s="329">
        <f t="shared" si="45"/>
        <v>69.656524426851533</v>
      </c>
      <c r="H218" s="329">
        <f t="shared" si="45"/>
        <v>183.05003240919942</v>
      </c>
      <c r="I218" s="329">
        <f t="shared" si="45"/>
        <v>153.90667489063208</v>
      </c>
      <c r="J218" s="329">
        <f t="shared" si="45"/>
        <v>1.1725076251857522</v>
      </c>
      <c r="K218" s="329">
        <f t="shared" si="45"/>
        <v>183.05003240919942</v>
      </c>
      <c r="L218" s="329">
        <f t="shared" si="45"/>
        <v>153.90667489063208</v>
      </c>
      <c r="M218" s="329">
        <f t="shared" si="45"/>
        <v>386.46125192258035</v>
      </c>
      <c r="N218" s="329">
        <f t="shared" si="45"/>
        <v>202.50878275083176</v>
      </c>
      <c r="O218" s="329">
        <f t="shared" si="45"/>
        <v>3.3729407228166459</v>
      </c>
      <c r="P218" s="329">
        <f t="shared" si="45"/>
        <v>4.9289279581529488</v>
      </c>
      <c r="Q218" s="329">
        <f t="shared" si="46"/>
        <v>130.30626192258038</v>
      </c>
      <c r="R218" s="329">
        <f t="shared" si="46"/>
        <v>202.50878275083176</v>
      </c>
      <c r="S218" s="329">
        <f t="shared" si="46"/>
        <v>3.3729407228166459</v>
      </c>
      <c r="T218" s="329">
        <f t="shared" si="46"/>
        <v>4.9289279581529488</v>
      </c>
      <c r="U218" s="329">
        <f t="shared" si="46"/>
        <v>0</v>
      </c>
      <c r="V218" s="329">
        <f t="shared" si="46"/>
        <v>3.3729407228166459</v>
      </c>
      <c r="W218" s="329">
        <f t="shared" si="46"/>
        <v>4.9289279581529488</v>
      </c>
      <c r="X218" s="329">
        <f t="shared" si="46"/>
        <v>202.50878275083176</v>
      </c>
      <c r="Y218" s="329">
        <f t="shared" si="46"/>
        <v>386.46125192258035</v>
      </c>
      <c r="Z218" s="329">
        <f t="shared" si="46"/>
        <v>0</v>
      </c>
      <c r="AA218" s="329">
        <f t="shared" si="46"/>
        <v>3.3729407228166459</v>
      </c>
      <c r="AB218" s="329">
        <f t="shared" si="46"/>
        <v>4.9289279581529488</v>
      </c>
      <c r="AC218" s="329">
        <f t="shared" si="46"/>
        <v>202.50878275083176</v>
      </c>
      <c r="AD218" s="329">
        <f t="shared" si="46"/>
        <v>130.30626192258038</v>
      </c>
    </row>
    <row r="219" spans="3:30" ht="14.25" customHeight="1" x14ac:dyDescent="0.2">
      <c r="C219" s="8" t="str">
        <v>United Kingdom</v>
      </c>
      <c r="D219" s="8" t="str">
        <v>Europe &amp; Central Asia</v>
      </c>
      <c r="E219" s="13" t="s">
        <v>579</v>
      </c>
      <c r="F219" s="124" t="str">
        <f t="shared" si="44"/>
        <v>Europe &amp; Central Asia_High income</v>
      </c>
      <c r="G219" s="329">
        <f t="shared" si="45"/>
        <v>8.7957386202985646</v>
      </c>
      <c r="H219" s="329">
        <f t="shared" si="45"/>
        <v>187.00281170809052</v>
      </c>
      <c r="I219" s="329">
        <f t="shared" si="45"/>
        <v>660.71213613039401</v>
      </c>
      <c r="J219" s="329">
        <f t="shared" si="45"/>
        <v>0.13961489873489788</v>
      </c>
      <c r="K219" s="329">
        <f t="shared" si="45"/>
        <v>187.00281170809052</v>
      </c>
      <c r="L219" s="329">
        <f t="shared" si="45"/>
        <v>660.71213613039401</v>
      </c>
      <c r="M219" s="329">
        <f t="shared" si="45"/>
        <v>386.6793967637542</v>
      </c>
      <c r="N219" s="329">
        <f t="shared" si="45"/>
        <v>62.332046451757499</v>
      </c>
      <c r="O219" s="329">
        <f t="shared" si="45"/>
        <v>6.0418773866368998</v>
      </c>
      <c r="P219" s="329">
        <f t="shared" si="45"/>
        <v>4.9289279581529488</v>
      </c>
      <c r="Q219" s="329">
        <f t="shared" si="46"/>
        <v>96.54776846024582</v>
      </c>
      <c r="R219" s="329">
        <f t="shared" si="46"/>
        <v>62.332046451757499</v>
      </c>
      <c r="S219" s="329">
        <f t="shared" si="46"/>
        <v>6.0418773866368998</v>
      </c>
      <c r="T219" s="329">
        <f t="shared" si="46"/>
        <v>4.9289279581529488</v>
      </c>
      <c r="U219" s="329">
        <f t="shared" si="46"/>
        <v>8.7957386202985646</v>
      </c>
      <c r="V219" s="329">
        <f t="shared" si="46"/>
        <v>0</v>
      </c>
      <c r="W219" s="329">
        <f t="shared" si="46"/>
        <v>0</v>
      </c>
      <c r="X219" s="329">
        <f t="shared" si="46"/>
        <v>660.71213613039401</v>
      </c>
      <c r="Y219" s="329">
        <f t="shared" si="46"/>
        <v>187.00281170809052</v>
      </c>
      <c r="Z219" s="329">
        <f t="shared" si="46"/>
        <v>0.13961489873489788</v>
      </c>
      <c r="AA219" s="329">
        <f t="shared" si="46"/>
        <v>0</v>
      </c>
      <c r="AB219" s="329">
        <f t="shared" si="46"/>
        <v>0</v>
      </c>
      <c r="AC219" s="329">
        <f t="shared" si="46"/>
        <v>660.71213613039401</v>
      </c>
      <c r="AD219" s="329">
        <f t="shared" si="46"/>
        <v>187.00281170809052</v>
      </c>
    </row>
    <row r="220" spans="3:30" ht="14.25" customHeight="1" x14ac:dyDescent="0.2">
      <c r="C220" s="8" t="str">
        <v>United States</v>
      </c>
      <c r="D220" s="8" t="str">
        <v>North America</v>
      </c>
      <c r="E220" s="13" t="s">
        <v>579</v>
      </c>
      <c r="F220" s="124" t="str">
        <f t="shared" si="44"/>
        <v>North America_High income</v>
      </c>
      <c r="G220" s="329">
        <f t="shared" si="45"/>
        <v>30.296433025472837</v>
      </c>
      <c r="H220" s="329">
        <f t="shared" si="45"/>
        <v>187.00281170809052</v>
      </c>
      <c r="I220" s="329">
        <f t="shared" si="45"/>
        <v>19.174224829735653</v>
      </c>
      <c r="J220" s="329">
        <f t="shared" si="45"/>
        <v>0.5080768271352587</v>
      </c>
      <c r="K220" s="329">
        <f t="shared" si="45"/>
        <v>187.00281170809052</v>
      </c>
      <c r="L220" s="329">
        <f t="shared" si="45"/>
        <v>19.174224829735653</v>
      </c>
      <c r="M220" s="329">
        <f t="shared" si="45"/>
        <v>379.10024645804356</v>
      </c>
      <c r="N220" s="329">
        <f t="shared" si="45"/>
        <v>6.6683415087711513</v>
      </c>
      <c r="O220" s="329">
        <f t="shared" si="45"/>
        <v>3.5836597344595256</v>
      </c>
      <c r="P220" s="329">
        <f t="shared" si="45"/>
        <v>4.9289279581529488</v>
      </c>
      <c r="Q220" s="329">
        <f t="shared" si="46"/>
        <v>122.9452564580436</v>
      </c>
      <c r="R220" s="329">
        <f t="shared" si="46"/>
        <v>6.6683415087711513</v>
      </c>
      <c r="S220" s="329">
        <f t="shared" si="46"/>
        <v>3.5836597344595256</v>
      </c>
      <c r="T220" s="329">
        <f t="shared" si="46"/>
        <v>4.9289279581529488</v>
      </c>
      <c r="U220" s="329">
        <f t="shared" si="46"/>
        <v>0</v>
      </c>
      <c r="V220" s="329">
        <f t="shared" si="46"/>
        <v>3.5836597344595256</v>
      </c>
      <c r="W220" s="329">
        <f t="shared" si="46"/>
        <v>4.9289279581529488</v>
      </c>
      <c r="X220" s="329">
        <f t="shared" si="46"/>
        <v>6.6683415087711513</v>
      </c>
      <c r="Y220" s="329">
        <f t="shared" si="46"/>
        <v>379.10024645804356</v>
      </c>
      <c r="Z220" s="329">
        <f t="shared" si="46"/>
        <v>0.5080768271352587</v>
      </c>
      <c r="AA220" s="329">
        <f t="shared" si="46"/>
        <v>0</v>
      </c>
      <c r="AB220" s="329">
        <f t="shared" si="46"/>
        <v>0</v>
      </c>
      <c r="AC220" s="329">
        <f t="shared" si="46"/>
        <v>19.174224829735653</v>
      </c>
      <c r="AD220" s="329">
        <f t="shared" si="46"/>
        <v>187.00281170809052</v>
      </c>
    </row>
    <row r="221" spans="3:30" ht="14.25" customHeight="1" x14ac:dyDescent="0.2">
      <c r="C221" s="8" t="str">
        <v>Uruguay</v>
      </c>
      <c r="D221" s="8" t="str">
        <v>Latin America &amp; Caribbean</v>
      </c>
      <c r="E221" s="13" t="s">
        <v>579</v>
      </c>
      <c r="F221" s="124" t="str">
        <f t="shared" si="44"/>
        <v>Latin America &amp; Caribbean_High income</v>
      </c>
      <c r="G221" s="329">
        <f t="shared" si="45"/>
        <v>20.096031352854446</v>
      </c>
      <c r="H221" s="329">
        <f t="shared" si="45"/>
        <v>167.34949443268115</v>
      </c>
      <c r="I221" s="329">
        <f t="shared" si="45"/>
        <v>2.5161979608158922</v>
      </c>
      <c r="J221" s="329">
        <f t="shared" si="45"/>
        <v>0.33838678223019514</v>
      </c>
      <c r="K221" s="329">
        <f t="shared" si="45"/>
        <v>167.34949443268115</v>
      </c>
      <c r="L221" s="329">
        <f t="shared" si="45"/>
        <v>2.5161979608158922</v>
      </c>
      <c r="M221" s="329">
        <f t="shared" si="45"/>
        <v>385.5599924206121</v>
      </c>
      <c r="N221" s="329">
        <f t="shared" si="45"/>
        <v>1.8299621533206494</v>
      </c>
      <c r="O221" s="329">
        <f t="shared" si="45"/>
        <v>3.6583542731509411</v>
      </c>
      <c r="P221" s="329">
        <f t="shared" si="45"/>
        <v>4.9289279581529488</v>
      </c>
      <c r="Q221" s="329">
        <f t="shared" si="46"/>
        <v>129.40500242061216</v>
      </c>
      <c r="R221" s="329">
        <f t="shared" si="46"/>
        <v>1.8299621533206494</v>
      </c>
      <c r="S221" s="329">
        <f t="shared" si="46"/>
        <v>3.6583542731509411</v>
      </c>
      <c r="T221" s="329">
        <f t="shared" si="46"/>
        <v>4.9289279581529488</v>
      </c>
      <c r="U221" s="329">
        <f t="shared" si="46"/>
        <v>0</v>
      </c>
      <c r="V221" s="329">
        <f t="shared" si="46"/>
        <v>3.6583542731509411</v>
      </c>
      <c r="W221" s="329">
        <f t="shared" si="46"/>
        <v>4.9289279581529488</v>
      </c>
      <c r="X221" s="329">
        <f t="shared" si="46"/>
        <v>1.8299621533206494</v>
      </c>
      <c r="Y221" s="329">
        <f t="shared" si="46"/>
        <v>385.5599924206121</v>
      </c>
      <c r="Z221" s="329">
        <f t="shared" si="46"/>
        <v>0.33838678223019514</v>
      </c>
      <c r="AA221" s="329">
        <f t="shared" si="46"/>
        <v>0</v>
      </c>
      <c r="AB221" s="329">
        <f t="shared" si="46"/>
        <v>0</v>
      </c>
      <c r="AC221" s="329">
        <f t="shared" si="46"/>
        <v>2.5161979608158922</v>
      </c>
      <c r="AD221" s="329">
        <f t="shared" si="46"/>
        <v>167.34949443268115</v>
      </c>
    </row>
    <row r="222" spans="3:30" ht="14.25" customHeight="1" x14ac:dyDescent="0.2">
      <c r="C222" s="8" t="str">
        <v>Uzbekistan</v>
      </c>
      <c r="D222" s="8" t="str">
        <v>Europe &amp; Central Asia</v>
      </c>
      <c r="E222" s="13" t="s">
        <v>580</v>
      </c>
      <c r="F222" s="124" t="str">
        <f t="shared" si="44"/>
        <v>Europe &amp; Central Asia_Lower middle income</v>
      </c>
      <c r="G222" s="329">
        <f t="shared" si="45"/>
        <v>16.389890404618974</v>
      </c>
      <c r="H222" s="329">
        <f t="shared" si="45"/>
        <v>187.00281170809052</v>
      </c>
      <c r="I222" s="329">
        <f t="shared" si="45"/>
        <v>6.1196654975083868</v>
      </c>
      <c r="J222" s="329">
        <f t="shared" si="45"/>
        <v>0.27623410794301639</v>
      </c>
      <c r="K222" s="329">
        <f t="shared" si="45"/>
        <v>187.00281170809052</v>
      </c>
      <c r="L222" s="329">
        <f t="shared" si="45"/>
        <v>6.1196654975083868</v>
      </c>
      <c r="M222" s="329">
        <f t="shared" si="45"/>
        <v>386.86618149603243</v>
      </c>
      <c r="N222" s="329">
        <f t="shared" si="45"/>
        <v>4.6515589314044448</v>
      </c>
      <c r="O222" s="329">
        <f t="shared" si="45"/>
        <v>3.9686445724112089</v>
      </c>
      <c r="P222" s="329">
        <f t="shared" si="45"/>
        <v>4.9289279581529488</v>
      </c>
      <c r="Q222" s="329">
        <f t="shared" si="46"/>
        <v>95.816756871967598</v>
      </c>
      <c r="R222" s="329">
        <f t="shared" si="46"/>
        <v>4.6515589314044448</v>
      </c>
      <c r="S222" s="329">
        <f t="shared" si="46"/>
        <v>3.9686445724112089</v>
      </c>
      <c r="T222" s="329">
        <f t="shared" si="46"/>
        <v>4.9289279581529488</v>
      </c>
      <c r="U222" s="329">
        <f t="shared" si="46"/>
        <v>0</v>
      </c>
      <c r="V222" s="329">
        <f t="shared" si="46"/>
        <v>3.9686445724112089</v>
      </c>
      <c r="W222" s="329">
        <f t="shared" si="46"/>
        <v>4.9289279581529488</v>
      </c>
      <c r="X222" s="329">
        <f t="shared" si="46"/>
        <v>4.6515589314044448</v>
      </c>
      <c r="Y222" s="329">
        <f t="shared" si="46"/>
        <v>386.86618149603243</v>
      </c>
      <c r="Z222" s="329">
        <f t="shared" si="46"/>
        <v>0.27623410794301639</v>
      </c>
      <c r="AA222" s="329">
        <f t="shared" si="46"/>
        <v>0</v>
      </c>
      <c r="AB222" s="329">
        <f t="shared" si="46"/>
        <v>0</v>
      </c>
      <c r="AC222" s="329">
        <f t="shared" si="46"/>
        <v>6.1196654975083868</v>
      </c>
      <c r="AD222" s="329">
        <f t="shared" si="46"/>
        <v>187.00281170809052</v>
      </c>
    </row>
    <row r="223" spans="3:30" ht="14.25" customHeight="1" x14ac:dyDescent="0.2">
      <c r="C223" s="8" t="str">
        <v>Vanuatu</v>
      </c>
      <c r="D223" s="8" t="str">
        <v>East Asia &amp; Pacific</v>
      </c>
      <c r="E223" s="13" t="s">
        <v>580</v>
      </c>
      <c r="F223" s="124" t="str">
        <f t="shared" si="44"/>
        <v>East Asia &amp; Pacific_Lower middle income</v>
      </c>
      <c r="G223" s="329">
        <f t="shared" ref="G223:P230" si="47">IFERROR(IF(INDEX(Interim_Coefficients,MATCH($C223,Interim_Countries,0),MATCH(G$12,Interim_type,0))="No value",INDEX(Interim_CombinedCoefficients,MATCH($F223,Interim_CombinedTag,0),MATCH(G$12,Interim_CombinedType,0)),INDEX(Interim_Coefficients,MATCH($C223,Interim_Countries,0),MATCH(G$12,Interim_type,0))),INDEX(Interim_CombinedCoefficients,MATCH($F223,Interim_CombinedTag,0),MATCH(G$12,Interim_CombinedType,0)))</f>
        <v>21.040892851983276</v>
      </c>
      <c r="H223" s="329">
        <f t="shared" si="47"/>
        <v>185.01256757493803</v>
      </c>
      <c r="I223" s="329">
        <f t="shared" si="47"/>
        <v>304.6771769642977</v>
      </c>
      <c r="J223" s="329">
        <f t="shared" si="47"/>
        <v>0.34423100460524525</v>
      </c>
      <c r="K223" s="329">
        <f t="shared" si="47"/>
        <v>185.01256757493803</v>
      </c>
      <c r="L223" s="329">
        <f t="shared" si="47"/>
        <v>304.6771769642977</v>
      </c>
      <c r="M223" s="329">
        <f t="shared" si="47"/>
        <v>376.62670320349753</v>
      </c>
      <c r="N223" s="329">
        <f t="shared" si="47"/>
        <v>23.80079428655403</v>
      </c>
      <c r="O223" s="329">
        <f t="shared" si="47"/>
        <v>4.2989077809646146</v>
      </c>
      <c r="P223" s="329">
        <f t="shared" si="47"/>
        <v>4.9289279581529488</v>
      </c>
      <c r="Q223" s="329">
        <f t="shared" ref="Q223:AD230" si="48">IFERROR(IF(INDEX(Interim_Coefficients,MATCH($C223,Interim_Countries,0),MATCH(Q$12,Interim_type,0))="No value",INDEX(Interim_CombinedCoefficients,MATCH($F223,Interim_CombinedTag,0),MATCH(Q$12,Interim_CombinedType,0)),INDEX(Interim_Coefficients,MATCH($C223,Interim_Countries,0),MATCH(Q$12,Interim_type,0))),INDEX(Interim_CombinedCoefficients,MATCH($F223,Interim_CombinedTag,0),MATCH(Q$12,Interim_CombinedType,0)))</f>
        <v>120.47171320349753</v>
      </c>
      <c r="R223" s="329">
        <f t="shared" si="48"/>
        <v>23.80079428655403</v>
      </c>
      <c r="S223" s="329">
        <f t="shared" si="48"/>
        <v>4.2989077809646146</v>
      </c>
      <c r="T223" s="329">
        <f t="shared" si="48"/>
        <v>4.9289279581529488</v>
      </c>
      <c r="U223" s="329">
        <f t="shared" si="48"/>
        <v>21.040892851983276</v>
      </c>
      <c r="V223" s="329">
        <f t="shared" si="48"/>
        <v>0</v>
      </c>
      <c r="W223" s="329">
        <f t="shared" si="48"/>
        <v>0</v>
      </c>
      <c r="X223" s="329">
        <f t="shared" si="48"/>
        <v>304.6771769642977</v>
      </c>
      <c r="Y223" s="329">
        <f t="shared" si="48"/>
        <v>185.01256757493803</v>
      </c>
      <c r="Z223" s="329">
        <f t="shared" si="48"/>
        <v>0.34423100460524525</v>
      </c>
      <c r="AA223" s="329">
        <f t="shared" si="48"/>
        <v>0</v>
      </c>
      <c r="AB223" s="329">
        <f t="shared" si="48"/>
        <v>0</v>
      </c>
      <c r="AC223" s="329">
        <f t="shared" si="48"/>
        <v>304.6771769642977</v>
      </c>
      <c r="AD223" s="329">
        <f t="shared" si="48"/>
        <v>185.01256757493803</v>
      </c>
    </row>
    <row r="224" spans="3:30" ht="14.25" customHeight="1" x14ac:dyDescent="0.2">
      <c r="C224" s="8" t="str">
        <v>Venezuela, RB</v>
      </c>
      <c r="D224" s="8" t="str">
        <v>Latin America &amp; Caribbean</v>
      </c>
      <c r="E224" s="13" t="s">
        <v>578</v>
      </c>
      <c r="F224" s="124" t="str">
        <f t="shared" si="44"/>
        <v>Latin America &amp; Caribbean_Upper middle income</v>
      </c>
      <c r="G224" s="329">
        <f t="shared" si="47"/>
        <v>22.111961568366297</v>
      </c>
      <c r="H224" s="329">
        <f t="shared" si="47"/>
        <v>183.05003240919942</v>
      </c>
      <c r="I224" s="329">
        <f t="shared" si="47"/>
        <v>0.58694873138450954</v>
      </c>
      <c r="J224" s="329">
        <f t="shared" si="47"/>
        <v>0.36505142784704681</v>
      </c>
      <c r="K224" s="329">
        <f t="shared" si="47"/>
        <v>183.05003240919942</v>
      </c>
      <c r="L224" s="329">
        <f t="shared" si="47"/>
        <v>0.58694873138450954</v>
      </c>
      <c r="M224" s="329">
        <f t="shared" si="47"/>
        <v>385.72556753481524</v>
      </c>
      <c r="N224" s="329">
        <f t="shared" si="47"/>
        <v>0.376882869625843</v>
      </c>
      <c r="O224" s="329">
        <f t="shared" si="47"/>
        <v>3.9495718452258073</v>
      </c>
      <c r="P224" s="329">
        <f t="shared" si="47"/>
        <v>4.9289279581529488</v>
      </c>
      <c r="Q224" s="329">
        <f t="shared" si="48"/>
        <v>129.57057753481527</v>
      </c>
      <c r="R224" s="329">
        <f t="shared" si="48"/>
        <v>0.376882869625843</v>
      </c>
      <c r="S224" s="329">
        <f t="shared" si="48"/>
        <v>3.9495718452258073</v>
      </c>
      <c r="T224" s="329">
        <f t="shared" si="48"/>
        <v>4.9289279581529488</v>
      </c>
      <c r="U224" s="329">
        <f t="shared" si="48"/>
        <v>0</v>
      </c>
      <c r="V224" s="329">
        <f t="shared" si="48"/>
        <v>3.9495718452258073</v>
      </c>
      <c r="W224" s="329">
        <f t="shared" si="48"/>
        <v>4.9289279581529488</v>
      </c>
      <c r="X224" s="329">
        <f t="shared" si="48"/>
        <v>0.376882869625843</v>
      </c>
      <c r="Y224" s="329">
        <f t="shared" si="48"/>
        <v>385.72556753481524</v>
      </c>
      <c r="Z224" s="329">
        <f t="shared" si="48"/>
        <v>0</v>
      </c>
      <c r="AA224" s="329">
        <f t="shared" si="48"/>
        <v>0</v>
      </c>
      <c r="AB224" s="329">
        <f t="shared" si="48"/>
        <v>0</v>
      </c>
      <c r="AC224" s="329">
        <f t="shared" si="48"/>
        <v>0.58694873138450954</v>
      </c>
      <c r="AD224" s="329">
        <f t="shared" si="48"/>
        <v>183.05003240919942</v>
      </c>
    </row>
    <row r="225" spans="3:30" ht="14.25" customHeight="1" x14ac:dyDescent="0.2">
      <c r="C225" s="8" t="str">
        <v>Viet Nam</v>
      </c>
      <c r="D225" s="8" t="str">
        <v>East Asia &amp; Pacific</v>
      </c>
      <c r="E225" s="13" t="s">
        <v>580</v>
      </c>
      <c r="F225" s="124" t="str">
        <f t="shared" si="44"/>
        <v>East Asia &amp; Pacific_Lower middle income</v>
      </c>
      <c r="G225" s="329">
        <f t="shared" si="47"/>
        <v>18.142547468037336</v>
      </c>
      <c r="H225" s="329">
        <f t="shared" si="47"/>
        <v>178.32133445217278</v>
      </c>
      <c r="I225" s="329">
        <f t="shared" si="47"/>
        <v>577.13666874622788</v>
      </c>
      <c r="J225" s="329">
        <f t="shared" si="47"/>
        <v>0.305434197435623</v>
      </c>
      <c r="K225" s="329">
        <f t="shared" si="47"/>
        <v>178.32133445217278</v>
      </c>
      <c r="L225" s="329">
        <f t="shared" si="47"/>
        <v>577.13666874622788</v>
      </c>
      <c r="M225" s="329">
        <f t="shared" si="47"/>
        <v>378.74206300931905</v>
      </c>
      <c r="N225" s="329">
        <f t="shared" si="47"/>
        <v>25.332724575055668</v>
      </c>
      <c r="O225" s="329">
        <f t="shared" si="47"/>
        <v>5.3287173812130382</v>
      </c>
      <c r="P225" s="329">
        <f t="shared" si="47"/>
        <v>4.9289279581529488</v>
      </c>
      <c r="Q225" s="329">
        <f t="shared" si="48"/>
        <v>122.58707300931908</v>
      </c>
      <c r="R225" s="329">
        <f t="shared" si="48"/>
        <v>25.332724575055668</v>
      </c>
      <c r="S225" s="329">
        <f t="shared" si="48"/>
        <v>5.3287173812130382</v>
      </c>
      <c r="T225" s="329">
        <f t="shared" si="48"/>
        <v>4.9289279581529488</v>
      </c>
      <c r="U225" s="329">
        <f t="shared" si="48"/>
        <v>18.142547468037336</v>
      </c>
      <c r="V225" s="329">
        <f t="shared" si="48"/>
        <v>0</v>
      </c>
      <c r="W225" s="329">
        <f t="shared" si="48"/>
        <v>0</v>
      </c>
      <c r="X225" s="329">
        <f t="shared" si="48"/>
        <v>577.13666874622788</v>
      </c>
      <c r="Y225" s="329">
        <f t="shared" si="48"/>
        <v>178.32133445217278</v>
      </c>
      <c r="Z225" s="329">
        <f t="shared" si="48"/>
        <v>0.305434197435623</v>
      </c>
      <c r="AA225" s="329">
        <f t="shared" si="48"/>
        <v>0</v>
      </c>
      <c r="AB225" s="329">
        <f t="shared" si="48"/>
        <v>0</v>
      </c>
      <c r="AC225" s="329">
        <f t="shared" si="48"/>
        <v>577.13666874622788</v>
      </c>
      <c r="AD225" s="329">
        <f t="shared" si="48"/>
        <v>178.32133445217278</v>
      </c>
    </row>
    <row r="226" spans="3:30" ht="14.25" customHeight="1" x14ac:dyDescent="0.2">
      <c r="C226" s="8" t="str">
        <v>Virgin Islands (U.S.)</v>
      </c>
      <c r="D226" s="8" t="str">
        <v>Latin America &amp; Caribbean</v>
      </c>
      <c r="E226" s="13" t="s">
        <v>579</v>
      </c>
      <c r="F226" s="124" t="str">
        <f t="shared" si="44"/>
        <v>Latin America &amp; Caribbean_High income</v>
      </c>
      <c r="G226" s="329">
        <f t="shared" si="47"/>
        <v>20.148173869272608</v>
      </c>
      <c r="H226" s="329">
        <f t="shared" si="47"/>
        <v>152.33868437748353</v>
      </c>
      <c r="I226" s="329">
        <f t="shared" si="47"/>
        <v>3.0416344571758089</v>
      </c>
      <c r="J226" s="329">
        <f t="shared" si="47"/>
        <v>0.33569845745632426</v>
      </c>
      <c r="K226" s="329">
        <f t="shared" si="47"/>
        <v>152.33868437748353</v>
      </c>
      <c r="L226" s="329">
        <f t="shared" si="47"/>
        <v>3.0416344571758089</v>
      </c>
      <c r="M226" s="329">
        <f t="shared" si="47"/>
        <v>385.49779249232023</v>
      </c>
      <c r="N226" s="329">
        <f t="shared" si="47"/>
        <v>1.7137512604923126</v>
      </c>
      <c r="O226" s="329">
        <f t="shared" si="47"/>
        <v>4.1115263115021587</v>
      </c>
      <c r="P226" s="329">
        <f t="shared" si="47"/>
        <v>4.9289279581529488</v>
      </c>
      <c r="Q226" s="329">
        <f t="shared" si="48"/>
        <v>129.34280249232026</v>
      </c>
      <c r="R226" s="329">
        <f t="shared" si="48"/>
        <v>1.7137512604923126</v>
      </c>
      <c r="S226" s="329">
        <f t="shared" si="48"/>
        <v>4.1115263115021587</v>
      </c>
      <c r="T226" s="329">
        <f t="shared" si="48"/>
        <v>4.9289279581529488</v>
      </c>
      <c r="U226" s="329">
        <f t="shared" si="48"/>
        <v>0</v>
      </c>
      <c r="V226" s="329">
        <f t="shared" si="48"/>
        <v>4.1115263115021587</v>
      </c>
      <c r="W226" s="329">
        <f t="shared" si="48"/>
        <v>4.9289279581529488</v>
      </c>
      <c r="X226" s="329">
        <f t="shared" si="48"/>
        <v>1.7137512604923126</v>
      </c>
      <c r="Y226" s="329">
        <f t="shared" si="48"/>
        <v>385.49779249232023</v>
      </c>
      <c r="Z226" s="329">
        <f t="shared" si="48"/>
        <v>0.33569845745632426</v>
      </c>
      <c r="AA226" s="329">
        <f t="shared" si="48"/>
        <v>0</v>
      </c>
      <c r="AB226" s="329">
        <f t="shared" si="48"/>
        <v>0</v>
      </c>
      <c r="AC226" s="329">
        <f t="shared" si="48"/>
        <v>3.0416344571758089</v>
      </c>
      <c r="AD226" s="329">
        <f t="shared" si="48"/>
        <v>152.33868437748353</v>
      </c>
    </row>
    <row r="227" spans="3:30" ht="14.25" customHeight="1" x14ac:dyDescent="0.2">
      <c r="C227" s="8" t="str">
        <v>West Bank and Gaza</v>
      </c>
      <c r="D227" s="8" t="str">
        <v>Middle East &amp; North Africa</v>
      </c>
      <c r="E227" s="13" t="s">
        <v>578</v>
      </c>
      <c r="F227" s="124" t="str">
        <f t="shared" si="44"/>
        <v>Middle East &amp; North Africa_Upper middle income</v>
      </c>
      <c r="G227" s="329">
        <f t="shared" si="47"/>
        <v>30.294715124539458</v>
      </c>
      <c r="H227" s="329">
        <f t="shared" si="47"/>
        <v>158.10218942291891</v>
      </c>
      <c r="I227" s="329">
        <f t="shared" si="47"/>
        <v>42.620212096282287</v>
      </c>
      <c r="J227" s="329">
        <f t="shared" si="47"/>
        <v>0.50493108962241351</v>
      </c>
      <c r="K227" s="329">
        <f t="shared" si="47"/>
        <v>158.10218942291891</v>
      </c>
      <c r="L227" s="329">
        <f t="shared" si="47"/>
        <v>42.620212096282287</v>
      </c>
      <c r="M227" s="329">
        <f t="shared" si="47"/>
        <v>384.65582734226996</v>
      </c>
      <c r="N227" s="329">
        <f t="shared" si="47"/>
        <v>36.769578376181798</v>
      </c>
      <c r="O227" s="329">
        <f t="shared" si="47"/>
        <v>3.8160436740925889</v>
      </c>
      <c r="P227" s="329">
        <f t="shared" si="47"/>
        <v>4.9289279581529488</v>
      </c>
      <c r="Q227" s="329">
        <f t="shared" si="48"/>
        <v>108.14207913996019</v>
      </c>
      <c r="R227" s="329">
        <f t="shared" si="48"/>
        <v>36.769578376181798</v>
      </c>
      <c r="S227" s="329">
        <f t="shared" si="48"/>
        <v>3.8160436740925889</v>
      </c>
      <c r="T227" s="329">
        <f t="shared" si="48"/>
        <v>4.9289279581529488</v>
      </c>
      <c r="U227" s="329">
        <f t="shared" si="48"/>
        <v>0</v>
      </c>
      <c r="V227" s="329">
        <f t="shared" si="48"/>
        <v>3.8160436740925889</v>
      </c>
      <c r="W227" s="329">
        <f t="shared" si="48"/>
        <v>4.9289279581529488</v>
      </c>
      <c r="X227" s="329">
        <f t="shared" si="48"/>
        <v>36.769578376181798</v>
      </c>
      <c r="Y227" s="329">
        <f t="shared" si="48"/>
        <v>384.65582734226996</v>
      </c>
      <c r="Z227" s="329">
        <f t="shared" si="48"/>
        <v>0.50493108962241351</v>
      </c>
      <c r="AA227" s="329">
        <f t="shared" si="48"/>
        <v>0</v>
      </c>
      <c r="AB227" s="329">
        <f t="shared" si="48"/>
        <v>0</v>
      </c>
      <c r="AC227" s="329">
        <f t="shared" si="48"/>
        <v>42.620212096282287</v>
      </c>
      <c r="AD227" s="329">
        <f t="shared" si="48"/>
        <v>158.10218942291891</v>
      </c>
    </row>
    <row r="228" spans="3:30" ht="14.25" customHeight="1" x14ac:dyDescent="0.2">
      <c r="C228" s="8" t="str">
        <v>Yemen, Rep.</v>
      </c>
      <c r="D228" s="8" t="str">
        <v>Middle East &amp; North Africa</v>
      </c>
      <c r="E228" s="13" t="s">
        <v>586</v>
      </c>
      <c r="F228" s="124" t="str">
        <f t="shared" si="44"/>
        <v>Middle East &amp; North Africa_Low income</v>
      </c>
      <c r="G228" s="329">
        <f t="shared" si="47"/>
        <v>26.491283370467162</v>
      </c>
      <c r="H228" s="329">
        <f t="shared" si="47"/>
        <v>179.93842610807491</v>
      </c>
      <c r="I228" s="329">
        <f t="shared" si="47"/>
        <v>66.517492490305415</v>
      </c>
      <c r="J228" s="329">
        <f t="shared" si="47"/>
        <v>0.44106885838991111</v>
      </c>
      <c r="K228" s="329">
        <f t="shared" si="47"/>
        <v>179.93842610807491</v>
      </c>
      <c r="L228" s="329">
        <f t="shared" si="47"/>
        <v>66.517492490305415</v>
      </c>
      <c r="M228" s="329">
        <f t="shared" si="47"/>
        <v>385.68567689575991</v>
      </c>
      <c r="N228" s="329">
        <f t="shared" si="47"/>
        <v>37.070359398766541</v>
      </c>
      <c r="O228" s="329">
        <f t="shared" si="47"/>
        <v>7.5349808074185907</v>
      </c>
      <c r="P228" s="329">
        <f t="shared" si="47"/>
        <v>4.9289279581529488</v>
      </c>
      <c r="Q228" s="329">
        <f t="shared" si="48"/>
        <v>110.59822292113731</v>
      </c>
      <c r="R228" s="329">
        <f t="shared" si="48"/>
        <v>37.070359398766541</v>
      </c>
      <c r="S228" s="329">
        <f t="shared" si="48"/>
        <v>7.5349808074185907</v>
      </c>
      <c r="T228" s="329">
        <f t="shared" si="48"/>
        <v>4.9289279581529488</v>
      </c>
      <c r="U228" s="329">
        <f t="shared" si="48"/>
        <v>0</v>
      </c>
      <c r="V228" s="329">
        <f t="shared" si="48"/>
        <v>7.5349808074185907</v>
      </c>
      <c r="W228" s="329">
        <f t="shared" si="48"/>
        <v>4.9289279581529488</v>
      </c>
      <c r="X228" s="329">
        <f t="shared" si="48"/>
        <v>37.070359398766541</v>
      </c>
      <c r="Y228" s="329">
        <f t="shared" si="48"/>
        <v>385.68567689575991</v>
      </c>
      <c r="Z228" s="329">
        <f t="shared" si="48"/>
        <v>0.44106885838991111</v>
      </c>
      <c r="AA228" s="329">
        <f t="shared" si="48"/>
        <v>0</v>
      </c>
      <c r="AB228" s="329">
        <f t="shared" si="48"/>
        <v>0</v>
      </c>
      <c r="AC228" s="329">
        <f t="shared" si="48"/>
        <v>66.517492490305415</v>
      </c>
      <c r="AD228" s="329">
        <f t="shared" si="48"/>
        <v>179.93842610807491</v>
      </c>
    </row>
    <row r="229" spans="3:30" ht="14.25" customHeight="1" x14ac:dyDescent="0.2">
      <c r="C229" s="8" t="str">
        <v>Zambia</v>
      </c>
      <c r="D229" s="8" t="str">
        <v>Sub-Saharan Africa</v>
      </c>
      <c r="E229" s="13" t="s">
        <v>580</v>
      </c>
      <c r="F229" s="124" t="str">
        <f t="shared" si="44"/>
        <v>Sub-Saharan Africa_Lower middle income</v>
      </c>
      <c r="G229" s="329">
        <f t="shared" si="47"/>
        <v>23.309971460536438</v>
      </c>
      <c r="H229" s="329">
        <f t="shared" si="47"/>
        <v>136.54200831083281</v>
      </c>
      <c r="I229" s="329">
        <f t="shared" si="47"/>
        <v>48.066711217553774</v>
      </c>
      <c r="J229" s="329">
        <f t="shared" si="47"/>
        <v>0.38963996426925313</v>
      </c>
      <c r="K229" s="329">
        <f t="shared" si="47"/>
        <v>136.54200831083281</v>
      </c>
      <c r="L229" s="329">
        <f t="shared" si="47"/>
        <v>48.066711217553774</v>
      </c>
      <c r="M229" s="329">
        <f t="shared" si="47"/>
        <v>386.36066988979189</v>
      </c>
      <c r="N229" s="329">
        <f t="shared" si="47"/>
        <v>3.0069383810950008</v>
      </c>
      <c r="O229" s="329">
        <f t="shared" si="47"/>
        <v>6.2955859660608509</v>
      </c>
      <c r="P229" s="329">
        <f t="shared" si="47"/>
        <v>4.9289279581529488</v>
      </c>
      <c r="Q229" s="329">
        <f t="shared" si="48"/>
        <v>124.01862912013361</v>
      </c>
      <c r="R229" s="329">
        <f t="shared" si="48"/>
        <v>3.0069383810950008</v>
      </c>
      <c r="S229" s="329">
        <f t="shared" si="48"/>
        <v>6.2955859660608509</v>
      </c>
      <c r="T229" s="329">
        <f t="shared" si="48"/>
        <v>4.9289279581529488</v>
      </c>
      <c r="U229" s="329">
        <f t="shared" si="48"/>
        <v>0</v>
      </c>
      <c r="V229" s="329">
        <f t="shared" si="48"/>
        <v>6.2955859660608509</v>
      </c>
      <c r="W229" s="329">
        <f t="shared" si="48"/>
        <v>4.9289279581529488</v>
      </c>
      <c r="X229" s="329">
        <f t="shared" si="48"/>
        <v>3.0069383810950008</v>
      </c>
      <c r="Y229" s="329">
        <f t="shared" si="48"/>
        <v>386.36066988979189</v>
      </c>
      <c r="Z229" s="329">
        <f t="shared" si="48"/>
        <v>0.38963996426925313</v>
      </c>
      <c r="AA229" s="329">
        <f t="shared" si="48"/>
        <v>0</v>
      </c>
      <c r="AB229" s="329">
        <f t="shared" si="48"/>
        <v>0</v>
      </c>
      <c r="AC229" s="329">
        <f t="shared" si="48"/>
        <v>48.066711217553774</v>
      </c>
      <c r="AD229" s="329">
        <f t="shared" si="48"/>
        <v>136.54200831083281</v>
      </c>
    </row>
    <row r="230" spans="3:30" ht="14.25" customHeight="1" x14ac:dyDescent="0.2">
      <c r="C230" s="8" t="str">
        <v>Zimbabwe</v>
      </c>
      <c r="D230" s="8" t="str">
        <v>Sub-Saharan Africa</v>
      </c>
      <c r="E230" s="13" t="s">
        <v>580</v>
      </c>
      <c r="F230" s="124" t="str">
        <f t="shared" si="44"/>
        <v>Sub-Saharan Africa_Lower middle income</v>
      </c>
      <c r="G230" s="329">
        <f t="shared" si="47"/>
        <v>23.309971460536438</v>
      </c>
      <c r="H230" s="329">
        <f t="shared" si="47"/>
        <v>136.54200831083281</v>
      </c>
      <c r="I230" s="329">
        <f t="shared" si="47"/>
        <v>48.066711217553774</v>
      </c>
      <c r="J230" s="329">
        <f t="shared" si="47"/>
        <v>0.38963996426925313</v>
      </c>
      <c r="K230" s="329">
        <f t="shared" si="47"/>
        <v>136.54200831083281</v>
      </c>
      <c r="L230" s="329">
        <f t="shared" si="47"/>
        <v>48.066711217553774</v>
      </c>
      <c r="M230" s="329">
        <f t="shared" si="47"/>
        <v>386.36066988979189</v>
      </c>
      <c r="N230" s="329">
        <f t="shared" si="47"/>
        <v>3.0069383810950008</v>
      </c>
      <c r="O230" s="329">
        <f t="shared" si="47"/>
        <v>6.2955859660608509</v>
      </c>
      <c r="P230" s="329">
        <f t="shared" si="47"/>
        <v>4.9289279581529488</v>
      </c>
      <c r="Q230" s="329">
        <f t="shared" si="48"/>
        <v>124.01862912013361</v>
      </c>
      <c r="R230" s="329">
        <f t="shared" si="48"/>
        <v>3.0069383810950008</v>
      </c>
      <c r="S230" s="329">
        <f t="shared" si="48"/>
        <v>6.2955859660608509</v>
      </c>
      <c r="T230" s="329">
        <f t="shared" si="48"/>
        <v>4.9289279581529488</v>
      </c>
      <c r="U230" s="329">
        <f t="shared" si="48"/>
        <v>0</v>
      </c>
      <c r="V230" s="329">
        <f t="shared" si="48"/>
        <v>6.2955859660608509</v>
      </c>
      <c r="W230" s="329">
        <f t="shared" si="48"/>
        <v>4.9289279581529488</v>
      </c>
      <c r="X230" s="329">
        <f t="shared" si="48"/>
        <v>3.0069383810950008</v>
      </c>
      <c r="Y230" s="329">
        <f t="shared" si="48"/>
        <v>386.36066988979189</v>
      </c>
      <c r="Z230" s="329">
        <f t="shared" si="48"/>
        <v>0.38963996426925313</v>
      </c>
      <c r="AA230" s="329">
        <f t="shared" si="48"/>
        <v>0</v>
      </c>
      <c r="AB230" s="329">
        <f t="shared" si="48"/>
        <v>0</v>
      </c>
      <c r="AC230" s="329">
        <f t="shared" si="48"/>
        <v>48.066711217553774</v>
      </c>
      <c r="AD230" s="329">
        <f t="shared" si="48"/>
        <v>136.54200831083281</v>
      </c>
    </row>
    <row r="231" spans="3:30" ht="14.25" customHeight="1" x14ac:dyDescent="0.2"/>
    <row r="232" spans="3:30" ht="14.25" customHeight="1" x14ac:dyDescent="0.2"/>
    <row r="233" spans="3:30" ht="14.25" customHeight="1" x14ac:dyDescent="0.2"/>
    <row r="234" spans="3:30" ht="14.25" customHeight="1" x14ac:dyDescent="0.2"/>
    <row r="235" spans="3:30" ht="14.25" customHeight="1" x14ac:dyDescent="0.2"/>
    <row r="236" spans="3:30" ht="14.25" customHeight="1" x14ac:dyDescent="0.2"/>
    <row r="237" spans="3:30" ht="14.25" customHeight="1" x14ac:dyDescent="0.2"/>
    <row r="238" spans="3:30" ht="14.25" customHeight="1" x14ac:dyDescent="0.2"/>
    <row r="239" spans="3:30" ht="14.25" customHeight="1" x14ac:dyDescent="0.2"/>
    <row r="240" spans="3:3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autoFilter ref="C12:AD230" xr:uid="{00000000-0001-0000-0600-000000000000}"/>
  <mergeCells count="9">
    <mergeCell ref="G7:L7"/>
    <mergeCell ref="M7:T7"/>
    <mergeCell ref="U7:AD7"/>
    <mergeCell ref="G8:I8"/>
    <mergeCell ref="J8:L8"/>
    <mergeCell ref="M8:P8"/>
    <mergeCell ref="Q8:T8"/>
    <mergeCell ref="U8:Y8"/>
    <mergeCell ref="Z8:AD8"/>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B2955-B0E4-4DF0-A3CD-8FACB146A83C}">
  <sheetPr codeName="Sheet7">
    <tabColor theme="1" tint="0.249977111117893"/>
  </sheetPr>
  <dimension ref="A1"/>
  <sheetViews>
    <sheetView workbookViewId="0"/>
  </sheetViews>
  <sheetFormatPr baseColWidth="10" defaultColWidth="8.83203125" defaultRowHeight="15" x14ac:dyDescent="0.2"/>
  <cols>
    <col min="1" max="16384" width="8.83203125" style="190"/>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85407-0124-44BF-8FC8-49918FB94145}">
  <sheetPr codeName="Sheet17">
    <tabColor rgb="FFF6BAC3"/>
  </sheetPr>
  <dimension ref="B1:I54"/>
  <sheetViews>
    <sheetView showGridLines="0" zoomScaleNormal="100" workbookViewId="0"/>
  </sheetViews>
  <sheetFormatPr baseColWidth="10" defaultColWidth="8.83203125" defaultRowHeight="15" x14ac:dyDescent="0.2"/>
  <cols>
    <col min="2" max="2" width="80.6640625" bestFit="1" customWidth="1"/>
    <col min="3" max="3" width="37.83203125" bestFit="1" customWidth="1"/>
    <col min="4" max="4" width="50.6640625" bestFit="1" customWidth="1"/>
    <col min="5" max="5" width="10.83203125" bestFit="1" customWidth="1"/>
    <col min="6" max="6" width="17.33203125" bestFit="1" customWidth="1"/>
    <col min="7" max="8" width="10.83203125" bestFit="1" customWidth="1"/>
    <col min="9" max="9" width="49.6640625" bestFit="1" customWidth="1"/>
    <col min="10" max="10" width="52.1640625" bestFit="1" customWidth="1"/>
  </cols>
  <sheetData>
    <row r="1" spans="2:9" s="197" customFormat="1" x14ac:dyDescent="0.2">
      <c r="B1" s="197" t="s">
        <v>245</v>
      </c>
      <c r="C1" s="197" t="s">
        <v>246</v>
      </c>
      <c r="D1" s="197" t="s">
        <v>247</v>
      </c>
      <c r="E1" s="197" t="s">
        <v>248</v>
      </c>
      <c r="F1" s="197" t="s">
        <v>249</v>
      </c>
      <c r="G1" s="197" t="s">
        <v>250</v>
      </c>
      <c r="H1" s="197" t="s">
        <v>251</v>
      </c>
      <c r="I1" s="197" t="s">
        <v>252</v>
      </c>
    </row>
    <row r="3" spans="2:9" ht="21" x14ac:dyDescent="0.25">
      <c r="B3" s="1" t="s">
        <v>822</v>
      </c>
    </row>
    <row r="5" spans="2:9" x14ac:dyDescent="0.2">
      <c r="B5" s="3" t="s">
        <v>591</v>
      </c>
    </row>
    <row r="6" spans="2:9" x14ac:dyDescent="0.2">
      <c r="B6" s="188" t="s">
        <v>825</v>
      </c>
    </row>
    <row r="9" spans="2:9" x14ac:dyDescent="0.2">
      <c r="B9" s="188"/>
      <c r="C9" s="216" t="s">
        <v>14</v>
      </c>
      <c r="D9" s="216" t="s">
        <v>15</v>
      </c>
      <c r="E9" s="216" t="s">
        <v>16</v>
      </c>
      <c r="F9" s="216" t="s">
        <v>17</v>
      </c>
      <c r="G9" s="216" t="s">
        <v>18</v>
      </c>
      <c r="H9" s="216" t="s">
        <v>2</v>
      </c>
      <c r="I9" s="216" t="s">
        <v>10</v>
      </c>
    </row>
    <row r="10" spans="2:9" x14ac:dyDescent="0.2">
      <c r="C10" s="13" t="s">
        <v>253</v>
      </c>
      <c r="D10" s="22" t="s">
        <v>254</v>
      </c>
      <c r="E10" s="22">
        <v>2011</v>
      </c>
      <c r="F10" s="22"/>
      <c r="G10" s="208" t="s">
        <v>255</v>
      </c>
      <c r="H10" s="22"/>
      <c r="I10" s="22"/>
    </row>
    <row r="11" spans="2:9" x14ac:dyDescent="0.2">
      <c r="C11" s="13" t="s">
        <v>256</v>
      </c>
      <c r="D11" s="22" t="s">
        <v>257</v>
      </c>
      <c r="E11" s="22">
        <v>2012</v>
      </c>
      <c r="F11" s="22"/>
      <c r="G11" s="208" t="s">
        <v>258</v>
      </c>
      <c r="H11" s="22"/>
      <c r="I11" s="22"/>
    </row>
    <row r="12" spans="2:9" x14ac:dyDescent="0.2">
      <c r="C12" s="13" t="s">
        <v>259</v>
      </c>
      <c r="D12" s="22" t="s">
        <v>257</v>
      </c>
      <c r="E12" s="22">
        <v>2012</v>
      </c>
      <c r="F12" s="22"/>
      <c r="G12" s="208" t="s">
        <v>260</v>
      </c>
      <c r="H12" s="22"/>
      <c r="I12" s="22"/>
    </row>
    <row r="13" spans="2:9" x14ac:dyDescent="0.2">
      <c r="C13" s="13" t="s">
        <v>261</v>
      </c>
      <c r="D13" s="22" t="s">
        <v>1</v>
      </c>
      <c r="E13" s="22">
        <v>2023</v>
      </c>
      <c r="F13" s="22" t="s">
        <v>422</v>
      </c>
      <c r="G13" s="208">
        <v>80023</v>
      </c>
      <c r="H13" s="22"/>
      <c r="I13" s="22"/>
    </row>
    <row r="14" spans="2:9" x14ac:dyDescent="0.2">
      <c r="C14" s="13" t="s">
        <v>262</v>
      </c>
      <c r="D14" s="22" t="s">
        <v>19</v>
      </c>
      <c r="E14" s="22">
        <v>2023</v>
      </c>
      <c r="F14" s="22" t="s">
        <v>422</v>
      </c>
      <c r="G14" s="208">
        <v>54483</v>
      </c>
      <c r="H14" s="22"/>
      <c r="I14" s="22" t="s">
        <v>756</v>
      </c>
    </row>
    <row r="15" spans="2:9" x14ac:dyDescent="0.2">
      <c r="C15" s="13" t="s">
        <v>263</v>
      </c>
      <c r="D15" s="22"/>
      <c r="E15" s="22"/>
      <c r="F15" s="22"/>
      <c r="G15" s="208">
        <v>1</v>
      </c>
      <c r="H15" s="22"/>
      <c r="I15" s="22" t="s">
        <v>757</v>
      </c>
    </row>
    <row r="16" spans="2:9" x14ac:dyDescent="0.2">
      <c r="C16" s="13" t="s">
        <v>264</v>
      </c>
      <c r="D16" s="22" t="s">
        <v>265</v>
      </c>
      <c r="E16" s="22">
        <v>2013</v>
      </c>
      <c r="F16" s="22" t="s">
        <v>266</v>
      </c>
      <c r="G16" s="208">
        <v>143</v>
      </c>
      <c r="H16" s="22"/>
      <c r="I16" s="22" t="s">
        <v>758</v>
      </c>
    </row>
    <row r="17" spans="3:9" x14ac:dyDescent="0.2">
      <c r="C17" s="13" t="s">
        <v>267</v>
      </c>
      <c r="D17" s="22" t="s">
        <v>277</v>
      </c>
      <c r="E17" s="22">
        <v>2019</v>
      </c>
      <c r="F17" s="22"/>
      <c r="G17" s="208">
        <v>0.6</v>
      </c>
      <c r="H17" s="22"/>
      <c r="I17" s="22"/>
    </row>
    <row r="18" spans="3:9" x14ac:dyDescent="0.2">
      <c r="C18" s="13" t="s">
        <v>268</v>
      </c>
      <c r="D18" s="22" t="s">
        <v>269</v>
      </c>
      <c r="E18" s="22">
        <v>2024</v>
      </c>
      <c r="F18" s="22" t="s">
        <v>270</v>
      </c>
      <c r="G18" s="208">
        <v>0.87</v>
      </c>
      <c r="H18" s="22"/>
      <c r="I18" s="22" t="s">
        <v>759</v>
      </c>
    </row>
    <row r="19" spans="3:9" x14ac:dyDescent="0.2">
      <c r="C19" s="13" t="s">
        <v>271</v>
      </c>
      <c r="D19" s="22" t="s">
        <v>269</v>
      </c>
      <c r="E19" s="22">
        <v>2024</v>
      </c>
      <c r="F19" s="22" t="s">
        <v>270</v>
      </c>
      <c r="G19" s="208">
        <v>4.7E-2</v>
      </c>
      <c r="H19" s="22"/>
      <c r="I19" s="22" t="s">
        <v>759</v>
      </c>
    </row>
    <row r="20" spans="3:9" x14ac:dyDescent="0.2">
      <c r="C20" s="13" t="s">
        <v>272</v>
      </c>
      <c r="D20" s="22" t="s">
        <v>269</v>
      </c>
      <c r="E20" s="22">
        <v>2024</v>
      </c>
      <c r="F20" s="22" t="s">
        <v>270</v>
      </c>
      <c r="G20" s="208">
        <v>7.0000000000000001E-3</v>
      </c>
      <c r="H20" s="22"/>
      <c r="I20" s="22" t="s">
        <v>759</v>
      </c>
    </row>
    <row r="21" spans="3:9" x14ac:dyDescent="0.2">
      <c r="C21" s="13" t="s">
        <v>273</v>
      </c>
      <c r="D21" s="22" t="s">
        <v>269</v>
      </c>
      <c r="E21" s="22">
        <v>2024</v>
      </c>
      <c r="F21" s="22" t="s">
        <v>270</v>
      </c>
      <c r="G21" s="208">
        <v>4.0000000000000001E-3</v>
      </c>
      <c r="H21" s="22"/>
      <c r="I21" s="22" t="s">
        <v>759</v>
      </c>
    </row>
    <row r="22" spans="3:9" x14ac:dyDescent="0.2">
      <c r="C22" s="13" t="s">
        <v>274</v>
      </c>
      <c r="D22" s="22" t="s">
        <v>703</v>
      </c>
      <c r="E22" s="22">
        <v>2023</v>
      </c>
      <c r="F22" s="22" t="s">
        <v>275</v>
      </c>
      <c r="G22" s="208">
        <v>65</v>
      </c>
      <c r="H22" s="22"/>
      <c r="I22" s="22"/>
    </row>
    <row r="23" spans="3:9" x14ac:dyDescent="0.2">
      <c r="C23" s="13" t="s">
        <v>276</v>
      </c>
      <c r="D23" s="22" t="s">
        <v>277</v>
      </c>
      <c r="E23" s="22">
        <v>2019</v>
      </c>
      <c r="F23" s="22" t="s">
        <v>278</v>
      </c>
      <c r="G23" s="208">
        <v>0.5</v>
      </c>
      <c r="H23" s="22"/>
      <c r="I23" s="22" t="s">
        <v>760</v>
      </c>
    </row>
    <row r="24" spans="3:9" x14ac:dyDescent="0.2">
      <c r="C24" s="13" t="s">
        <v>279</v>
      </c>
      <c r="D24" s="22" t="s">
        <v>277</v>
      </c>
      <c r="E24" s="22">
        <v>2019</v>
      </c>
      <c r="F24" s="22" t="s">
        <v>278</v>
      </c>
      <c r="G24" s="208">
        <v>0.4</v>
      </c>
      <c r="H24" s="22"/>
      <c r="I24" s="22" t="s">
        <v>760</v>
      </c>
    </row>
    <row r="25" spans="3:9" x14ac:dyDescent="0.2">
      <c r="C25" s="13" t="s">
        <v>280</v>
      </c>
      <c r="D25" s="22" t="s">
        <v>277</v>
      </c>
      <c r="E25" s="22">
        <v>2019</v>
      </c>
      <c r="F25" s="22" t="s">
        <v>278</v>
      </c>
      <c r="G25" s="208">
        <v>0.9</v>
      </c>
      <c r="H25" s="22"/>
      <c r="I25" s="22" t="s">
        <v>760</v>
      </c>
    </row>
    <row r="26" spans="3:9" x14ac:dyDescent="0.2">
      <c r="C26" s="13" t="s">
        <v>281</v>
      </c>
      <c r="D26" s="22" t="s">
        <v>277</v>
      </c>
      <c r="E26" s="22">
        <v>2019</v>
      </c>
      <c r="F26" s="22" t="s">
        <v>278</v>
      </c>
      <c r="G26" s="208">
        <v>0.4</v>
      </c>
      <c r="H26" s="22"/>
      <c r="I26" s="22" t="s">
        <v>760</v>
      </c>
    </row>
    <row r="27" spans="3:9" x14ac:dyDescent="0.2">
      <c r="C27" s="13" t="s">
        <v>282</v>
      </c>
      <c r="D27" s="22" t="s">
        <v>704</v>
      </c>
      <c r="E27" s="22">
        <v>2022</v>
      </c>
      <c r="F27" s="22" t="s">
        <v>275</v>
      </c>
      <c r="G27" s="208">
        <v>600</v>
      </c>
      <c r="H27" s="22"/>
      <c r="I27" s="22"/>
    </row>
    <row r="28" spans="3:9" x14ac:dyDescent="0.2">
      <c r="C28" s="13" t="s">
        <v>283</v>
      </c>
      <c r="D28" s="22" t="s">
        <v>277</v>
      </c>
      <c r="E28" s="22">
        <v>2019</v>
      </c>
      <c r="F28" s="22" t="s">
        <v>284</v>
      </c>
      <c r="G28" s="208">
        <v>0.995</v>
      </c>
      <c r="H28" s="22"/>
      <c r="I28" s="22" t="s">
        <v>760</v>
      </c>
    </row>
    <row r="29" spans="3:9" x14ac:dyDescent="0.2">
      <c r="C29" s="13" t="s">
        <v>285</v>
      </c>
      <c r="D29" s="22" t="s">
        <v>277</v>
      </c>
      <c r="E29" s="22">
        <v>2019</v>
      </c>
      <c r="F29" s="22" t="s">
        <v>284</v>
      </c>
      <c r="G29" s="208">
        <v>0.95</v>
      </c>
      <c r="H29" s="22"/>
      <c r="I29" s="22" t="s">
        <v>760</v>
      </c>
    </row>
    <row r="30" spans="3:9" x14ac:dyDescent="0.2">
      <c r="C30" s="13" t="s">
        <v>286</v>
      </c>
      <c r="D30" s="22" t="s">
        <v>287</v>
      </c>
      <c r="E30" s="22">
        <v>2022</v>
      </c>
      <c r="F30" s="22" t="s">
        <v>284</v>
      </c>
      <c r="G30" s="208">
        <v>0.5</v>
      </c>
      <c r="H30" s="22"/>
      <c r="I30" s="22"/>
    </row>
    <row r="31" spans="3:9" x14ac:dyDescent="0.2">
      <c r="C31" s="13" t="s">
        <v>288</v>
      </c>
      <c r="D31" s="22" t="s">
        <v>682</v>
      </c>
      <c r="E31" s="22">
        <v>2008</v>
      </c>
      <c r="F31" s="22"/>
      <c r="G31" s="208">
        <v>93</v>
      </c>
      <c r="H31" s="22"/>
      <c r="I31" s="22"/>
    </row>
    <row r="32" spans="3:9" x14ac:dyDescent="0.2">
      <c r="C32" s="13" t="s">
        <v>289</v>
      </c>
      <c r="D32" s="22" t="s">
        <v>290</v>
      </c>
      <c r="E32" s="22"/>
      <c r="F32" s="22"/>
      <c r="G32" s="208">
        <v>1000</v>
      </c>
      <c r="H32" s="22"/>
      <c r="I32" s="22"/>
    </row>
    <row r="33" spans="3:9" x14ac:dyDescent="0.2">
      <c r="C33" s="13" t="s">
        <v>291</v>
      </c>
      <c r="D33" s="22" t="s">
        <v>19</v>
      </c>
      <c r="E33" s="22">
        <v>2023</v>
      </c>
      <c r="F33" s="22" t="s">
        <v>422</v>
      </c>
      <c r="G33" s="208">
        <v>680139</v>
      </c>
      <c r="H33" s="22"/>
      <c r="I33" s="22" t="s">
        <v>761</v>
      </c>
    </row>
    <row r="34" spans="3:9" x14ac:dyDescent="0.2">
      <c r="C34" s="13" t="s">
        <v>292</v>
      </c>
      <c r="D34" s="22" t="s">
        <v>19</v>
      </c>
      <c r="E34" s="22">
        <v>2023</v>
      </c>
      <c r="F34" s="22"/>
      <c r="G34" s="208">
        <v>4873263</v>
      </c>
      <c r="H34" s="22"/>
      <c r="I34" s="22" t="s">
        <v>762</v>
      </c>
    </row>
    <row r="35" spans="3:9" x14ac:dyDescent="0.2">
      <c r="C35" s="13" t="s">
        <v>293</v>
      </c>
      <c r="D35" s="22" t="s">
        <v>682</v>
      </c>
      <c r="E35" s="22">
        <v>2008</v>
      </c>
      <c r="F35" s="22" t="s">
        <v>294</v>
      </c>
      <c r="G35" s="208">
        <v>0.06</v>
      </c>
      <c r="H35" s="22"/>
      <c r="I35" s="22"/>
    </row>
    <row r="36" spans="3:9" x14ac:dyDescent="0.2">
      <c r="C36" s="13" t="s">
        <v>295</v>
      </c>
      <c r="D36" s="22" t="s">
        <v>682</v>
      </c>
      <c r="E36" s="22">
        <v>2008</v>
      </c>
      <c r="F36" s="22" t="s">
        <v>296</v>
      </c>
      <c r="G36" s="208">
        <v>0.8</v>
      </c>
      <c r="H36" s="22"/>
      <c r="I36" s="22"/>
    </row>
    <row r="37" spans="3:9" x14ac:dyDescent="0.2">
      <c r="C37" s="13" t="s">
        <v>297</v>
      </c>
      <c r="D37" s="22" t="s">
        <v>684</v>
      </c>
      <c r="E37" s="22"/>
      <c r="F37" s="22" t="s">
        <v>298</v>
      </c>
      <c r="G37" s="208">
        <v>40</v>
      </c>
      <c r="H37" s="22"/>
      <c r="I37" s="22" t="s">
        <v>763</v>
      </c>
    </row>
    <row r="38" spans="3:9" x14ac:dyDescent="0.2">
      <c r="C38" s="13" t="s">
        <v>299</v>
      </c>
      <c r="D38" s="22" t="s">
        <v>277</v>
      </c>
      <c r="E38" s="22">
        <v>2019</v>
      </c>
      <c r="F38" s="22" t="s">
        <v>284</v>
      </c>
      <c r="G38" s="208">
        <v>0.5</v>
      </c>
      <c r="H38" s="22"/>
      <c r="I38" s="22" t="s">
        <v>764</v>
      </c>
    </row>
    <row r="39" spans="3:9" x14ac:dyDescent="0.2">
      <c r="C39" s="13" t="s">
        <v>300</v>
      </c>
      <c r="D39" s="22" t="s">
        <v>277</v>
      </c>
      <c r="E39" s="22">
        <v>2019</v>
      </c>
      <c r="F39" s="22"/>
      <c r="G39" s="208">
        <v>13</v>
      </c>
      <c r="H39" s="22"/>
      <c r="I39" s="22"/>
    </row>
    <row r="40" spans="3:9" x14ac:dyDescent="0.2">
      <c r="C40" s="13" t="s">
        <v>301</v>
      </c>
      <c r="D40" s="22" t="s">
        <v>277</v>
      </c>
      <c r="E40" s="22">
        <v>2019</v>
      </c>
      <c r="F40" s="22" t="s">
        <v>284</v>
      </c>
      <c r="G40" s="208">
        <v>0.5</v>
      </c>
      <c r="H40" s="22"/>
      <c r="I40" s="22" t="s">
        <v>765</v>
      </c>
    </row>
    <row r="41" spans="3:9" x14ac:dyDescent="0.2">
      <c r="C41" s="13" t="s">
        <v>302</v>
      </c>
      <c r="D41" s="22" t="s">
        <v>277</v>
      </c>
      <c r="E41" s="22">
        <v>2019</v>
      </c>
      <c r="F41" s="22"/>
      <c r="G41" s="208">
        <v>1.33</v>
      </c>
      <c r="H41" s="22"/>
      <c r="I41" s="22"/>
    </row>
    <row r="42" spans="3:9" x14ac:dyDescent="0.2">
      <c r="C42" s="13" t="s">
        <v>303</v>
      </c>
      <c r="D42" s="22" t="s">
        <v>277</v>
      </c>
      <c r="E42" s="22">
        <v>2014</v>
      </c>
      <c r="F42" s="22"/>
      <c r="G42" s="208">
        <v>28</v>
      </c>
      <c r="H42" s="22"/>
      <c r="I42" s="22"/>
    </row>
    <row r="43" spans="3:9" x14ac:dyDescent="0.2">
      <c r="C43" s="13" t="s">
        <v>304</v>
      </c>
      <c r="D43" s="22" t="s">
        <v>701</v>
      </c>
      <c r="E43" s="22">
        <v>2024</v>
      </c>
      <c r="F43" s="22" t="s">
        <v>422</v>
      </c>
      <c r="G43" s="208">
        <v>236</v>
      </c>
      <c r="H43" s="22"/>
      <c r="I43" s="22"/>
    </row>
    <row r="44" spans="3:9" x14ac:dyDescent="0.2">
      <c r="C44" s="13" t="s">
        <v>305</v>
      </c>
      <c r="D44" s="22" t="s">
        <v>407</v>
      </c>
      <c r="E44" s="22">
        <v>2024</v>
      </c>
      <c r="F44" s="22" t="s">
        <v>284</v>
      </c>
      <c r="G44" s="208">
        <v>1.5</v>
      </c>
      <c r="H44" s="22"/>
      <c r="I44" s="22"/>
    </row>
    <row r="45" spans="3:9" x14ac:dyDescent="0.2">
      <c r="C45" s="13" t="s">
        <v>306</v>
      </c>
      <c r="D45" s="22" t="s">
        <v>307</v>
      </c>
      <c r="E45" s="22"/>
      <c r="F45" s="22"/>
      <c r="G45" s="208">
        <v>0.02</v>
      </c>
      <c r="H45" s="22"/>
      <c r="I45" s="22"/>
    </row>
    <row r="46" spans="3:9" x14ac:dyDescent="0.2">
      <c r="C46" s="13" t="s">
        <v>308</v>
      </c>
      <c r="D46" s="22" t="s">
        <v>309</v>
      </c>
      <c r="E46" s="22"/>
      <c r="F46" s="22"/>
      <c r="G46" s="208">
        <v>1000</v>
      </c>
      <c r="H46" s="22"/>
      <c r="I46" s="22"/>
    </row>
    <row r="47" spans="3:9" x14ac:dyDescent="0.2">
      <c r="C47" s="13" t="s">
        <v>310</v>
      </c>
      <c r="D47" s="22" t="s">
        <v>309</v>
      </c>
      <c r="E47" s="22"/>
      <c r="F47" s="22"/>
      <c r="G47" s="208">
        <v>1000</v>
      </c>
      <c r="H47" s="22"/>
      <c r="I47" s="22"/>
    </row>
    <row r="48" spans="3:9" x14ac:dyDescent="0.2">
      <c r="C48" s="13" t="s">
        <v>311</v>
      </c>
      <c r="D48" s="22" t="s">
        <v>312</v>
      </c>
      <c r="E48" s="22">
        <v>2024</v>
      </c>
      <c r="F48" s="22"/>
      <c r="G48" s="208">
        <v>3.67</v>
      </c>
      <c r="H48" s="22"/>
      <c r="I48" s="22"/>
    </row>
    <row r="49" spans="3:9" x14ac:dyDescent="0.2">
      <c r="C49" s="13" t="s">
        <v>313</v>
      </c>
      <c r="D49" s="22" t="s">
        <v>685</v>
      </c>
      <c r="E49" s="22">
        <v>2017</v>
      </c>
      <c r="F49" s="22"/>
      <c r="G49" s="208">
        <v>0.6</v>
      </c>
      <c r="H49" s="22"/>
      <c r="I49" s="22"/>
    </row>
    <row r="50" spans="3:9" x14ac:dyDescent="0.2">
      <c r="C50" s="13" t="s">
        <v>314</v>
      </c>
      <c r="D50" s="22" t="s">
        <v>686</v>
      </c>
      <c r="E50" s="22"/>
      <c r="F50" s="22"/>
      <c r="G50" s="208">
        <v>5.33</v>
      </c>
      <c r="H50" s="22"/>
      <c r="I50" s="22" t="s">
        <v>766</v>
      </c>
    </row>
    <row r="51" spans="3:9" x14ac:dyDescent="0.2">
      <c r="C51" s="13" t="s">
        <v>432</v>
      </c>
      <c r="D51" s="22" t="s">
        <v>705</v>
      </c>
      <c r="E51" s="22">
        <v>2023</v>
      </c>
      <c r="F51" s="22" t="s">
        <v>683</v>
      </c>
      <c r="G51" s="208">
        <v>18000</v>
      </c>
      <c r="H51" s="22"/>
      <c r="I51" s="22" t="s">
        <v>767</v>
      </c>
    </row>
    <row r="52" spans="3:9" x14ac:dyDescent="0.2">
      <c r="C52" s="13" t="s">
        <v>660</v>
      </c>
      <c r="D52" s="22" t="s">
        <v>309</v>
      </c>
      <c r="E52" s="22"/>
      <c r="F52" s="22"/>
      <c r="G52" s="208">
        <v>1000</v>
      </c>
      <c r="H52" s="22"/>
      <c r="I52" s="22"/>
    </row>
    <row r="53" spans="3:9" x14ac:dyDescent="0.2">
      <c r="C53" s="13" t="s">
        <v>702</v>
      </c>
      <c r="D53" s="22" t="s">
        <v>706</v>
      </c>
      <c r="E53" s="22">
        <v>2022</v>
      </c>
      <c r="F53" s="22"/>
      <c r="G53" s="208">
        <v>1.2364999999999999</v>
      </c>
      <c r="H53" s="22"/>
      <c r="I53" s="22" t="s">
        <v>768</v>
      </c>
    </row>
    <row r="54" spans="3:9" x14ac:dyDescent="0.2">
      <c r="C54" s="13" t="s">
        <v>709</v>
      </c>
      <c r="D54" s="22"/>
      <c r="E54" s="22"/>
      <c r="F54" s="22" t="s">
        <v>710</v>
      </c>
      <c r="G54" s="208" t="b">
        <v>0</v>
      </c>
      <c r="H54" s="22"/>
      <c r="I54" s="22"/>
    </row>
  </sheetData>
  <phoneticPr fontId="5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AF74F-AB29-4730-882E-C5FB762BCE6D}">
  <sheetPr codeName="Sheet23">
    <tabColor rgb="FFF6BAC3"/>
  </sheetPr>
  <dimension ref="B1:AM231"/>
  <sheetViews>
    <sheetView showGridLines="0" zoomScaleNormal="100" workbookViewId="0"/>
  </sheetViews>
  <sheetFormatPr baseColWidth="10" defaultColWidth="8.83203125" defaultRowHeight="15" x14ac:dyDescent="0.2"/>
  <cols>
    <col min="2" max="2" width="80.6640625" bestFit="1" customWidth="1"/>
    <col min="3" max="3" width="24.5" bestFit="1" customWidth="1"/>
    <col min="4" max="4" width="21.5" bestFit="1" customWidth="1"/>
    <col min="5" max="5" width="10.6640625" bestFit="1" customWidth="1"/>
    <col min="6" max="6" width="23" bestFit="1" customWidth="1"/>
    <col min="7" max="7" width="23.33203125" bestFit="1" customWidth="1"/>
    <col min="8" max="8" width="25.33203125" bestFit="1" customWidth="1"/>
    <col min="9" max="9" width="24.83203125" bestFit="1" customWidth="1"/>
    <col min="10" max="10" width="19.6640625" bestFit="1" customWidth="1"/>
    <col min="11" max="11" width="28.33203125" bestFit="1" customWidth="1"/>
    <col min="12" max="13" width="15.1640625" bestFit="1" customWidth="1"/>
    <col min="14" max="14" width="20.6640625" bestFit="1" customWidth="1"/>
    <col min="15" max="15" width="19.83203125" bestFit="1" customWidth="1"/>
    <col min="16" max="16" width="24.83203125" bestFit="1" customWidth="1"/>
    <col min="17" max="17" width="15.5" bestFit="1" customWidth="1"/>
    <col min="18" max="18" width="24.1640625" bestFit="1" customWidth="1"/>
    <col min="19" max="19" width="16.6640625" bestFit="1" customWidth="1"/>
    <col min="20" max="20" width="11.6640625" bestFit="1" customWidth="1"/>
    <col min="21" max="21" width="13.83203125" bestFit="1" customWidth="1"/>
    <col min="22" max="23" width="18.33203125" bestFit="1" customWidth="1"/>
    <col min="24" max="24" width="34.1640625" bestFit="1" customWidth="1"/>
    <col min="25" max="25" width="44.1640625" bestFit="1" customWidth="1"/>
    <col min="26" max="26" width="30.83203125" bestFit="1" customWidth="1"/>
    <col min="27" max="27" width="40.83203125" bestFit="1" customWidth="1"/>
    <col min="28" max="28" width="28.83203125" bestFit="1" customWidth="1"/>
    <col min="29" max="29" width="23" bestFit="1" customWidth="1"/>
    <col min="30" max="31" width="20.1640625" bestFit="1" customWidth="1"/>
    <col min="32" max="32" width="14" bestFit="1" customWidth="1"/>
    <col min="33" max="33" width="15.5" bestFit="1" customWidth="1"/>
    <col min="34" max="34" width="18.83203125" bestFit="1" customWidth="1"/>
    <col min="35" max="35" width="22.5" bestFit="1" customWidth="1"/>
    <col min="36" max="36" width="49.33203125" bestFit="1" customWidth="1"/>
    <col min="37" max="37" width="49" bestFit="1" customWidth="1"/>
    <col min="38" max="38" width="51.33203125" bestFit="1" customWidth="1"/>
    <col min="39" max="39" width="50.83203125" bestFit="1" customWidth="1"/>
  </cols>
  <sheetData>
    <row r="1" spans="2:39" s="197" customFormat="1" x14ac:dyDescent="0.2">
      <c r="B1" s="197" t="s">
        <v>245</v>
      </c>
      <c r="C1" s="197" t="s">
        <v>246</v>
      </c>
      <c r="D1" s="197" t="s">
        <v>247</v>
      </c>
      <c r="E1" s="197" t="s">
        <v>248</v>
      </c>
      <c r="F1" s="197" t="s">
        <v>249</v>
      </c>
      <c r="G1" s="197" t="s">
        <v>250</v>
      </c>
      <c r="H1" s="197" t="s">
        <v>251</v>
      </c>
      <c r="I1" s="197" t="s">
        <v>252</v>
      </c>
      <c r="J1" s="197" t="s">
        <v>315</v>
      </c>
      <c r="K1" s="197" t="s">
        <v>316</v>
      </c>
      <c r="L1" s="197" t="s">
        <v>317</v>
      </c>
      <c r="M1" s="197" t="s">
        <v>318</v>
      </c>
      <c r="N1" s="197" t="s">
        <v>319</v>
      </c>
      <c r="O1" s="197" t="s">
        <v>320</v>
      </c>
      <c r="P1" s="197" t="s">
        <v>321</v>
      </c>
      <c r="Q1" s="197" t="s">
        <v>322</v>
      </c>
      <c r="R1" s="197" t="s">
        <v>323</v>
      </c>
      <c r="S1" s="197" t="s">
        <v>324</v>
      </c>
      <c r="T1" s="197" t="s">
        <v>325</v>
      </c>
      <c r="U1" s="197" t="s">
        <v>368</v>
      </c>
      <c r="V1" s="197" t="s">
        <v>396</v>
      </c>
      <c r="W1" s="197" t="s">
        <v>397</v>
      </c>
      <c r="X1" s="197" t="s">
        <v>398</v>
      </c>
      <c r="Y1" s="197" t="s">
        <v>399</v>
      </c>
      <c r="Z1" s="197" t="s">
        <v>412</v>
      </c>
      <c r="AA1" s="197" t="s">
        <v>415</v>
      </c>
      <c r="AB1" s="197" t="s">
        <v>416</v>
      </c>
      <c r="AC1" s="197" t="s">
        <v>417</v>
      </c>
      <c r="AD1" s="197" t="s">
        <v>452</v>
      </c>
      <c r="AE1" s="197" t="s">
        <v>454</v>
      </c>
      <c r="AF1" s="197" t="s">
        <v>576</v>
      </c>
      <c r="AG1" s="197" t="s">
        <v>577</v>
      </c>
      <c r="AH1" s="197" t="s">
        <v>589</v>
      </c>
      <c r="AI1" s="197" t="s">
        <v>590</v>
      </c>
      <c r="AJ1" s="197" t="s">
        <v>716</v>
      </c>
      <c r="AK1" s="197" t="s">
        <v>717</v>
      </c>
      <c r="AL1" s="197" t="s">
        <v>718</v>
      </c>
      <c r="AM1" s="197" t="s">
        <v>719</v>
      </c>
    </row>
    <row r="3" spans="2:39" ht="21" x14ac:dyDescent="0.25">
      <c r="B3" s="1" t="s">
        <v>822</v>
      </c>
    </row>
    <row r="5" spans="2:39" x14ac:dyDescent="0.2">
      <c r="B5" s="3" t="s">
        <v>326</v>
      </c>
    </row>
    <row r="6" spans="2:39" x14ac:dyDescent="0.2">
      <c r="B6" s="188" t="s">
        <v>827</v>
      </c>
    </row>
    <row r="9" spans="2:39" x14ac:dyDescent="0.2">
      <c r="B9" s="200" t="s">
        <v>788</v>
      </c>
      <c r="C9" s="201" t="s">
        <v>0</v>
      </c>
      <c r="D9" s="201" t="s">
        <v>20</v>
      </c>
      <c r="E9" s="201" t="s">
        <v>327</v>
      </c>
      <c r="F9" s="201" t="s">
        <v>328</v>
      </c>
      <c r="G9" s="201" t="s">
        <v>329</v>
      </c>
      <c r="H9" s="201" t="s">
        <v>330</v>
      </c>
      <c r="I9" s="201" t="s">
        <v>331</v>
      </c>
      <c r="J9" s="201" t="s">
        <v>332</v>
      </c>
      <c r="K9" s="201" t="s">
        <v>333</v>
      </c>
      <c r="L9" s="201" t="s">
        <v>334</v>
      </c>
      <c r="M9" s="201" t="s">
        <v>335</v>
      </c>
      <c r="N9" s="201" t="s">
        <v>574</v>
      </c>
      <c r="O9" s="201" t="s">
        <v>336</v>
      </c>
      <c r="P9" s="201" t="s">
        <v>575</v>
      </c>
      <c r="Q9" s="201" t="s">
        <v>337</v>
      </c>
      <c r="R9" s="201" t="s">
        <v>338</v>
      </c>
      <c r="S9" s="201" t="s">
        <v>339</v>
      </c>
      <c r="T9" s="201" t="s">
        <v>340</v>
      </c>
      <c r="U9" s="201" t="s">
        <v>341</v>
      </c>
      <c r="V9" s="201" t="s">
        <v>342</v>
      </c>
      <c r="W9" s="201" t="s">
        <v>369</v>
      </c>
      <c r="X9" s="201" t="s">
        <v>400</v>
      </c>
      <c r="Y9" s="201" t="s">
        <v>401</v>
      </c>
      <c r="Z9" s="201" t="s">
        <v>402</v>
      </c>
      <c r="AA9" s="201" t="s">
        <v>403</v>
      </c>
      <c r="AB9" s="201" t="s">
        <v>675</v>
      </c>
      <c r="AC9" s="201" t="s">
        <v>418</v>
      </c>
      <c r="AD9" s="201" t="s">
        <v>419</v>
      </c>
      <c r="AE9" s="201" t="s">
        <v>420</v>
      </c>
      <c r="AF9" s="201" t="s">
        <v>253</v>
      </c>
      <c r="AG9" s="201" t="s">
        <v>455</v>
      </c>
      <c r="AH9" s="201" t="s">
        <v>713</v>
      </c>
      <c r="AI9" s="201" t="s">
        <v>714</v>
      </c>
      <c r="AJ9" s="201" t="s">
        <v>720</v>
      </c>
      <c r="AK9" s="201" t="s">
        <v>721</v>
      </c>
      <c r="AL9" s="201" t="s">
        <v>722</v>
      </c>
      <c r="AM9" s="201" t="s">
        <v>723</v>
      </c>
    </row>
    <row r="10" spans="2:39" x14ac:dyDescent="0.2">
      <c r="B10" s="200" t="s">
        <v>789</v>
      </c>
      <c r="C10" s="199"/>
      <c r="D10" s="199" t="s">
        <v>1</v>
      </c>
      <c r="E10" s="199" t="s">
        <v>343</v>
      </c>
      <c r="F10" s="199" t="s">
        <v>665</v>
      </c>
      <c r="G10" s="199" t="s">
        <v>665</v>
      </c>
      <c r="H10" s="199" t="s">
        <v>665</v>
      </c>
      <c r="I10" s="199" t="s">
        <v>665</v>
      </c>
      <c r="J10" s="199" t="s">
        <v>665</v>
      </c>
      <c r="K10" s="199" t="s">
        <v>344</v>
      </c>
      <c r="L10" s="199" t="s">
        <v>1</v>
      </c>
      <c r="M10" s="199" t="s">
        <v>1</v>
      </c>
      <c r="N10" s="199" t="s">
        <v>1</v>
      </c>
      <c r="O10" s="199" t="s">
        <v>1</v>
      </c>
      <c r="P10" s="199" t="s">
        <v>1</v>
      </c>
      <c r="Q10" s="199" t="s">
        <v>345</v>
      </c>
      <c r="R10" s="199" t="s">
        <v>345</v>
      </c>
      <c r="S10" s="199" t="s">
        <v>345</v>
      </c>
      <c r="T10" s="199" t="s">
        <v>345</v>
      </c>
      <c r="U10" s="199" t="s">
        <v>1</v>
      </c>
      <c r="V10" s="199" t="s">
        <v>346</v>
      </c>
      <c r="W10" s="199" t="s">
        <v>707</v>
      </c>
      <c r="X10" s="199" t="s">
        <v>1</v>
      </c>
      <c r="Y10" s="199" t="s">
        <v>1</v>
      </c>
      <c r="Z10" s="199" t="s">
        <v>1</v>
      </c>
      <c r="AA10" s="199" t="s">
        <v>1</v>
      </c>
      <c r="AB10" s="199" t="s">
        <v>1</v>
      </c>
      <c r="AC10" s="199" t="s">
        <v>708</v>
      </c>
      <c r="AD10" s="199" t="s">
        <v>708</v>
      </c>
      <c r="AE10" s="199" t="s">
        <v>708</v>
      </c>
      <c r="AF10" s="199" t="s">
        <v>453</v>
      </c>
      <c r="AG10" s="199" t="s">
        <v>1</v>
      </c>
      <c r="AH10" s="199" t="s">
        <v>715</v>
      </c>
      <c r="AI10" s="199" t="s">
        <v>715</v>
      </c>
      <c r="AJ10" s="199" t="s">
        <v>724</v>
      </c>
      <c r="AK10" s="199" t="s">
        <v>724</v>
      </c>
      <c r="AL10" s="199" t="s">
        <v>724</v>
      </c>
      <c r="AM10" s="199" t="s">
        <v>724</v>
      </c>
    </row>
    <row r="11" spans="2:39" x14ac:dyDescent="0.2">
      <c r="B11" s="200" t="s">
        <v>790</v>
      </c>
      <c r="C11" s="199">
        <v>2024</v>
      </c>
      <c r="D11" s="199">
        <v>2024</v>
      </c>
      <c r="E11" s="199"/>
      <c r="F11" s="199"/>
      <c r="G11" s="199"/>
      <c r="H11" s="199"/>
      <c r="I11" s="199"/>
      <c r="J11" s="199"/>
      <c r="K11" s="199" t="s">
        <v>345</v>
      </c>
      <c r="L11" s="199">
        <v>2024</v>
      </c>
      <c r="M11" s="199">
        <v>2024</v>
      </c>
      <c r="N11" s="199">
        <v>2024</v>
      </c>
      <c r="O11" s="199">
        <v>2024</v>
      </c>
      <c r="P11" s="199">
        <v>2024</v>
      </c>
      <c r="Q11" s="199"/>
      <c r="R11" s="199"/>
      <c r="S11" s="199"/>
      <c r="T11" s="199"/>
      <c r="U11" s="199">
        <v>2024</v>
      </c>
      <c r="V11" s="199">
        <v>2022</v>
      </c>
      <c r="W11" s="199"/>
      <c r="X11" s="199"/>
      <c r="Y11" s="199"/>
      <c r="Z11" s="199"/>
      <c r="AA11" s="199"/>
      <c r="AB11" s="199">
        <v>2021</v>
      </c>
      <c r="AC11" s="199"/>
      <c r="AD11" s="199"/>
      <c r="AE11" s="199"/>
      <c r="AF11" s="199"/>
      <c r="AG11" s="199">
        <v>2021</v>
      </c>
      <c r="AH11" s="199"/>
      <c r="AI11" s="199"/>
      <c r="AJ11" s="199">
        <v>2023</v>
      </c>
      <c r="AK11" s="199">
        <v>2023</v>
      </c>
      <c r="AL11" s="199">
        <v>2023</v>
      </c>
      <c r="AM11" s="199">
        <v>2023</v>
      </c>
    </row>
    <row r="12" spans="2:39" x14ac:dyDescent="0.2">
      <c r="B12" s="200" t="s">
        <v>791</v>
      </c>
      <c r="C12" s="199"/>
      <c r="D12" s="199"/>
      <c r="E12" s="199"/>
      <c r="F12" s="199"/>
      <c r="G12" s="199"/>
      <c r="H12" s="199"/>
      <c r="I12" s="199"/>
      <c r="J12" s="199"/>
      <c r="K12" s="199"/>
      <c r="L12" s="199" t="s">
        <v>347</v>
      </c>
      <c r="M12" s="199" t="s">
        <v>284</v>
      </c>
      <c r="N12" s="199"/>
      <c r="O12" s="199" t="s">
        <v>284</v>
      </c>
      <c r="P12" s="199"/>
      <c r="Q12" s="199"/>
      <c r="R12" s="199"/>
      <c r="S12" s="199" t="s">
        <v>284</v>
      </c>
      <c r="T12" s="199" t="s">
        <v>284</v>
      </c>
      <c r="U12" s="199" t="s">
        <v>284</v>
      </c>
      <c r="V12" s="199" t="s">
        <v>348</v>
      </c>
      <c r="W12" s="199"/>
      <c r="X12" s="199"/>
      <c r="Y12" s="199"/>
      <c r="Z12" s="199"/>
      <c r="AA12" s="199"/>
      <c r="AB12" s="199" t="s">
        <v>413</v>
      </c>
      <c r="AC12" s="199" t="s">
        <v>421</v>
      </c>
      <c r="AD12" s="199" t="s">
        <v>421</v>
      </c>
      <c r="AE12" s="199" t="s">
        <v>421</v>
      </c>
      <c r="AF12" s="199"/>
      <c r="AG12" s="199" t="s">
        <v>456</v>
      </c>
      <c r="AH12" s="199" t="s">
        <v>388</v>
      </c>
      <c r="AI12" s="199" t="s">
        <v>388</v>
      </c>
      <c r="AJ12" s="199" t="s">
        <v>391</v>
      </c>
      <c r="AK12" s="199" t="s">
        <v>391</v>
      </c>
      <c r="AL12" s="199" t="s">
        <v>391</v>
      </c>
      <c r="AM12" s="199" t="s">
        <v>391</v>
      </c>
    </row>
    <row r="13" spans="2:39" x14ac:dyDescent="0.2">
      <c r="B13" s="200" t="s">
        <v>792</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3" t="s">
        <v>414</v>
      </c>
      <c r="AC13" s="243"/>
      <c r="AD13" s="243"/>
      <c r="AE13" s="243"/>
      <c r="AF13" s="243"/>
      <c r="AG13" s="243"/>
      <c r="AH13" s="243"/>
      <c r="AI13" s="243"/>
      <c r="AJ13" s="243"/>
      <c r="AK13" s="243"/>
      <c r="AL13" s="243"/>
      <c r="AM13" s="243"/>
    </row>
    <row r="14" spans="2:39" x14ac:dyDescent="0.2">
      <c r="C14" s="13" t="s">
        <v>21</v>
      </c>
      <c r="D14" s="22" t="s">
        <v>22</v>
      </c>
      <c r="E14" s="208" t="s">
        <v>769</v>
      </c>
      <c r="F14" s="208">
        <v>3.1706024096385545E-7</v>
      </c>
      <c r="G14" s="208">
        <v>1.400963855421687E-7</v>
      </c>
      <c r="H14" s="208">
        <v>6.8096385542168684E-9</v>
      </c>
      <c r="I14" s="208">
        <v>1.0409638554216868E-8</v>
      </c>
      <c r="J14" s="208">
        <v>1.3253012000000002E-4</v>
      </c>
      <c r="K14" s="208">
        <v>8.0399999999999991</v>
      </c>
      <c r="L14" s="208">
        <v>5628525.3700000001</v>
      </c>
      <c r="M14" s="208" t="s">
        <v>769</v>
      </c>
      <c r="N14" s="208" t="s">
        <v>769</v>
      </c>
      <c r="O14" s="208" t="s">
        <v>769</v>
      </c>
      <c r="P14" s="208" t="s">
        <v>769</v>
      </c>
      <c r="Q14" s="208" t="s">
        <v>769</v>
      </c>
      <c r="R14" s="208" t="s">
        <v>769</v>
      </c>
      <c r="S14" s="208" t="s">
        <v>769</v>
      </c>
      <c r="T14" s="208" t="s">
        <v>769</v>
      </c>
      <c r="U14" s="208" t="s">
        <v>769</v>
      </c>
      <c r="V14" s="208" t="s">
        <v>769</v>
      </c>
      <c r="W14" s="208" t="s">
        <v>357</v>
      </c>
      <c r="X14" s="208" t="s">
        <v>769</v>
      </c>
      <c r="Y14" s="208" t="s">
        <v>769</v>
      </c>
      <c r="Z14" s="208" t="s">
        <v>769</v>
      </c>
      <c r="AA14" s="208" t="s">
        <v>769</v>
      </c>
      <c r="AB14" s="208">
        <v>2150</v>
      </c>
      <c r="AC14" s="208">
        <v>1.0000000000000001E-5</v>
      </c>
      <c r="AD14" s="208">
        <v>1.3</v>
      </c>
      <c r="AE14" s="208">
        <v>5.6000000000000001E-2</v>
      </c>
      <c r="AF14" s="208" t="s">
        <v>769</v>
      </c>
      <c r="AG14" s="208">
        <v>61.480554405654402</v>
      </c>
      <c r="AH14" s="208" t="s">
        <v>769</v>
      </c>
      <c r="AI14" s="208" t="s">
        <v>769</v>
      </c>
      <c r="AJ14" s="208">
        <v>3995.9150328029473</v>
      </c>
      <c r="AK14" s="208">
        <v>13377.316144612549</v>
      </c>
      <c r="AL14" s="208">
        <v>34473.362313419326</v>
      </c>
      <c r="AM14" s="208">
        <v>255.03476537595969</v>
      </c>
    </row>
    <row r="15" spans="2:39" x14ac:dyDescent="0.2">
      <c r="C15" s="13" t="s">
        <v>23</v>
      </c>
      <c r="D15" s="22" t="s">
        <v>24</v>
      </c>
      <c r="E15" s="208" t="s">
        <v>769</v>
      </c>
      <c r="F15" s="208">
        <v>0</v>
      </c>
      <c r="G15" s="208">
        <v>0</v>
      </c>
      <c r="H15" s="208">
        <v>0</v>
      </c>
      <c r="I15" s="208">
        <v>0</v>
      </c>
      <c r="J15" s="208">
        <v>2.4285715000000001E-5</v>
      </c>
      <c r="K15" s="208">
        <v>3.3</v>
      </c>
      <c r="L15" s="208">
        <v>1087446.75</v>
      </c>
      <c r="M15" s="208" t="s">
        <v>769</v>
      </c>
      <c r="N15" s="208" t="s">
        <v>769</v>
      </c>
      <c r="O15" s="208" t="s">
        <v>769</v>
      </c>
      <c r="P15" s="208" t="s">
        <v>769</v>
      </c>
      <c r="Q15" s="208">
        <v>4</v>
      </c>
      <c r="R15" s="208" t="s">
        <v>769</v>
      </c>
      <c r="S15" s="208" t="s">
        <v>769</v>
      </c>
      <c r="T15" s="208" t="s">
        <v>769</v>
      </c>
      <c r="U15" s="208">
        <v>0.6</v>
      </c>
      <c r="V15" s="208">
        <v>89000</v>
      </c>
      <c r="W15" s="208" t="s">
        <v>355</v>
      </c>
      <c r="X15" s="208" t="s">
        <v>769</v>
      </c>
      <c r="Y15" s="208" t="s">
        <v>769</v>
      </c>
      <c r="Z15" s="208" t="s">
        <v>769</v>
      </c>
      <c r="AA15" s="208" t="s">
        <v>769</v>
      </c>
      <c r="AB15" s="208">
        <v>16040</v>
      </c>
      <c r="AC15" s="208">
        <v>1.0000000000000001E-5</v>
      </c>
      <c r="AD15" s="208">
        <v>1.3</v>
      </c>
      <c r="AE15" s="208">
        <v>5.6000000000000001E-2</v>
      </c>
      <c r="AF15" s="208" t="s">
        <v>769</v>
      </c>
      <c r="AG15" s="208">
        <v>102.615547445255</v>
      </c>
      <c r="AH15" s="208" t="s">
        <v>769</v>
      </c>
      <c r="AI15" s="208" t="s">
        <v>769</v>
      </c>
      <c r="AJ15" s="208">
        <v>1468.3899320458979</v>
      </c>
      <c r="AK15" s="208">
        <v>3807.497653287528</v>
      </c>
      <c r="AL15" s="208">
        <v>11036.092872924686</v>
      </c>
      <c r="AM15" s="208">
        <v>99.245793400448719</v>
      </c>
    </row>
    <row r="16" spans="2:39" x14ac:dyDescent="0.2">
      <c r="C16" s="13" t="s">
        <v>25</v>
      </c>
      <c r="D16" s="22" t="s">
        <v>26</v>
      </c>
      <c r="E16" s="208" t="s">
        <v>769</v>
      </c>
      <c r="F16" s="208">
        <v>8.5911726014969366E-9</v>
      </c>
      <c r="G16" s="208">
        <v>3.1988396461782716E-7</v>
      </c>
      <c r="H16" s="208">
        <v>3.4027307779541843E-9</v>
      </c>
      <c r="I16" s="208">
        <v>3.4802993876162388E-9</v>
      </c>
      <c r="J16" s="208">
        <v>6.3461099999999999E-4</v>
      </c>
      <c r="K16" s="208">
        <v>4.9400000000000004</v>
      </c>
      <c r="L16" s="208">
        <v>12378740</v>
      </c>
      <c r="M16" s="208" t="s">
        <v>769</v>
      </c>
      <c r="N16" s="208" t="s">
        <v>769</v>
      </c>
      <c r="O16" s="208" t="s">
        <v>769</v>
      </c>
      <c r="P16" s="208" t="s">
        <v>769</v>
      </c>
      <c r="Q16" s="208" t="s">
        <v>769</v>
      </c>
      <c r="R16" s="208" t="s">
        <v>769</v>
      </c>
      <c r="S16" s="208" t="s">
        <v>769</v>
      </c>
      <c r="T16" s="208" t="s">
        <v>769</v>
      </c>
      <c r="U16" s="208" t="s">
        <v>769</v>
      </c>
      <c r="V16" s="208">
        <v>51000</v>
      </c>
      <c r="W16" s="208" t="s">
        <v>357</v>
      </c>
      <c r="X16" s="208">
        <v>0.89</v>
      </c>
      <c r="Y16" s="208">
        <v>0.89</v>
      </c>
      <c r="Z16" s="208">
        <v>0.89</v>
      </c>
      <c r="AA16" s="208">
        <v>0.89</v>
      </c>
      <c r="AB16" s="208">
        <v>14400</v>
      </c>
      <c r="AC16" s="208">
        <v>1.0000000000000001E-5</v>
      </c>
      <c r="AD16" s="208">
        <v>1.3</v>
      </c>
      <c r="AE16" s="208">
        <v>5.6000000000000001E-2</v>
      </c>
      <c r="AF16" s="208" t="s">
        <v>769</v>
      </c>
      <c r="AG16" s="208">
        <v>18.5486033116111</v>
      </c>
      <c r="AH16" s="208" t="s">
        <v>769</v>
      </c>
      <c r="AI16" s="208" t="s">
        <v>769</v>
      </c>
      <c r="AJ16" s="208">
        <v>3841.1997974489486</v>
      </c>
      <c r="AK16" s="208">
        <v>13005.799041932069</v>
      </c>
      <c r="AL16" s="208">
        <v>33043.331353539848</v>
      </c>
      <c r="AM16" s="208">
        <v>253.90545843769377</v>
      </c>
    </row>
    <row r="17" spans="3:39" x14ac:dyDescent="0.2">
      <c r="C17" s="13" t="s">
        <v>27</v>
      </c>
      <c r="D17" s="22" t="s">
        <v>28</v>
      </c>
      <c r="E17" s="208" t="s">
        <v>769</v>
      </c>
      <c r="F17" s="208">
        <v>1.649E-6</v>
      </c>
      <c r="G17" s="208">
        <v>7.3100000000000007E-7</v>
      </c>
      <c r="H17" s="208">
        <v>4.4199999999999999E-8</v>
      </c>
      <c r="I17" s="208">
        <v>6.1199999999999992E-8</v>
      </c>
      <c r="J17" s="208">
        <v>6.1111109999999994E-4</v>
      </c>
      <c r="K17" s="208" t="s">
        <v>769</v>
      </c>
      <c r="L17" s="208">
        <v>18989.490000000002</v>
      </c>
      <c r="M17" s="208" t="s">
        <v>769</v>
      </c>
      <c r="N17" s="208" t="s">
        <v>769</v>
      </c>
      <c r="O17" s="208" t="s">
        <v>769</v>
      </c>
      <c r="P17" s="208" t="s">
        <v>769</v>
      </c>
      <c r="Q17" s="208" t="s">
        <v>769</v>
      </c>
      <c r="R17" s="208" t="s">
        <v>769</v>
      </c>
      <c r="S17" s="208" t="s">
        <v>769</v>
      </c>
      <c r="T17" s="208" t="s">
        <v>769</v>
      </c>
      <c r="U17" s="208">
        <v>1</v>
      </c>
      <c r="V17" s="208" t="s">
        <v>769</v>
      </c>
      <c r="W17" s="208" t="s">
        <v>358</v>
      </c>
      <c r="X17" s="208" t="s">
        <v>769</v>
      </c>
      <c r="Y17" s="208" t="s">
        <v>769</v>
      </c>
      <c r="Z17" s="208" t="s">
        <v>769</v>
      </c>
      <c r="AA17" s="208" t="s">
        <v>769</v>
      </c>
      <c r="AB17" s="208" t="s">
        <v>676</v>
      </c>
      <c r="AC17" s="208">
        <v>1.0000000000000001E-5</v>
      </c>
      <c r="AD17" s="208">
        <v>1.3</v>
      </c>
      <c r="AE17" s="208">
        <v>5.6000000000000001E-2</v>
      </c>
      <c r="AF17" s="208" t="s">
        <v>769</v>
      </c>
      <c r="AG17" s="208">
        <v>225.17500000000001</v>
      </c>
      <c r="AH17" s="208" t="s">
        <v>769</v>
      </c>
      <c r="AI17" s="208" t="s">
        <v>769</v>
      </c>
      <c r="AJ17" s="208">
        <v>979.6863088082232</v>
      </c>
      <c r="AK17" s="208">
        <v>2350.7737956416559</v>
      </c>
      <c r="AL17" s="208">
        <v>6800.7725289116352</v>
      </c>
      <c r="AM17" s="208">
        <v>70.45538348329957</v>
      </c>
    </row>
    <row r="18" spans="3:39" x14ac:dyDescent="0.2">
      <c r="C18" s="13" t="s">
        <v>29</v>
      </c>
      <c r="D18" s="22" t="s">
        <v>24</v>
      </c>
      <c r="E18" s="208" t="s">
        <v>769</v>
      </c>
      <c r="F18" s="208" t="s">
        <v>769</v>
      </c>
      <c r="G18" s="208" t="s">
        <v>769</v>
      </c>
      <c r="H18" s="208" t="s">
        <v>769</v>
      </c>
      <c r="I18" s="208" t="s">
        <v>769</v>
      </c>
      <c r="J18" s="208" t="s">
        <v>769</v>
      </c>
      <c r="K18" s="208" t="s">
        <v>769</v>
      </c>
      <c r="L18" s="208">
        <v>43000</v>
      </c>
      <c r="M18" s="208" t="s">
        <v>769</v>
      </c>
      <c r="N18" s="208" t="s">
        <v>769</v>
      </c>
      <c r="O18" s="208" t="s">
        <v>769</v>
      </c>
      <c r="P18" s="208" t="s">
        <v>769</v>
      </c>
      <c r="Q18" s="208" t="s">
        <v>769</v>
      </c>
      <c r="R18" s="208" t="s">
        <v>769</v>
      </c>
      <c r="S18" s="208" t="s">
        <v>769</v>
      </c>
      <c r="T18" s="208" t="s">
        <v>769</v>
      </c>
      <c r="U18" s="208">
        <v>1</v>
      </c>
      <c r="V18" s="208" t="s">
        <v>769</v>
      </c>
      <c r="W18" s="208" t="s">
        <v>356</v>
      </c>
      <c r="X18" s="208" t="s">
        <v>769</v>
      </c>
      <c r="Y18" s="208" t="s">
        <v>769</v>
      </c>
      <c r="Z18" s="208" t="s">
        <v>769</v>
      </c>
      <c r="AA18" s="208" t="s">
        <v>769</v>
      </c>
      <c r="AB18" s="208">
        <v>63290</v>
      </c>
      <c r="AC18" s="208">
        <v>1.0000000000000001E-5</v>
      </c>
      <c r="AD18" s="208">
        <v>1.3</v>
      </c>
      <c r="AE18" s="208">
        <v>5.6000000000000001E-2</v>
      </c>
      <c r="AF18" s="208" t="s">
        <v>769</v>
      </c>
      <c r="AG18" s="208">
        <v>168.157446808511</v>
      </c>
      <c r="AH18" s="208" t="s">
        <v>769</v>
      </c>
      <c r="AI18" s="208" t="s">
        <v>769</v>
      </c>
      <c r="AJ18" s="208">
        <v>1113.518344638733</v>
      </c>
      <c r="AK18" s="208">
        <v>2422.8614589268977</v>
      </c>
      <c r="AL18" s="208">
        <v>6997.8209778941109</v>
      </c>
      <c r="AM18" s="208">
        <v>81.906291667506139</v>
      </c>
    </row>
    <row r="19" spans="3:39" x14ac:dyDescent="0.2">
      <c r="C19" s="13" t="s">
        <v>30</v>
      </c>
      <c r="D19" s="22" t="s">
        <v>31</v>
      </c>
      <c r="E19" s="208" t="s">
        <v>769</v>
      </c>
      <c r="F19" s="208">
        <v>2.6408167650531292E-7</v>
      </c>
      <c r="G19" s="208">
        <v>1.5079622195985832E-7</v>
      </c>
      <c r="H19" s="208">
        <v>7.742550177095631E-9</v>
      </c>
      <c r="I19" s="208">
        <v>1.0515867768595041E-8</v>
      </c>
      <c r="J19" s="208">
        <v>1.7473436000000001E-4</v>
      </c>
      <c r="K19" s="208">
        <v>4.82</v>
      </c>
      <c r="L19" s="208">
        <v>4213643.585</v>
      </c>
      <c r="M19" s="208" t="s">
        <v>769</v>
      </c>
      <c r="N19" s="208" t="s">
        <v>769</v>
      </c>
      <c r="O19" s="208" t="s">
        <v>769</v>
      </c>
      <c r="P19" s="208" t="s">
        <v>769</v>
      </c>
      <c r="Q19" s="208" t="s">
        <v>769</v>
      </c>
      <c r="R19" s="208" t="s">
        <v>769</v>
      </c>
      <c r="S19" s="208" t="s">
        <v>769</v>
      </c>
      <c r="T19" s="208" t="s">
        <v>769</v>
      </c>
      <c r="U19" s="208">
        <v>0.23100000000000001</v>
      </c>
      <c r="V19" s="208" t="s">
        <v>769</v>
      </c>
      <c r="W19" s="208" t="s">
        <v>357</v>
      </c>
      <c r="X19" s="208" t="s">
        <v>769</v>
      </c>
      <c r="Y19" s="208" t="s">
        <v>769</v>
      </c>
      <c r="Z19" s="208" t="s">
        <v>769</v>
      </c>
      <c r="AA19" s="208" t="s">
        <v>769</v>
      </c>
      <c r="AB19" s="208">
        <v>6810</v>
      </c>
      <c r="AC19" s="208">
        <v>1.0000000000000001E-5</v>
      </c>
      <c r="AD19" s="208">
        <v>1.3</v>
      </c>
      <c r="AE19" s="208">
        <v>5.6000000000000001E-2</v>
      </c>
      <c r="AF19" s="208" t="s">
        <v>769</v>
      </c>
      <c r="AG19" s="208">
        <v>27.6760840619235</v>
      </c>
      <c r="AH19" s="208" t="s">
        <v>769</v>
      </c>
      <c r="AI19" s="208" t="s">
        <v>769</v>
      </c>
      <c r="AJ19" s="208">
        <v>4040.3534280401768</v>
      </c>
      <c r="AK19" s="208">
        <v>13352.270662887297</v>
      </c>
      <c r="AL19" s="208">
        <v>34819.419802653028</v>
      </c>
      <c r="AM19" s="208">
        <v>246.50274253199731</v>
      </c>
    </row>
    <row r="20" spans="3:39" x14ac:dyDescent="0.2">
      <c r="C20" s="13" t="s">
        <v>32</v>
      </c>
      <c r="D20" s="22" t="s">
        <v>33</v>
      </c>
      <c r="E20" s="208" t="s">
        <v>769</v>
      </c>
      <c r="F20" s="208">
        <v>1.649E-6</v>
      </c>
      <c r="G20" s="208">
        <v>7.3100000000000007E-7</v>
      </c>
      <c r="H20" s="208">
        <v>4.4199999999999999E-8</v>
      </c>
      <c r="I20" s="208">
        <v>6.1199999999999992E-8</v>
      </c>
      <c r="J20" s="208">
        <v>6.1111109999999994E-4</v>
      </c>
      <c r="K20" s="208" t="s">
        <v>769</v>
      </c>
      <c r="L20" s="208">
        <v>30585</v>
      </c>
      <c r="M20" s="208" t="s">
        <v>769</v>
      </c>
      <c r="N20" s="208" t="s">
        <v>769</v>
      </c>
      <c r="O20" s="208" t="s">
        <v>769</v>
      </c>
      <c r="P20" s="208" t="s">
        <v>769</v>
      </c>
      <c r="Q20" s="208" t="s">
        <v>769</v>
      </c>
      <c r="R20" s="208" t="s">
        <v>769</v>
      </c>
      <c r="S20" s="208" t="s">
        <v>769</v>
      </c>
      <c r="T20" s="208" t="s">
        <v>769</v>
      </c>
      <c r="U20" s="208">
        <v>0.98609999999999998</v>
      </c>
      <c r="V20" s="208" t="s">
        <v>769</v>
      </c>
      <c r="W20" s="208" t="s">
        <v>357</v>
      </c>
      <c r="X20" s="208" t="s">
        <v>769</v>
      </c>
      <c r="Y20" s="208" t="s">
        <v>769</v>
      </c>
      <c r="Z20" s="208" t="s">
        <v>769</v>
      </c>
      <c r="AA20" s="208" t="s">
        <v>769</v>
      </c>
      <c r="AB20" s="208">
        <v>24620</v>
      </c>
      <c r="AC20" s="208">
        <v>1.0000000000000001E-5</v>
      </c>
      <c r="AD20" s="208">
        <v>1.3</v>
      </c>
      <c r="AE20" s="208">
        <v>5.6000000000000001E-2</v>
      </c>
      <c r="AF20" s="208" t="s">
        <v>769</v>
      </c>
      <c r="AG20" s="208">
        <v>211.86136363636399</v>
      </c>
      <c r="AH20" s="208" t="s">
        <v>769</v>
      </c>
      <c r="AI20" s="208" t="s">
        <v>769</v>
      </c>
      <c r="AJ20" s="208">
        <v>976.57589077696673</v>
      </c>
      <c r="AK20" s="208">
        <v>2373.9650144087727</v>
      </c>
      <c r="AL20" s="208">
        <v>6828.562074308853</v>
      </c>
      <c r="AM20" s="208">
        <v>74.776332476706457</v>
      </c>
    </row>
    <row r="21" spans="3:39" x14ac:dyDescent="0.2">
      <c r="C21" s="13" t="s">
        <v>34</v>
      </c>
      <c r="D21" s="22" t="s">
        <v>33</v>
      </c>
      <c r="E21" s="208">
        <v>-0.73199999999999998</v>
      </c>
      <c r="F21" s="208">
        <v>2.4530542730226085E-7</v>
      </c>
      <c r="G21" s="208">
        <v>2.9065339786514628E-7</v>
      </c>
      <c r="H21" s="208">
        <v>9.4509368162832334E-9</v>
      </c>
      <c r="I21" s="208">
        <v>1.2376906450971292E-8</v>
      </c>
      <c r="J21" s="208">
        <v>3.9461645999999998E-4</v>
      </c>
      <c r="K21" s="208">
        <v>2.95</v>
      </c>
      <c r="L21" s="208">
        <v>17910550</v>
      </c>
      <c r="M21" s="208">
        <v>8.900000000000001E-2</v>
      </c>
      <c r="N21" s="208">
        <v>1594038.9500000002</v>
      </c>
      <c r="O21" s="208">
        <v>0.05</v>
      </c>
      <c r="P21" s="208">
        <v>895527.5</v>
      </c>
      <c r="Q21" s="208">
        <v>15</v>
      </c>
      <c r="R21" s="208">
        <v>6</v>
      </c>
      <c r="S21" s="208">
        <v>7.9045867296149402E-2</v>
      </c>
      <c r="T21" s="208" t="s">
        <v>769</v>
      </c>
      <c r="U21" s="208">
        <v>0.89910000000000001</v>
      </c>
      <c r="V21" s="208">
        <v>100000</v>
      </c>
      <c r="W21" s="208" t="s">
        <v>357</v>
      </c>
      <c r="X21" s="208">
        <v>0.625</v>
      </c>
      <c r="Y21" s="208">
        <v>0.625</v>
      </c>
      <c r="Z21" s="208">
        <v>0.625</v>
      </c>
      <c r="AA21" s="208">
        <v>0.625</v>
      </c>
      <c r="AB21" s="208">
        <v>25560</v>
      </c>
      <c r="AC21" s="208">
        <v>1.0000000000000001E-5</v>
      </c>
      <c r="AD21" s="208">
        <v>1.3</v>
      </c>
      <c r="AE21" s="208">
        <v>5.6000000000000001E-2</v>
      </c>
      <c r="AF21" s="208" t="s">
        <v>258</v>
      </c>
      <c r="AG21" s="208">
        <v>16.7387416916056</v>
      </c>
      <c r="AH21" s="208" t="s">
        <v>769</v>
      </c>
      <c r="AI21" s="208" t="s">
        <v>769</v>
      </c>
      <c r="AJ21" s="208">
        <v>3833.6730374972321</v>
      </c>
      <c r="AK21" s="208">
        <v>13334.853610941092</v>
      </c>
      <c r="AL21" s="208">
        <v>34531.282857196777</v>
      </c>
      <c r="AM21" s="208">
        <v>253.07480162444287</v>
      </c>
    </row>
    <row r="22" spans="3:39" x14ac:dyDescent="0.2">
      <c r="C22" s="13" t="s">
        <v>35</v>
      </c>
      <c r="D22" s="22" t="s">
        <v>24</v>
      </c>
      <c r="E22" s="208" t="s">
        <v>769</v>
      </c>
      <c r="F22" s="208">
        <v>4.6919042189281643E-10</v>
      </c>
      <c r="G22" s="208">
        <v>1.391931584948689E-7</v>
      </c>
      <c r="H22" s="208">
        <v>1.4075712656784491E-9</v>
      </c>
      <c r="I22" s="208">
        <v>1.4075712656784491E-9</v>
      </c>
      <c r="J22" s="208">
        <v>2.6453814999999998E-4</v>
      </c>
      <c r="K22" s="208">
        <v>3.54</v>
      </c>
      <c r="L22" s="208">
        <v>492800</v>
      </c>
      <c r="M22" s="208" t="s">
        <v>769</v>
      </c>
      <c r="N22" s="208" t="s">
        <v>769</v>
      </c>
      <c r="O22" s="208" t="s">
        <v>769</v>
      </c>
      <c r="P22" s="208" t="s">
        <v>769</v>
      </c>
      <c r="Q22" s="208" t="s">
        <v>769</v>
      </c>
      <c r="R22" s="208" t="s">
        <v>769</v>
      </c>
      <c r="S22" s="208" t="s">
        <v>769</v>
      </c>
      <c r="T22" s="208" t="s">
        <v>769</v>
      </c>
      <c r="U22" s="208" t="s">
        <v>769</v>
      </c>
      <c r="V22" s="208">
        <v>129000</v>
      </c>
      <c r="W22" s="208" t="s">
        <v>356</v>
      </c>
      <c r="X22" s="208" t="s">
        <v>769</v>
      </c>
      <c r="Y22" s="208" t="s">
        <v>769</v>
      </c>
      <c r="Z22" s="208" t="s">
        <v>769</v>
      </c>
      <c r="AA22" s="208" t="s">
        <v>769</v>
      </c>
      <c r="AB22" s="208">
        <v>16400</v>
      </c>
      <c r="AC22" s="208">
        <v>1.0000000000000001E-5</v>
      </c>
      <c r="AD22" s="208">
        <v>1.3</v>
      </c>
      <c r="AE22" s="208">
        <v>5.6000000000000001E-2</v>
      </c>
      <c r="AF22" s="208" t="s">
        <v>769</v>
      </c>
      <c r="AG22" s="208">
        <v>98.032103969090301</v>
      </c>
      <c r="AH22" s="208" t="s">
        <v>769</v>
      </c>
      <c r="AI22" s="208" t="s">
        <v>769</v>
      </c>
      <c r="AJ22" s="208">
        <v>3946.5368410484944</v>
      </c>
      <c r="AK22" s="208">
        <v>13052.45080242495</v>
      </c>
      <c r="AL22" s="208">
        <v>33185.635234443871</v>
      </c>
      <c r="AM22" s="208">
        <v>248.41656157745561</v>
      </c>
    </row>
    <row r="23" spans="3:39" x14ac:dyDescent="0.2">
      <c r="C23" s="13" t="s">
        <v>36</v>
      </c>
      <c r="D23" s="22" t="s">
        <v>33</v>
      </c>
      <c r="E23" s="208" t="s">
        <v>769</v>
      </c>
      <c r="F23" s="208">
        <v>1.4787551020408163E-6</v>
      </c>
      <c r="G23" s="208">
        <v>6.5553061224489807E-7</v>
      </c>
      <c r="H23" s="208">
        <v>3.9636734693877553E-8</v>
      </c>
      <c r="I23" s="208">
        <v>5.4881632653061228E-8</v>
      </c>
      <c r="J23" s="208">
        <v>5.6122449999999999E-4</v>
      </c>
      <c r="K23" s="208">
        <v>2.89</v>
      </c>
      <c r="L23" s="208">
        <v>88132.016699999993</v>
      </c>
      <c r="M23" s="208" t="s">
        <v>769</v>
      </c>
      <c r="N23" s="208" t="s">
        <v>769</v>
      </c>
      <c r="O23" s="208" t="s">
        <v>769</v>
      </c>
      <c r="P23" s="208" t="s">
        <v>769</v>
      </c>
      <c r="Q23" s="208" t="s">
        <v>769</v>
      </c>
      <c r="R23" s="208" t="s">
        <v>769</v>
      </c>
      <c r="S23" s="208" t="s">
        <v>769</v>
      </c>
      <c r="T23" s="208" t="s">
        <v>769</v>
      </c>
      <c r="U23" s="208" t="s">
        <v>769</v>
      </c>
      <c r="V23" s="208" t="s">
        <v>769</v>
      </c>
      <c r="W23" s="208" t="s">
        <v>357</v>
      </c>
      <c r="X23" s="208" t="s">
        <v>769</v>
      </c>
      <c r="Y23" s="208" t="s">
        <v>769</v>
      </c>
      <c r="Z23" s="208" t="s">
        <v>769</v>
      </c>
      <c r="AA23" s="208" t="s">
        <v>769</v>
      </c>
      <c r="AB23" s="208">
        <v>37070</v>
      </c>
      <c r="AC23" s="208">
        <v>1.0000000000000001E-5</v>
      </c>
      <c r="AD23" s="208">
        <v>1.3</v>
      </c>
      <c r="AE23" s="208">
        <v>5.6000000000000001E-2</v>
      </c>
      <c r="AF23" s="208" t="s">
        <v>769</v>
      </c>
      <c r="AG23" s="208">
        <v>591.87222222222204</v>
      </c>
      <c r="AH23" s="208" t="s">
        <v>769</v>
      </c>
      <c r="AI23" s="208" t="s">
        <v>769</v>
      </c>
      <c r="AJ23" s="208">
        <v>937.55582305742382</v>
      </c>
      <c r="AK23" s="208">
        <v>2355.8505347377863</v>
      </c>
      <c r="AL23" s="208">
        <v>6813.033513670649</v>
      </c>
      <c r="AM23" s="208">
        <v>57.600182603132453</v>
      </c>
    </row>
    <row r="24" spans="3:39" x14ac:dyDescent="0.2">
      <c r="C24" s="13" t="s">
        <v>37</v>
      </c>
      <c r="D24" s="22" t="s">
        <v>28</v>
      </c>
      <c r="E24" s="208">
        <v>1.083</v>
      </c>
      <c r="F24" s="208">
        <v>1.4484908543227929E-6</v>
      </c>
      <c r="G24" s="208">
        <v>6.990278779016633E-7</v>
      </c>
      <c r="H24" s="208">
        <v>1.8403244745019192E-8</v>
      </c>
      <c r="I24" s="208">
        <v>3.7930892341436674E-8</v>
      </c>
      <c r="J24" s="208">
        <v>5.7035283999999999E-4</v>
      </c>
      <c r="K24" s="208">
        <v>2.5499999999999998</v>
      </c>
      <c r="L24" s="208">
        <v>13345000</v>
      </c>
      <c r="M24" s="208">
        <v>0.48870000000000002</v>
      </c>
      <c r="N24" s="208">
        <v>6521701.5</v>
      </c>
      <c r="O24" s="208">
        <v>9.7699999999999995E-2</v>
      </c>
      <c r="P24" s="208">
        <v>1303806.5</v>
      </c>
      <c r="Q24" s="208">
        <v>650</v>
      </c>
      <c r="R24" s="208">
        <v>9</v>
      </c>
      <c r="S24" s="208">
        <v>5.108937E-3</v>
      </c>
      <c r="T24" s="208">
        <v>0.55000000000000004</v>
      </c>
      <c r="U24" s="208" t="s">
        <v>769</v>
      </c>
      <c r="V24" s="208">
        <v>360000</v>
      </c>
      <c r="W24" s="208" t="s">
        <v>357</v>
      </c>
      <c r="X24" s="208" t="s">
        <v>769</v>
      </c>
      <c r="Y24" s="208" t="s">
        <v>769</v>
      </c>
      <c r="Z24" s="208" t="s">
        <v>769</v>
      </c>
      <c r="AA24" s="208" t="s">
        <v>769</v>
      </c>
      <c r="AB24" s="208">
        <v>56780</v>
      </c>
      <c r="AC24" s="208">
        <v>1.0000000000000001E-5</v>
      </c>
      <c r="AD24" s="208">
        <v>1.3</v>
      </c>
      <c r="AE24" s="208">
        <v>5.6000000000000001E-2</v>
      </c>
      <c r="AF24" s="208" t="s">
        <v>255</v>
      </c>
      <c r="AG24" s="208">
        <v>3.33922844714392</v>
      </c>
      <c r="AH24" s="208" t="s">
        <v>769</v>
      </c>
      <c r="AI24" s="208" t="s">
        <v>769</v>
      </c>
      <c r="AJ24" s="208">
        <v>3196.7554447647121</v>
      </c>
      <c r="AK24" s="208">
        <v>10633.377819048614</v>
      </c>
      <c r="AL24" s="208">
        <v>30476.388287583763</v>
      </c>
      <c r="AM24" s="208">
        <v>255.11183358993136</v>
      </c>
    </row>
    <row r="25" spans="3:39" x14ac:dyDescent="0.2">
      <c r="C25" s="13" t="s">
        <v>38</v>
      </c>
      <c r="D25" s="22" t="s">
        <v>24</v>
      </c>
      <c r="E25" s="208">
        <v>1.641</v>
      </c>
      <c r="F25" s="208">
        <v>9.1703570428015582E-8</v>
      </c>
      <c r="G25" s="208">
        <v>1.4898172762645918E-7</v>
      </c>
      <c r="H25" s="208">
        <v>1.155261011673152E-8</v>
      </c>
      <c r="I25" s="208">
        <v>1.3788812451361873E-8</v>
      </c>
      <c r="J25" s="208">
        <v>1.4178989000000002E-4</v>
      </c>
      <c r="K25" s="208">
        <v>2.27</v>
      </c>
      <c r="L25" s="208">
        <v>5219715.5</v>
      </c>
      <c r="M25" s="208">
        <v>5.2000000000000005E-2</v>
      </c>
      <c r="N25" s="208">
        <v>271425.20600000001</v>
      </c>
      <c r="O25" s="208">
        <v>0.379</v>
      </c>
      <c r="P25" s="208">
        <v>1978272.1745</v>
      </c>
      <c r="Q25" s="208">
        <v>3</v>
      </c>
      <c r="R25" s="208">
        <v>13</v>
      </c>
      <c r="S25" s="208">
        <v>0.38909999999999995</v>
      </c>
      <c r="T25" s="208" t="s">
        <v>769</v>
      </c>
      <c r="U25" s="208" t="s">
        <v>769</v>
      </c>
      <c r="V25" s="208">
        <v>314000</v>
      </c>
      <c r="W25" s="208" t="s">
        <v>356</v>
      </c>
      <c r="X25" s="208" t="s">
        <v>769</v>
      </c>
      <c r="Y25" s="208" t="s">
        <v>769</v>
      </c>
      <c r="Z25" s="208" t="s">
        <v>769</v>
      </c>
      <c r="AA25" s="208" t="s">
        <v>769</v>
      </c>
      <c r="AB25" s="208">
        <v>64410</v>
      </c>
      <c r="AC25" s="208">
        <v>1.0000000000000001E-5</v>
      </c>
      <c r="AD25" s="208">
        <v>1.3</v>
      </c>
      <c r="AE25" s="208">
        <v>5.6000000000000001E-2</v>
      </c>
      <c r="AF25" s="208" t="s">
        <v>255</v>
      </c>
      <c r="AG25" s="208">
        <v>108.528805138148</v>
      </c>
      <c r="AH25" s="208">
        <v>71327</v>
      </c>
      <c r="AI25" s="208">
        <v>1906945.1745</v>
      </c>
      <c r="AJ25" s="208">
        <v>4090.4518535243378</v>
      </c>
      <c r="AK25" s="208">
        <v>13433.80645732529</v>
      </c>
      <c r="AL25" s="208">
        <v>35290.053641415725</v>
      </c>
      <c r="AM25" s="208">
        <v>288.42229571802648</v>
      </c>
    </row>
    <row r="26" spans="3:39" x14ac:dyDescent="0.2">
      <c r="C26" s="13" t="s">
        <v>39</v>
      </c>
      <c r="D26" s="22" t="s">
        <v>24</v>
      </c>
      <c r="E26" s="208" t="s">
        <v>769</v>
      </c>
      <c r="F26" s="208">
        <v>6.574664823773323E-9</v>
      </c>
      <c r="G26" s="208">
        <v>3.0406440912232208E-7</v>
      </c>
      <c r="H26" s="208">
        <v>3.5799723565998614E-9</v>
      </c>
      <c r="I26" s="208">
        <v>3.6981478921907391E-9</v>
      </c>
      <c r="J26" s="208">
        <v>6.7138904000000005E-4</v>
      </c>
      <c r="K26" s="208">
        <v>4.55</v>
      </c>
      <c r="L26" s="208">
        <v>2930349</v>
      </c>
      <c r="M26" s="208" t="s">
        <v>769</v>
      </c>
      <c r="N26" s="208" t="s">
        <v>769</v>
      </c>
      <c r="O26" s="208" t="s">
        <v>769</v>
      </c>
      <c r="P26" s="208" t="s">
        <v>769</v>
      </c>
      <c r="Q26" s="208" t="s">
        <v>769</v>
      </c>
      <c r="R26" s="208" t="s">
        <v>769</v>
      </c>
      <c r="S26" s="208" t="s">
        <v>769</v>
      </c>
      <c r="T26" s="208" t="s">
        <v>769</v>
      </c>
      <c r="U26" s="208">
        <v>0.56000000000000005</v>
      </c>
      <c r="V26" s="208">
        <v>69000</v>
      </c>
      <c r="W26" s="208" t="s">
        <v>357</v>
      </c>
      <c r="X26" s="208" t="s">
        <v>769</v>
      </c>
      <c r="Y26" s="208" t="s">
        <v>769</v>
      </c>
      <c r="Z26" s="208" t="s">
        <v>769</v>
      </c>
      <c r="AA26" s="208" t="s">
        <v>769</v>
      </c>
      <c r="AB26" s="208">
        <v>19690</v>
      </c>
      <c r="AC26" s="208">
        <v>1.0000000000000001E-5</v>
      </c>
      <c r="AD26" s="208">
        <v>1.3</v>
      </c>
      <c r="AE26" s="208">
        <v>5.6000000000000001E-2</v>
      </c>
      <c r="AF26" s="208" t="s">
        <v>769</v>
      </c>
      <c r="AG26" s="208">
        <v>122.65880217785801</v>
      </c>
      <c r="AH26" s="208" t="s">
        <v>769</v>
      </c>
      <c r="AI26" s="208" t="s">
        <v>769</v>
      </c>
      <c r="AJ26" s="208">
        <v>3938.829308956183</v>
      </c>
      <c r="AK26" s="208">
        <v>12984.328188392376</v>
      </c>
      <c r="AL26" s="208">
        <v>33044.759418378329</v>
      </c>
      <c r="AM26" s="208">
        <v>274.04340974821008</v>
      </c>
    </row>
    <row r="27" spans="3:39" x14ac:dyDescent="0.2">
      <c r="C27" s="13" t="s">
        <v>40</v>
      </c>
      <c r="D27" s="22" t="s">
        <v>33</v>
      </c>
      <c r="E27" s="208" t="s">
        <v>769</v>
      </c>
      <c r="F27" s="208" t="s">
        <v>769</v>
      </c>
      <c r="G27" s="208" t="s">
        <v>769</v>
      </c>
      <c r="H27" s="208" t="s">
        <v>769</v>
      </c>
      <c r="I27" s="208" t="s">
        <v>769</v>
      </c>
      <c r="J27" s="208" t="s">
        <v>769</v>
      </c>
      <c r="K27" s="208" t="s">
        <v>769</v>
      </c>
      <c r="L27" s="208">
        <v>264000</v>
      </c>
      <c r="M27" s="208" t="s">
        <v>769</v>
      </c>
      <c r="N27" s="208" t="s">
        <v>769</v>
      </c>
      <c r="O27" s="208" t="s">
        <v>769</v>
      </c>
      <c r="P27" s="208" t="s">
        <v>769</v>
      </c>
      <c r="Q27" s="208" t="s">
        <v>769</v>
      </c>
      <c r="R27" s="208" t="s">
        <v>769</v>
      </c>
      <c r="S27" s="208" t="s">
        <v>769</v>
      </c>
      <c r="T27" s="208" t="s">
        <v>769</v>
      </c>
      <c r="U27" s="208" t="s">
        <v>769</v>
      </c>
      <c r="V27" s="208" t="s">
        <v>769</v>
      </c>
      <c r="W27" s="208" t="s">
        <v>357</v>
      </c>
      <c r="X27" s="208" t="s">
        <v>769</v>
      </c>
      <c r="Y27" s="208" t="s">
        <v>769</v>
      </c>
      <c r="Z27" s="208" t="s">
        <v>769</v>
      </c>
      <c r="AA27" s="208" t="s">
        <v>769</v>
      </c>
      <c r="AB27" s="208">
        <v>27240</v>
      </c>
      <c r="AC27" s="208">
        <v>1.0000000000000001E-5</v>
      </c>
      <c r="AD27" s="208">
        <v>1.3</v>
      </c>
      <c r="AE27" s="208">
        <v>5.6000000000000001E-2</v>
      </c>
      <c r="AF27" s="208" t="s">
        <v>769</v>
      </c>
      <c r="AG27" s="208">
        <v>40.749850149850097</v>
      </c>
      <c r="AH27" s="208" t="s">
        <v>769</v>
      </c>
      <c r="AI27" s="208" t="s">
        <v>769</v>
      </c>
      <c r="AJ27" s="208">
        <v>2043.5750221424428</v>
      </c>
      <c r="AK27" s="208">
        <v>6528.1319378862945</v>
      </c>
      <c r="AL27" s="208">
        <v>18804.193030111855</v>
      </c>
      <c r="AM27" s="208">
        <v>160.94130027996599</v>
      </c>
    </row>
    <row r="28" spans="3:39" x14ac:dyDescent="0.2">
      <c r="C28" s="13" t="s">
        <v>41</v>
      </c>
      <c r="D28" s="22" t="s">
        <v>26</v>
      </c>
      <c r="E28" s="208" t="s">
        <v>769</v>
      </c>
      <c r="F28" s="208">
        <v>1.0796961170512099E-9</v>
      </c>
      <c r="G28" s="208">
        <v>3.2030984805852565E-7</v>
      </c>
      <c r="H28" s="208">
        <v>3.2390883511536305E-9</v>
      </c>
      <c r="I28" s="208">
        <v>3.2390883511536305E-9</v>
      </c>
      <c r="J28" s="208">
        <v>9.0461450000000004E-4</v>
      </c>
      <c r="K28" s="208" t="s">
        <v>769</v>
      </c>
      <c r="L28" s="208">
        <v>951942.96950000001</v>
      </c>
      <c r="M28" s="208" t="s">
        <v>769</v>
      </c>
      <c r="N28" s="208" t="s">
        <v>769</v>
      </c>
      <c r="O28" s="208" t="s">
        <v>769</v>
      </c>
      <c r="P28" s="208" t="s">
        <v>769</v>
      </c>
      <c r="Q28" s="208" t="s">
        <v>769</v>
      </c>
      <c r="R28" s="208" t="s">
        <v>769</v>
      </c>
      <c r="S28" s="208" t="s">
        <v>769</v>
      </c>
      <c r="T28" s="208" t="s">
        <v>769</v>
      </c>
      <c r="U28" s="208" t="s">
        <v>769</v>
      </c>
      <c r="V28" s="208" t="s">
        <v>769</v>
      </c>
      <c r="W28" s="208" t="s">
        <v>357</v>
      </c>
      <c r="X28" s="208" t="s">
        <v>769</v>
      </c>
      <c r="Y28" s="208" t="s">
        <v>769</v>
      </c>
      <c r="Z28" s="208" t="s">
        <v>769</v>
      </c>
      <c r="AA28" s="208" t="s">
        <v>769</v>
      </c>
      <c r="AB28" s="208">
        <v>50850</v>
      </c>
      <c r="AC28" s="208">
        <v>1.0000000000000001E-5</v>
      </c>
      <c r="AD28" s="208">
        <v>1.3</v>
      </c>
      <c r="AE28" s="208">
        <v>5.6000000000000001E-2</v>
      </c>
      <c r="AF28" s="208" t="s">
        <v>769</v>
      </c>
      <c r="AG28" s="208">
        <v>1852.2341772151899</v>
      </c>
      <c r="AH28" s="208" t="s">
        <v>769</v>
      </c>
      <c r="AI28" s="208" t="s">
        <v>769</v>
      </c>
      <c r="AJ28" s="208">
        <v>1977.4516491254433</v>
      </c>
      <c r="AK28" s="208">
        <v>2619.8176405163986</v>
      </c>
      <c r="AL28" s="208">
        <v>6921.1273865195171</v>
      </c>
      <c r="AM28" s="208">
        <v>441.46821483411378</v>
      </c>
    </row>
    <row r="29" spans="3:39" x14ac:dyDescent="0.2">
      <c r="C29" s="13" t="s">
        <v>42</v>
      </c>
      <c r="D29" s="22" t="s">
        <v>22</v>
      </c>
      <c r="E29" s="208">
        <v>-1.331</v>
      </c>
      <c r="F29" s="208">
        <v>6.0640558093930792E-7</v>
      </c>
      <c r="G29" s="208">
        <v>4.8515321109912745E-7</v>
      </c>
      <c r="H29" s="208">
        <v>1.5839470536327092E-8</v>
      </c>
      <c r="I29" s="208">
        <v>2.2592250220609865E-8</v>
      </c>
      <c r="J29" s="208">
        <v>6.7810580000000008E-4</v>
      </c>
      <c r="K29" s="208">
        <v>4.26</v>
      </c>
      <c r="L29" s="208">
        <v>14778497.33</v>
      </c>
      <c r="M29" s="208">
        <v>0.94750000000000001</v>
      </c>
      <c r="N29" s="208">
        <v>14002626.220175</v>
      </c>
      <c r="O29" s="208">
        <v>0</v>
      </c>
      <c r="P29" s="208">
        <v>0</v>
      </c>
      <c r="Q29" s="208">
        <v>12</v>
      </c>
      <c r="R29" s="208">
        <v>0</v>
      </c>
      <c r="S29" s="208">
        <v>0</v>
      </c>
      <c r="T29" s="208" t="s">
        <v>769</v>
      </c>
      <c r="U29" s="208" t="s">
        <v>769</v>
      </c>
      <c r="V29" s="208">
        <v>39000</v>
      </c>
      <c r="W29" s="208" t="s">
        <v>355</v>
      </c>
      <c r="X29" s="208" t="s">
        <v>769</v>
      </c>
      <c r="Y29" s="208" t="s">
        <v>769</v>
      </c>
      <c r="Z29" s="208" t="s">
        <v>769</v>
      </c>
      <c r="AA29" s="208" t="s">
        <v>769</v>
      </c>
      <c r="AB29" s="208">
        <v>7750</v>
      </c>
      <c r="AC29" s="208">
        <v>1.0000000000000001E-5</v>
      </c>
      <c r="AD29" s="208">
        <v>1.3</v>
      </c>
      <c r="AE29" s="208">
        <v>5.6000000000000001E-2</v>
      </c>
      <c r="AF29" s="208" t="s">
        <v>258</v>
      </c>
      <c r="AG29" s="208">
        <v>1301.0390335714801</v>
      </c>
      <c r="AH29" s="208">
        <v>0</v>
      </c>
      <c r="AI29" s="208">
        <v>0</v>
      </c>
      <c r="AJ29" s="208">
        <v>52247.463248865526</v>
      </c>
      <c r="AK29" s="208">
        <v>187171.81490025888</v>
      </c>
      <c r="AL29" s="208">
        <v>496840.26875010534</v>
      </c>
      <c r="AM29" s="208">
        <v>2774.6791487371206</v>
      </c>
    </row>
    <row r="30" spans="3:39" x14ac:dyDescent="0.2">
      <c r="C30" s="13" t="s">
        <v>43</v>
      </c>
      <c r="D30" s="22" t="s">
        <v>33</v>
      </c>
      <c r="E30" s="208" t="s">
        <v>769</v>
      </c>
      <c r="F30" s="208">
        <v>1.569827889908257E-6</v>
      </c>
      <c r="G30" s="208">
        <v>7.0470825688073394E-7</v>
      </c>
      <c r="H30" s="208">
        <v>4.2166238532110086E-8</v>
      </c>
      <c r="I30" s="208">
        <v>5.8349724770642203E-8</v>
      </c>
      <c r="J30" s="208">
        <v>6.0550459999999997E-4</v>
      </c>
      <c r="K30" s="208">
        <v>2.85</v>
      </c>
      <c r="L30" s="208">
        <v>174815.44440000001</v>
      </c>
      <c r="M30" s="208" t="s">
        <v>769</v>
      </c>
      <c r="N30" s="208" t="s">
        <v>769</v>
      </c>
      <c r="O30" s="208" t="s">
        <v>769</v>
      </c>
      <c r="P30" s="208" t="s">
        <v>769</v>
      </c>
      <c r="Q30" s="208" t="s">
        <v>769</v>
      </c>
      <c r="R30" s="208" t="s">
        <v>769</v>
      </c>
      <c r="S30" s="208" t="s">
        <v>769</v>
      </c>
      <c r="T30" s="208" t="s">
        <v>769</v>
      </c>
      <c r="U30" s="208">
        <v>0.9</v>
      </c>
      <c r="V30" s="208" t="s">
        <v>769</v>
      </c>
      <c r="W30" s="208" t="s">
        <v>358</v>
      </c>
      <c r="X30" s="208" t="s">
        <v>769</v>
      </c>
      <c r="Y30" s="208" t="s">
        <v>769</v>
      </c>
      <c r="Z30" s="208" t="s">
        <v>769</v>
      </c>
      <c r="AA30" s="208" t="s">
        <v>769</v>
      </c>
      <c r="AB30" s="208">
        <v>14470</v>
      </c>
      <c r="AC30" s="208">
        <v>1.0000000000000001E-5</v>
      </c>
      <c r="AD30" s="208">
        <v>1.3</v>
      </c>
      <c r="AE30" s="208">
        <v>5.6000000000000001E-2</v>
      </c>
      <c r="AF30" s="208" t="s">
        <v>769</v>
      </c>
      <c r="AG30" s="208">
        <v>653.95348837209303</v>
      </c>
      <c r="AH30" s="208" t="s">
        <v>769</v>
      </c>
      <c r="AI30" s="208" t="s">
        <v>769</v>
      </c>
      <c r="AJ30" s="208">
        <v>1052.6974843189323</v>
      </c>
      <c r="AK30" s="208">
        <v>2365.6827891054368</v>
      </c>
      <c r="AL30" s="208">
        <v>6802.7142040876806</v>
      </c>
      <c r="AM30" s="208">
        <v>76.638342269532046</v>
      </c>
    </row>
    <row r="31" spans="3:39" x14ac:dyDescent="0.2">
      <c r="C31" s="13" t="s">
        <v>44</v>
      </c>
      <c r="D31" s="22" t="s">
        <v>24</v>
      </c>
      <c r="E31" s="208" t="s">
        <v>769</v>
      </c>
      <c r="F31" s="208">
        <v>8.9172522009321585E-8</v>
      </c>
      <c r="G31" s="208">
        <v>3.0467633350595548E-7</v>
      </c>
      <c r="H31" s="208">
        <v>6.6145106162610039E-9</v>
      </c>
      <c r="I31" s="208">
        <v>7.787167270844121E-9</v>
      </c>
      <c r="J31" s="208">
        <v>4.4173999999999998E-4</v>
      </c>
      <c r="K31" s="208">
        <v>2.16</v>
      </c>
      <c r="L31" s="208">
        <v>4280000</v>
      </c>
      <c r="M31" s="208" t="s">
        <v>769</v>
      </c>
      <c r="N31" s="208" t="s">
        <v>769</v>
      </c>
      <c r="O31" s="208" t="s">
        <v>769</v>
      </c>
      <c r="P31" s="208" t="s">
        <v>769</v>
      </c>
      <c r="Q31" s="208" t="s">
        <v>769</v>
      </c>
      <c r="R31" s="208" t="s">
        <v>769</v>
      </c>
      <c r="S31" s="208" t="s">
        <v>769</v>
      </c>
      <c r="T31" s="208" t="s">
        <v>769</v>
      </c>
      <c r="U31" s="208">
        <v>0.93200000000000005</v>
      </c>
      <c r="V31" s="208">
        <v>84000</v>
      </c>
      <c r="W31" s="208" t="s">
        <v>356</v>
      </c>
      <c r="X31" s="208" t="s">
        <v>769</v>
      </c>
      <c r="Y31" s="208" t="s">
        <v>769</v>
      </c>
      <c r="Z31" s="208" t="s">
        <v>769</v>
      </c>
      <c r="AA31" s="208" t="s">
        <v>769</v>
      </c>
      <c r="AB31" s="208">
        <v>26600</v>
      </c>
      <c r="AC31" s="208">
        <v>1.0000000000000001E-5</v>
      </c>
      <c r="AD31" s="208">
        <v>1.3</v>
      </c>
      <c r="AE31" s="208">
        <v>5.6000000000000001E-2</v>
      </c>
      <c r="AF31" s="208" t="s">
        <v>769</v>
      </c>
      <c r="AG31" s="208">
        <v>45.836831731953701</v>
      </c>
      <c r="AH31" s="208" t="s">
        <v>769</v>
      </c>
      <c r="AI31" s="208" t="s">
        <v>769</v>
      </c>
      <c r="AJ31" s="208">
        <v>3871.2836402107487</v>
      </c>
      <c r="AK31" s="208">
        <v>13139.731412186627</v>
      </c>
      <c r="AL31" s="208">
        <v>33936.588872609129</v>
      </c>
      <c r="AM31" s="208">
        <v>242.016535730356</v>
      </c>
    </row>
    <row r="32" spans="3:39" x14ac:dyDescent="0.2">
      <c r="C32" s="13" t="s">
        <v>45</v>
      </c>
      <c r="D32" s="22" t="s">
        <v>24</v>
      </c>
      <c r="E32" s="208">
        <v>1.159</v>
      </c>
      <c r="F32" s="208">
        <v>7.8270554493307843E-8</v>
      </c>
      <c r="G32" s="208">
        <v>1.4822332695984702E-7</v>
      </c>
      <c r="H32" s="208">
        <v>9.0001912045889094E-9</v>
      </c>
      <c r="I32" s="208">
        <v>1.0732504780114722E-8</v>
      </c>
      <c r="J32" s="208">
        <v>1.3979180999999999E-4</v>
      </c>
      <c r="K32" s="208">
        <v>2.3199999999999998</v>
      </c>
      <c r="L32" s="208">
        <v>4765883</v>
      </c>
      <c r="M32" s="208">
        <v>3.1699999999999999E-2</v>
      </c>
      <c r="N32" s="208">
        <v>151078.49109999998</v>
      </c>
      <c r="O32" s="208">
        <v>0.43390000000000001</v>
      </c>
      <c r="P32" s="208">
        <v>2067916.6336999999</v>
      </c>
      <c r="Q32" s="208">
        <v>1</v>
      </c>
      <c r="R32" s="208">
        <v>14</v>
      </c>
      <c r="S32" s="208">
        <v>0.4230061</v>
      </c>
      <c r="T32" s="208" t="s">
        <v>769</v>
      </c>
      <c r="U32" s="208" t="s">
        <v>769</v>
      </c>
      <c r="V32" s="208">
        <v>178000</v>
      </c>
      <c r="W32" s="208" t="s">
        <v>356</v>
      </c>
      <c r="X32" s="208" t="s">
        <v>769</v>
      </c>
      <c r="Y32" s="208" t="s">
        <v>769</v>
      </c>
      <c r="Z32" s="208" t="s">
        <v>769</v>
      </c>
      <c r="AA32" s="208" t="s">
        <v>769</v>
      </c>
      <c r="AB32" s="208">
        <v>62770</v>
      </c>
      <c r="AC32" s="208">
        <v>1.0000000000000001E-5</v>
      </c>
      <c r="AD32" s="208">
        <v>1.3</v>
      </c>
      <c r="AE32" s="208">
        <v>5.6000000000000001E-2</v>
      </c>
      <c r="AF32" s="208" t="s">
        <v>255</v>
      </c>
      <c r="AG32" s="208">
        <v>382.635237780713</v>
      </c>
      <c r="AH32" s="208">
        <v>258006</v>
      </c>
      <c r="AI32" s="208">
        <v>1809910.6336999999</v>
      </c>
      <c r="AJ32" s="208">
        <v>4129.6003916483332</v>
      </c>
      <c r="AK32" s="208">
        <v>13265.640683602982</v>
      </c>
      <c r="AL32" s="208">
        <v>34517.082150290596</v>
      </c>
      <c r="AM32" s="208">
        <v>304.80550950951988</v>
      </c>
    </row>
    <row r="33" spans="3:39" x14ac:dyDescent="0.2">
      <c r="C33" s="13" t="s">
        <v>46</v>
      </c>
      <c r="D33" s="22" t="s">
        <v>33</v>
      </c>
      <c r="E33" s="208" t="s">
        <v>769</v>
      </c>
      <c r="F33" s="208">
        <v>3.5837419354838709E-7</v>
      </c>
      <c r="G33" s="208">
        <v>5.4185806451612891E-7</v>
      </c>
      <c r="H33" s="208">
        <v>7.0374193548387107E-8</v>
      </c>
      <c r="I33" s="208">
        <v>8.3148387096774214E-8</v>
      </c>
      <c r="J33" s="208">
        <v>2.2580646E-4</v>
      </c>
      <c r="K33" s="208">
        <v>3.75</v>
      </c>
      <c r="L33" s="208">
        <v>101378.8303</v>
      </c>
      <c r="M33" s="208" t="s">
        <v>769</v>
      </c>
      <c r="N33" s="208" t="s">
        <v>769</v>
      </c>
      <c r="O33" s="208" t="s">
        <v>769</v>
      </c>
      <c r="P33" s="208" t="s">
        <v>769</v>
      </c>
      <c r="Q33" s="208" t="s">
        <v>769</v>
      </c>
      <c r="R33" s="208" t="s">
        <v>769</v>
      </c>
      <c r="S33" s="208" t="s">
        <v>769</v>
      </c>
      <c r="T33" s="208" t="s">
        <v>769</v>
      </c>
      <c r="U33" s="208">
        <v>0.85199999999999998</v>
      </c>
      <c r="V33" s="208" t="s">
        <v>769</v>
      </c>
      <c r="W33" s="208" t="s">
        <v>358</v>
      </c>
      <c r="X33" s="208">
        <v>0.34</v>
      </c>
      <c r="Y33" s="208">
        <v>0.34</v>
      </c>
      <c r="Z33" s="208">
        <v>0.34</v>
      </c>
      <c r="AA33" s="208">
        <v>0.34</v>
      </c>
      <c r="AB33" s="208">
        <v>11190</v>
      </c>
      <c r="AC33" s="208">
        <v>1.0000000000000001E-5</v>
      </c>
      <c r="AD33" s="208">
        <v>1.3</v>
      </c>
      <c r="AE33" s="208">
        <v>5.6000000000000001E-2</v>
      </c>
      <c r="AF33" s="208" t="s">
        <v>769</v>
      </c>
      <c r="AG33" s="208">
        <v>17.537527400262999</v>
      </c>
      <c r="AH33" s="208" t="s">
        <v>769</v>
      </c>
      <c r="AI33" s="208" t="s">
        <v>769</v>
      </c>
      <c r="AJ33" s="208">
        <v>901.34366802058832</v>
      </c>
      <c r="AK33" s="208">
        <v>2572.3946960393851</v>
      </c>
      <c r="AL33" s="208">
        <v>7423.92652097272</v>
      </c>
      <c r="AM33" s="208">
        <v>53.139476966551243</v>
      </c>
    </row>
    <row r="34" spans="3:39" x14ac:dyDescent="0.2">
      <c r="C34" s="13" t="s">
        <v>47</v>
      </c>
      <c r="D34" s="22" t="s">
        <v>31</v>
      </c>
      <c r="E34" s="208" t="s">
        <v>769</v>
      </c>
      <c r="F34" s="208">
        <v>3.4077982300884965E-7</v>
      </c>
      <c r="G34" s="208">
        <v>4.0304070796460187E-7</v>
      </c>
      <c r="H34" s="208">
        <v>1.1663362831858408E-8</v>
      </c>
      <c r="I34" s="208">
        <v>1.5167787610619469E-8</v>
      </c>
      <c r="J34" s="208">
        <v>5.8407079999999996E-4</v>
      </c>
      <c r="K34" s="208">
        <v>5.19</v>
      </c>
      <c r="L34" s="208">
        <v>685936.01</v>
      </c>
      <c r="M34" s="208" t="s">
        <v>769</v>
      </c>
      <c r="N34" s="208" t="s">
        <v>769</v>
      </c>
      <c r="O34" s="208" t="s">
        <v>769</v>
      </c>
      <c r="P34" s="208" t="s">
        <v>769</v>
      </c>
      <c r="Q34" s="208" t="s">
        <v>769</v>
      </c>
      <c r="R34" s="208" t="s">
        <v>769</v>
      </c>
      <c r="S34" s="208" t="s">
        <v>769</v>
      </c>
      <c r="T34" s="208" t="s">
        <v>769</v>
      </c>
      <c r="U34" s="208" t="s">
        <v>769</v>
      </c>
      <c r="V34" s="208" t="s">
        <v>769</v>
      </c>
      <c r="W34" s="208" t="s">
        <v>357</v>
      </c>
      <c r="X34" s="208" t="s">
        <v>769</v>
      </c>
      <c r="Y34" s="208" t="s">
        <v>769</v>
      </c>
      <c r="Z34" s="208" t="s">
        <v>769</v>
      </c>
      <c r="AA34" s="208" t="s">
        <v>769</v>
      </c>
      <c r="AB34" s="208">
        <v>3560</v>
      </c>
      <c r="AC34" s="208">
        <v>1.0000000000000001E-5</v>
      </c>
      <c r="AD34" s="208">
        <v>1.3</v>
      </c>
      <c r="AE34" s="208">
        <v>5.6000000000000001E-2</v>
      </c>
      <c r="AF34" s="208" t="s">
        <v>769</v>
      </c>
      <c r="AG34" s="208">
        <v>115.26157325292699</v>
      </c>
      <c r="AH34" s="208" t="s">
        <v>769</v>
      </c>
      <c r="AI34" s="208" t="s">
        <v>769</v>
      </c>
      <c r="AJ34" s="208">
        <v>1641.2828487573383</v>
      </c>
      <c r="AK34" s="208">
        <v>4312.5882539028944</v>
      </c>
      <c r="AL34" s="208">
        <v>12307.584732793388</v>
      </c>
      <c r="AM34" s="208">
        <v>77.629626939643558</v>
      </c>
    </row>
    <row r="35" spans="3:39" x14ac:dyDescent="0.2">
      <c r="C35" s="13" t="s">
        <v>48</v>
      </c>
      <c r="D35" s="22" t="s">
        <v>49</v>
      </c>
      <c r="E35" s="208" t="s">
        <v>769</v>
      </c>
      <c r="F35" s="208">
        <v>1.7189142857142855E-6</v>
      </c>
      <c r="G35" s="208">
        <v>7.7377142857142856E-7</v>
      </c>
      <c r="H35" s="208">
        <v>4.7942857142857148E-8</v>
      </c>
      <c r="I35" s="208">
        <v>6.5942857142857143E-8</v>
      </c>
      <c r="J35" s="208">
        <v>6.5079364000000003E-4</v>
      </c>
      <c r="K35" s="208">
        <v>2.2599999999999998</v>
      </c>
      <c r="L35" s="208">
        <v>82000</v>
      </c>
      <c r="M35" s="208" t="s">
        <v>769</v>
      </c>
      <c r="N35" s="208" t="s">
        <v>769</v>
      </c>
      <c r="O35" s="208" t="s">
        <v>769</v>
      </c>
      <c r="P35" s="208" t="s">
        <v>769</v>
      </c>
      <c r="Q35" s="208" t="s">
        <v>769</v>
      </c>
      <c r="R35" s="208" t="s">
        <v>769</v>
      </c>
      <c r="S35" s="208" t="s">
        <v>769</v>
      </c>
      <c r="T35" s="208" t="s">
        <v>769</v>
      </c>
      <c r="U35" s="208">
        <v>1</v>
      </c>
      <c r="V35" s="208" t="s">
        <v>769</v>
      </c>
      <c r="W35" s="208" t="s">
        <v>356</v>
      </c>
      <c r="X35" s="208" t="s">
        <v>769</v>
      </c>
      <c r="Y35" s="208" t="s">
        <v>769</v>
      </c>
      <c r="Z35" s="208" t="s">
        <v>769</v>
      </c>
      <c r="AA35" s="208" t="s">
        <v>769</v>
      </c>
      <c r="AB35" s="208">
        <v>97550</v>
      </c>
      <c r="AC35" s="208">
        <v>1.0000000000000001E-5</v>
      </c>
      <c r="AD35" s="208">
        <v>1.3</v>
      </c>
      <c r="AE35" s="208">
        <v>5.6000000000000001E-2</v>
      </c>
      <c r="AF35" s="208" t="s">
        <v>769</v>
      </c>
      <c r="AG35" s="208">
        <v>1180.81481481481</v>
      </c>
      <c r="AH35" s="208" t="s">
        <v>769</v>
      </c>
      <c r="AI35" s="208" t="s">
        <v>769</v>
      </c>
      <c r="AJ35" s="208">
        <v>945.35951695354947</v>
      </c>
      <c r="AK35" s="208">
        <v>2360.0172828994973</v>
      </c>
      <c r="AL35" s="208">
        <v>6809.099224582691</v>
      </c>
      <c r="AM35" s="208">
        <v>97.308341312108297</v>
      </c>
    </row>
    <row r="36" spans="3:39" x14ac:dyDescent="0.2">
      <c r="C36" s="13" t="s">
        <v>50</v>
      </c>
      <c r="D36" s="22" t="s">
        <v>22</v>
      </c>
      <c r="E36" s="208" t="s">
        <v>769</v>
      </c>
      <c r="F36" s="208">
        <v>0</v>
      </c>
      <c r="G36" s="208">
        <v>0</v>
      </c>
      <c r="H36" s="208">
        <v>0</v>
      </c>
      <c r="I36" s="208">
        <v>0</v>
      </c>
      <c r="J36" s="208">
        <v>2.3333333999999999E-5</v>
      </c>
      <c r="K36" s="208">
        <v>4.59</v>
      </c>
      <c r="L36" s="208">
        <v>111314.05</v>
      </c>
      <c r="M36" s="208" t="s">
        <v>769</v>
      </c>
      <c r="N36" s="208" t="s">
        <v>769</v>
      </c>
      <c r="O36" s="208" t="s">
        <v>769</v>
      </c>
      <c r="P36" s="208" t="s">
        <v>769</v>
      </c>
      <c r="Q36" s="208" t="s">
        <v>769</v>
      </c>
      <c r="R36" s="208" t="s">
        <v>769</v>
      </c>
      <c r="S36" s="208" t="s">
        <v>769</v>
      </c>
      <c r="T36" s="208" t="s">
        <v>769</v>
      </c>
      <c r="U36" s="208" t="s">
        <v>769</v>
      </c>
      <c r="V36" s="208" t="s">
        <v>769</v>
      </c>
      <c r="W36" s="208" t="s">
        <v>355</v>
      </c>
      <c r="X36" s="208" t="s">
        <v>769</v>
      </c>
      <c r="Y36" s="208" t="s">
        <v>769</v>
      </c>
      <c r="Z36" s="208" t="s">
        <v>769</v>
      </c>
      <c r="AA36" s="208" t="s">
        <v>769</v>
      </c>
      <c r="AB36" s="208">
        <v>12660</v>
      </c>
      <c r="AC36" s="208">
        <v>1.0000000000000001E-5</v>
      </c>
      <c r="AD36" s="208">
        <v>1.3</v>
      </c>
      <c r="AE36" s="208">
        <v>5.6000000000000001E-2</v>
      </c>
      <c r="AF36" s="208" t="s">
        <v>769</v>
      </c>
      <c r="AG36" s="208">
        <v>20.385055060304101</v>
      </c>
      <c r="AH36" s="208" t="s">
        <v>769</v>
      </c>
      <c r="AI36" s="208" t="s">
        <v>769</v>
      </c>
      <c r="AJ36" s="208">
        <v>3832.3544974848242</v>
      </c>
      <c r="AK36" s="208">
        <v>12996.739066917318</v>
      </c>
      <c r="AL36" s="208">
        <v>32946.869695701338</v>
      </c>
      <c r="AM36" s="208">
        <v>248.85777279966285</v>
      </c>
    </row>
    <row r="37" spans="3:39" x14ac:dyDescent="0.2">
      <c r="C37" s="13" t="s">
        <v>51</v>
      </c>
      <c r="D37" s="22" t="s">
        <v>33</v>
      </c>
      <c r="E37" s="208">
        <v>-0.74299999999999999</v>
      </c>
      <c r="F37" s="208">
        <v>3.3879721980886186E-8</v>
      </c>
      <c r="G37" s="208">
        <v>2.4223214596003473E-7</v>
      </c>
      <c r="H37" s="208">
        <v>6.9256993918331883E-9</v>
      </c>
      <c r="I37" s="208">
        <v>7.864013900955691E-9</v>
      </c>
      <c r="J37" s="208">
        <v>4.8913986000000001E-4</v>
      </c>
      <c r="K37" s="208">
        <v>3.53</v>
      </c>
      <c r="L37" s="208">
        <v>2219052</v>
      </c>
      <c r="M37" s="208">
        <v>4.0000000000000002E-4</v>
      </c>
      <c r="N37" s="208">
        <v>887.62080000000003</v>
      </c>
      <c r="O37" s="208">
        <v>0</v>
      </c>
      <c r="P37" s="208">
        <v>0</v>
      </c>
      <c r="Q37" s="208">
        <v>0</v>
      </c>
      <c r="R37" s="208">
        <v>0</v>
      </c>
      <c r="S37" s="208">
        <v>0</v>
      </c>
      <c r="T37" s="208" t="s">
        <v>769</v>
      </c>
      <c r="U37" s="208">
        <v>0.57600000000000007</v>
      </c>
      <c r="V37" s="208">
        <v>54000</v>
      </c>
      <c r="W37" s="208" t="s">
        <v>357</v>
      </c>
      <c r="X37" s="208">
        <v>0.31929999999999997</v>
      </c>
      <c r="Y37" s="208">
        <v>0.31929999999999997</v>
      </c>
      <c r="Z37" s="208">
        <v>0.31929999999999997</v>
      </c>
      <c r="AA37" s="208">
        <v>0.31929999999999997</v>
      </c>
      <c r="AB37" s="208">
        <v>9110</v>
      </c>
      <c r="AC37" s="208">
        <v>1.0000000000000001E-5</v>
      </c>
      <c r="AD37" s="208">
        <v>1.3</v>
      </c>
      <c r="AE37" s="208">
        <v>5.6000000000000001E-2</v>
      </c>
      <c r="AF37" s="208" t="s">
        <v>255</v>
      </c>
      <c r="AG37" s="208">
        <v>11.1506249423059</v>
      </c>
      <c r="AH37" s="208" t="s">
        <v>769</v>
      </c>
      <c r="AI37" s="208" t="s">
        <v>769</v>
      </c>
      <c r="AJ37" s="208">
        <v>3785.8441990025817</v>
      </c>
      <c r="AK37" s="208">
        <v>13040.116377719469</v>
      </c>
      <c r="AL37" s="208">
        <v>33255.68313256136</v>
      </c>
      <c r="AM37" s="208">
        <v>251.17774568705457</v>
      </c>
    </row>
    <row r="38" spans="3:39" x14ac:dyDescent="0.2">
      <c r="C38" s="13" t="s">
        <v>52</v>
      </c>
      <c r="D38" s="22" t="s">
        <v>24</v>
      </c>
      <c r="E38" s="208" t="s">
        <v>769</v>
      </c>
      <c r="F38" s="208">
        <v>1.961747673716012E-6</v>
      </c>
      <c r="G38" s="208">
        <v>8.6306247734138963E-7</v>
      </c>
      <c r="H38" s="208">
        <v>2.1867552870090634E-8</v>
      </c>
      <c r="I38" s="208">
        <v>4.8216072507552872E-8</v>
      </c>
      <c r="J38" s="208">
        <v>6.7009063999999997E-4</v>
      </c>
      <c r="K38" s="208">
        <v>3.5</v>
      </c>
      <c r="L38" s="208">
        <v>1248718</v>
      </c>
      <c r="M38" s="208" t="s">
        <v>769</v>
      </c>
      <c r="N38" s="208" t="s">
        <v>769</v>
      </c>
      <c r="O38" s="208" t="s">
        <v>769</v>
      </c>
      <c r="P38" s="208" t="s">
        <v>769</v>
      </c>
      <c r="Q38" s="208" t="s">
        <v>769</v>
      </c>
      <c r="R38" s="208" t="s">
        <v>769</v>
      </c>
      <c r="S38" s="208" t="s">
        <v>769</v>
      </c>
      <c r="T38" s="208" t="s">
        <v>769</v>
      </c>
      <c r="U38" s="208" t="s">
        <v>769</v>
      </c>
      <c r="V38" s="208" t="s">
        <v>769</v>
      </c>
      <c r="W38" s="208" t="s">
        <v>356</v>
      </c>
      <c r="X38" s="208">
        <v>0.2412</v>
      </c>
      <c r="Y38" s="208">
        <v>0.2412</v>
      </c>
      <c r="Z38" s="208">
        <v>0.2412</v>
      </c>
      <c r="AA38" s="208">
        <v>0.2412</v>
      </c>
      <c r="AB38" s="208">
        <v>18160</v>
      </c>
      <c r="AC38" s="208">
        <v>1.0000000000000001E-5</v>
      </c>
      <c r="AD38" s="208">
        <v>1.3</v>
      </c>
      <c r="AE38" s="208">
        <v>5.6000000000000001E-2</v>
      </c>
      <c r="AF38" s="208" t="s">
        <v>769</v>
      </c>
      <c r="AG38" s="208">
        <v>63.885605468750001</v>
      </c>
      <c r="AH38" s="208" t="s">
        <v>769</v>
      </c>
      <c r="AI38" s="208" t="s">
        <v>769</v>
      </c>
      <c r="AJ38" s="208">
        <v>4067.1905644495337</v>
      </c>
      <c r="AK38" s="208">
        <v>13584.062286430024</v>
      </c>
      <c r="AL38" s="208">
        <v>35631.500263215552</v>
      </c>
      <c r="AM38" s="208">
        <v>248.51625133401117</v>
      </c>
    </row>
    <row r="39" spans="3:39" x14ac:dyDescent="0.2">
      <c r="C39" s="13" t="s">
        <v>53</v>
      </c>
      <c r="D39" s="22" t="s">
        <v>31</v>
      </c>
      <c r="E39" s="208" t="s">
        <v>769</v>
      </c>
      <c r="F39" s="208">
        <v>2.8949201520912549E-6</v>
      </c>
      <c r="G39" s="208">
        <v>1.2712243346007604E-6</v>
      </c>
      <c r="H39" s="208">
        <v>3.2824334600760458E-8</v>
      </c>
      <c r="I39" s="208">
        <v>7.1452471482889736E-8</v>
      </c>
      <c r="J39" s="208">
        <v>8.479087E-4</v>
      </c>
      <c r="K39" s="208"/>
      <c r="L39" s="208">
        <v>210854.44260000001</v>
      </c>
      <c r="M39" s="208" t="s">
        <v>769</v>
      </c>
      <c r="N39" s="208" t="s">
        <v>769</v>
      </c>
      <c r="O39" s="208" t="s">
        <v>769</v>
      </c>
      <c r="P39" s="208" t="s">
        <v>769</v>
      </c>
      <c r="Q39" s="208" t="s">
        <v>769</v>
      </c>
      <c r="R39" s="208" t="s">
        <v>769</v>
      </c>
      <c r="S39" s="208" t="s">
        <v>769</v>
      </c>
      <c r="T39" s="208" t="s">
        <v>769</v>
      </c>
      <c r="U39" s="208" t="s">
        <v>769</v>
      </c>
      <c r="V39" s="208" t="s">
        <v>769</v>
      </c>
      <c r="W39" s="208" t="s">
        <v>357</v>
      </c>
      <c r="X39" s="208" t="s">
        <v>769</v>
      </c>
      <c r="Y39" s="208" t="s">
        <v>769</v>
      </c>
      <c r="Z39" s="208" t="s">
        <v>769</v>
      </c>
      <c r="AA39" s="208" t="s">
        <v>769</v>
      </c>
      <c r="AB39" s="208">
        <v>16500</v>
      </c>
      <c r="AC39" s="208">
        <v>1.0000000000000001E-5</v>
      </c>
      <c r="AD39" s="208">
        <v>1.3</v>
      </c>
      <c r="AE39" s="208">
        <v>5.6000000000000001E-2</v>
      </c>
      <c r="AF39" s="208" t="s">
        <v>769</v>
      </c>
      <c r="AG39" s="208">
        <v>4.5672948317540998</v>
      </c>
      <c r="AH39" s="208" t="s">
        <v>769</v>
      </c>
      <c r="AI39" s="208" t="s">
        <v>769</v>
      </c>
      <c r="AJ39" s="208">
        <v>1136.4179344164515</v>
      </c>
      <c r="AK39" s="208">
        <v>3432.6558484053226</v>
      </c>
      <c r="AL39" s="208">
        <v>9878.8589369026104</v>
      </c>
      <c r="AM39" s="208">
        <v>69.866606119430315</v>
      </c>
    </row>
    <row r="40" spans="3:39" x14ac:dyDescent="0.2">
      <c r="C40" s="13" t="s">
        <v>54</v>
      </c>
      <c r="D40" s="22" t="s">
        <v>33</v>
      </c>
      <c r="E40" s="208">
        <v>-7.6999999999999999E-2</v>
      </c>
      <c r="F40" s="208">
        <v>1.068793520090967E-7</v>
      </c>
      <c r="G40" s="208">
        <v>1.247927344684496E-7</v>
      </c>
      <c r="H40" s="208">
        <v>1.1103764785799728E-8</v>
      </c>
      <c r="I40" s="208">
        <v>1.3798621321086286E-8</v>
      </c>
      <c r="J40" s="208">
        <v>1.0551264000000001E-4</v>
      </c>
      <c r="K40" s="208">
        <v>3.31</v>
      </c>
      <c r="L40" s="208">
        <v>79069584</v>
      </c>
      <c r="M40" s="208">
        <v>0.29475210000000002</v>
      </c>
      <c r="N40" s="208">
        <v>23305925.930126403</v>
      </c>
      <c r="O40" s="208">
        <v>0.05</v>
      </c>
      <c r="P40" s="208">
        <v>3953479.2</v>
      </c>
      <c r="Q40" s="208">
        <v>817</v>
      </c>
      <c r="R40" s="208">
        <v>26</v>
      </c>
      <c r="S40" s="208">
        <v>7.9045867296149375E-2</v>
      </c>
      <c r="T40" s="208" t="s">
        <v>769</v>
      </c>
      <c r="U40" s="208">
        <v>0.91300000000000003</v>
      </c>
      <c r="V40" s="208">
        <v>81000</v>
      </c>
      <c r="W40" s="208" t="s">
        <v>357</v>
      </c>
      <c r="X40" s="208">
        <v>0.53305469999999999</v>
      </c>
      <c r="Y40" s="208">
        <v>0.53305469999999999</v>
      </c>
      <c r="Z40" s="208">
        <v>0.53305469999999999</v>
      </c>
      <c r="AA40" s="208">
        <v>0.53305469999999999</v>
      </c>
      <c r="AB40" s="208">
        <v>17120</v>
      </c>
      <c r="AC40" s="208">
        <v>1.0000000000000001E-5</v>
      </c>
      <c r="AD40" s="208">
        <v>1.3</v>
      </c>
      <c r="AE40" s="208">
        <v>5.6000000000000001E-2</v>
      </c>
      <c r="AF40" s="208" t="s">
        <v>258</v>
      </c>
      <c r="AG40" s="208">
        <v>25.642813233566301</v>
      </c>
      <c r="AH40" s="208" t="s">
        <v>769</v>
      </c>
      <c r="AI40" s="208" t="s">
        <v>769</v>
      </c>
      <c r="AJ40" s="208">
        <v>4825.8132727833499</v>
      </c>
      <c r="AK40" s="208">
        <v>16509.398887146959</v>
      </c>
      <c r="AL40" s="208">
        <v>48096.523543867341</v>
      </c>
      <c r="AM40" s="208">
        <v>304.30401323153467</v>
      </c>
    </row>
    <row r="41" spans="3:39" x14ac:dyDescent="0.2">
      <c r="C41" s="13" t="s">
        <v>55</v>
      </c>
      <c r="D41" s="22" t="s">
        <v>33</v>
      </c>
      <c r="E41" s="208" t="s">
        <v>769</v>
      </c>
      <c r="F41" s="208">
        <v>1.7460000000000001E-6</v>
      </c>
      <c r="G41" s="208">
        <v>7.7400000000000002E-7</v>
      </c>
      <c r="H41" s="208">
        <v>4.6800000000000002E-8</v>
      </c>
      <c r="I41" s="208">
        <v>6.4799999999999998E-8</v>
      </c>
      <c r="J41" s="208">
        <v>6.470588E-4</v>
      </c>
      <c r="K41" s="208" t="s">
        <v>769</v>
      </c>
      <c r="L41" s="208">
        <v>21099.19</v>
      </c>
      <c r="M41" s="208" t="s">
        <v>769</v>
      </c>
      <c r="N41" s="208" t="s">
        <v>769</v>
      </c>
      <c r="O41" s="208" t="s">
        <v>769</v>
      </c>
      <c r="P41" s="208" t="s">
        <v>769</v>
      </c>
      <c r="Q41" s="208" t="s">
        <v>769</v>
      </c>
      <c r="R41" s="208" t="s">
        <v>769</v>
      </c>
      <c r="S41" s="208" t="s">
        <v>769</v>
      </c>
      <c r="T41" s="208" t="s">
        <v>769</v>
      </c>
      <c r="U41" s="208">
        <v>0.97199999999999998</v>
      </c>
      <c r="V41" s="208" t="s">
        <v>769</v>
      </c>
      <c r="W41" s="208" t="s">
        <v>358</v>
      </c>
      <c r="X41" s="208" t="s">
        <v>769</v>
      </c>
      <c r="Y41" s="208" t="s">
        <v>769</v>
      </c>
      <c r="Z41" s="208" t="s">
        <v>769</v>
      </c>
      <c r="AA41" s="208" t="s">
        <v>769</v>
      </c>
      <c r="AB41" s="208" t="s">
        <v>676</v>
      </c>
      <c r="AC41" s="208">
        <v>1.0000000000000001E-5</v>
      </c>
      <c r="AD41" s="208">
        <v>1.3</v>
      </c>
      <c r="AE41" s="208">
        <v>5.6000000000000001E-2</v>
      </c>
      <c r="AF41" s="208" t="s">
        <v>769</v>
      </c>
      <c r="AG41" s="208">
        <v>207.48</v>
      </c>
      <c r="AH41" s="208" t="s">
        <v>769</v>
      </c>
      <c r="AI41" s="208" t="s">
        <v>769</v>
      </c>
      <c r="AJ41" s="208">
        <v>1003.0763462518296</v>
      </c>
      <c r="AK41" s="208">
        <v>2632.6210325103871</v>
      </c>
      <c r="AL41" s="208">
        <v>7570.6782633813918</v>
      </c>
      <c r="AM41" s="208">
        <v>63.121001964819897</v>
      </c>
    </row>
    <row r="42" spans="3:39" x14ac:dyDescent="0.2">
      <c r="C42" s="13" t="s">
        <v>56</v>
      </c>
      <c r="D42" s="22" t="s">
        <v>28</v>
      </c>
      <c r="E42" s="208" t="s">
        <v>769</v>
      </c>
      <c r="F42" s="208" t="s">
        <v>769</v>
      </c>
      <c r="G42" s="208" t="s">
        <v>769</v>
      </c>
      <c r="H42" s="208" t="s">
        <v>769</v>
      </c>
      <c r="I42" s="208" t="s">
        <v>769</v>
      </c>
      <c r="J42" s="208" t="s">
        <v>769</v>
      </c>
      <c r="K42" s="208"/>
      <c r="L42" s="208">
        <v>216253.15599999999</v>
      </c>
      <c r="M42" s="208" t="s">
        <v>769</v>
      </c>
      <c r="N42" s="208" t="s">
        <v>769</v>
      </c>
      <c r="O42" s="208" t="s">
        <v>769</v>
      </c>
      <c r="P42" s="208" t="s">
        <v>769</v>
      </c>
      <c r="Q42" s="208" t="s">
        <v>769</v>
      </c>
      <c r="R42" s="208" t="s">
        <v>769</v>
      </c>
      <c r="S42" s="208" t="s">
        <v>769</v>
      </c>
      <c r="T42" s="208" t="s">
        <v>769</v>
      </c>
      <c r="U42" s="208" t="s">
        <v>769</v>
      </c>
      <c r="V42" s="208" t="s">
        <v>769</v>
      </c>
      <c r="W42" s="208" t="s">
        <v>358</v>
      </c>
      <c r="X42" s="208">
        <v>0.7</v>
      </c>
      <c r="Y42" s="208">
        <v>0.7</v>
      </c>
      <c r="Z42" s="208">
        <v>0.7</v>
      </c>
      <c r="AA42" s="208">
        <v>0.7</v>
      </c>
      <c r="AB42" s="208">
        <v>79870</v>
      </c>
      <c r="AC42" s="208">
        <v>1.0000000000000001E-5</v>
      </c>
      <c r="AD42" s="208">
        <v>1.3</v>
      </c>
      <c r="AE42" s="208">
        <v>5.6000000000000001E-2</v>
      </c>
      <c r="AF42" s="208" t="s">
        <v>769</v>
      </c>
      <c r="AG42" s="208">
        <v>84.511005692599596</v>
      </c>
      <c r="AH42" s="208" t="s">
        <v>769</v>
      </c>
      <c r="AI42" s="208" t="s">
        <v>769</v>
      </c>
      <c r="AJ42" s="208">
        <v>1629.2514687501105</v>
      </c>
      <c r="AK42" s="208">
        <v>5148.6829450764571</v>
      </c>
      <c r="AL42" s="208">
        <v>13105.606166814719</v>
      </c>
      <c r="AM42" s="208">
        <v>122.69953781864425</v>
      </c>
    </row>
    <row r="43" spans="3:39" x14ac:dyDescent="0.2">
      <c r="C43" s="13" t="s">
        <v>57</v>
      </c>
      <c r="D43" s="22" t="s">
        <v>24</v>
      </c>
      <c r="E43" s="208">
        <v>-0.58399999999999996</v>
      </c>
      <c r="F43" s="208">
        <v>1.2948247311827955E-6</v>
      </c>
      <c r="G43" s="208">
        <v>6.146767025089605E-7</v>
      </c>
      <c r="H43" s="208">
        <v>1.9815412186379927E-8</v>
      </c>
      <c r="I43" s="208">
        <v>3.7925806451612903E-8</v>
      </c>
      <c r="J43" s="208">
        <v>4.7690164E-4</v>
      </c>
      <c r="K43" s="208">
        <v>2.34</v>
      </c>
      <c r="L43" s="208">
        <v>2859190</v>
      </c>
      <c r="M43" s="208">
        <v>0.67900000000000005</v>
      </c>
      <c r="N43" s="208">
        <v>1941390.01</v>
      </c>
      <c r="O43" s="208">
        <v>2.75E-2</v>
      </c>
      <c r="P43" s="208">
        <v>78627.725000000006</v>
      </c>
      <c r="Q43" s="208">
        <v>18</v>
      </c>
      <c r="R43" s="208">
        <v>1</v>
      </c>
      <c r="S43" s="208">
        <v>5.5903621521275385E-2</v>
      </c>
      <c r="T43" s="208" t="s">
        <v>769</v>
      </c>
      <c r="U43" s="208" t="s">
        <v>769</v>
      </c>
      <c r="V43" s="208">
        <v>81000</v>
      </c>
      <c r="W43" s="208" t="s">
        <v>356</v>
      </c>
      <c r="X43" s="208" t="s">
        <v>769</v>
      </c>
      <c r="Y43" s="208" t="s">
        <v>769</v>
      </c>
      <c r="Z43" s="208" t="s">
        <v>769</v>
      </c>
      <c r="AA43" s="208" t="s">
        <v>769</v>
      </c>
      <c r="AB43" s="208">
        <v>28240</v>
      </c>
      <c r="AC43" s="208">
        <v>1.0000000000000001E-5</v>
      </c>
      <c r="AD43" s="208">
        <v>1.3</v>
      </c>
      <c r="AE43" s="208">
        <v>5.6000000000000001E-2</v>
      </c>
      <c r="AF43" s="208" t="s">
        <v>255</v>
      </c>
      <c r="AG43" s="208">
        <v>63.354301768607201</v>
      </c>
      <c r="AH43" s="208">
        <v>5259</v>
      </c>
      <c r="AI43" s="208">
        <v>73368.725000000006</v>
      </c>
      <c r="AJ43" s="208">
        <v>4157.2256267350822</v>
      </c>
      <c r="AK43" s="208">
        <v>13815.083323045168</v>
      </c>
      <c r="AL43" s="208">
        <v>36640.544793040317</v>
      </c>
      <c r="AM43" s="208">
        <v>258.18384437111723</v>
      </c>
    </row>
    <row r="44" spans="3:39" x14ac:dyDescent="0.2">
      <c r="C44" s="13" t="s">
        <v>58</v>
      </c>
      <c r="D44" s="22" t="s">
        <v>31</v>
      </c>
      <c r="E44" s="208" t="s">
        <v>769</v>
      </c>
      <c r="F44" s="208">
        <v>1.201792207792208E-6</v>
      </c>
      <c r="G44" s="208">
        <v>5.3275324675324673E-7</v>
      </c>
      <c r="H44" s="208">
        <v>3.2212987012987018E-8</v>
      </c>
      <c r="I44" s="208">
        <v>4.46025974025974E-8</v>
      </c>
      <c r="J44" s="208">
        <v>4.675325E-4</v>
      </c>
      <c r="K44" s="208">
        <v>5.92</v>
      </c>
      <c r="L44" s="208">
        <v>2575251.11</v>
      </c>
      <c r="M44" s="208" t="s">
        <v>769</v>
      </c>
      <c r="N44" s="208" t="s">
        <v>769</v>
      </c>
      <c r="O44" s="208" t="s">
        <v>769</v>
      </c>
      <c r="P44" s="208" t="s">
        <v>769</v>
      </c>
      <c r="Q44" s="208" t="s">
        <v>769</v>
      </c>
      <c r="R44" s="208" t="s">
        <v>769</v>
      </c>
      <c r="S44" s="208" t="s">
        <v>769</v>
      </c>
      <c r="T44" s="208" t="s">
        <v>769</v>
      </c>
      <c r="U44" s="208">
        <v>9.6000000000000002E-2</v>
      </c>
      <c r="V44" s="208" t="s">
        <v>769</v>
      </c>
      <c r="W44" s="208" t="s">
        <v>357</v>
      </c>
      <c r="X44" s="208" t="s">
        <v>769</v>
      </c>
      <c r="Y44" s="208" t="s">
        <v>769</v>
      </c>
      <c r="Z44" s="208" t="s">
        <v>769</v>
      </c>
      <c r="AA44" s="208" t="s">
        <v>769</v>
      </c>
      <c r="AB44" s="208">
        <v>2350</v>
      </c>
      <c r="AC44" s="208">
        <v>1.0000000000000001E-5</v>
      </c>
      <c r="AD44" s="208">
        <v>1.3</v>
      </c>
      <c r="AE44" s="208">
        <v>5.6000000000000001E-2</v>
      </c>
      <c r="AF44" s="208" t="s">
        <v>769</v>
      </c>
      <c r="AG44" s="208">
        <v>80.777350146198799</v>
      </c>
      <c r="AH44" s="208" t="s">
        <v>769</v>
      </c>
      <c r="AI44" s="208" t="s">
        <v>769</v>
      </c>
      <c r="AJ44" s="208">
        <v>3905.4587041313703</v>
      </c>
      <c r="AK44" s="208">
        <v>13141.771991884416</v>
      </c>
      <c r="AL44" s="208">
        <v>33803.538883775327</v>
      </c>
      <c r="AM44" s="208">
        <v>238.49429194245107</v>
      </c>
    </row>
    <row r="45" spans="3:39" x14ac:dyDescent="0.2">
      <c r="C45" s="13" t="s">
        <v>59</v>
      </c>
      <c r="D45" s="22" t="s">
        <v>31</v>
      </c>
      <c r="E45" s="208" t="s">
        <v>769</v>
      </c>
      <c r="F45" s="208">
        <v>5.8310000000000008E-7</v>
      </c>
      <c r="G45" s="208">
        <v>2.791E-7</v>
      </c>
      <c r="H45" s="208">
        <v>1.89E-8</v>
      </c>
      <c r="I45" s="208">
        <v>2.5399999999999999E-8</v>
      </c>
      <c r="J45" s="208">
        <v>2.5000001999999998E-4</v>
      </c>
      <c r="K45" s="208">
        <v>4.83</v>
      </c>
      <c r="L45" s="208">
        <v>1872016</v>
      </c>
      <c r="M45" s="208" t="s">
        <v>769</v>
      </c>
      <c r="N45" s="208" t="s">
        <v>769</v>
      </c>
      <c r="O45" s="208" t="s">
        <v>769</v>
      </c>
      <c r="P45" s="208" t="s">
        <v>769</v>
      </c>
      <c r="Q45" s="208" t="s">
        <v>769</v>
      </c>
      <c r="R45" s="208" t="s">
        <v>769</v>
      </c>
      <c r="S45" s="208" t="s">
        <v>769</v>
      </c>
      <c r="T45" s="208" t="s">
        <v>769</v>
      </c>
      <c r="U45" s="208" t="s">
        <v>769</v>
      </c>
      <c r="V45" s="208" t="s">
        <v>769</v>
      </c>
      <c r="W45" s="208" t="s">
        <v>357</v>
      </c>
      <c r="X45" s="208" t="s">
        <v>769</v>
      </c>
      <c r="Y45" s="208" t="s">
        <v>769</v>
      </c>
      <c r="Z45" s="208" t="s">
        <v>769</v>
      </c>
      <c r="AA45" s="208" t="s">
        <v>769</v>
      </c>
      <c r="AB45" s="208">
        <v>870</v>
      </c>
      <c r="AC45" s="208">
        <v>1.0000000000000001E-5</v>
      </c>
      <c r="AD45" s="208">
        <v>1.3</v>
      </c>
      <c r="AE45" s="208">
        <v>5.6000000000000001E-2</v>
      </c>
      <c r="AF45" s="208" t="s">
        <v>769</v>
      </c>
      <c r="AG45" s="208">
        <v>488.75440031152601</v>
      </c>
      <c r="AH45" s="208" t="s">
        <v>769</v>
      </c>
      <c r="AI45" s="208" t="s">
        <v>769</v>
      </c>
      <c r="AJ45" s="208">
        <v>2949.247145971096</v>
      </c>
      <c r="AK45" s="208">
        <v>8523.4008402798172</v>
      </c>
      <c r="AL45" s="208">
        <v>24345.133731601694</v>
      </c>
      <c r="AM45" s="208">
        <v>174.45741943119381</v>
      </c>
    </row>
    <row r="46" spans="3:39" x14ac:dyDescent="0.2">
      <c r="C46" s="13" t="s">
        <v>60</v>
      </c>
      <c r="D46" s="22" t="s">
        <v>31</v>
      </c>
      <c r="E46" s="208" t="s">
        <v>769</v>
      </c>
      <c r="F46" s="208" t="s">
        <v>769</v>
      </c>
      <c r="G46" s="208" t="s">
        <v>769</v>
      </c>
      <c r="H46" s="208" t="s">
        <v>769</v>
      </c>
      <c r="I46" s="208" t="s">
        <v>769</v>
      </c>
      <c r="J46" s="208" t="s">
        <v>769</v>
      </c>
      <c r="K46" s="208" t="s">
        <v>769</v>
      </c>
      <c r="L46" s="208">
        <v>132555</v>
      </c>
      <c r="M46" s="208" t="s">
        <v>769</v>
      </c>
      <c r="N46" s="208" t="s">
        <v>769</v>
      </c>
      <c r="O46" s="208" t="s">
        <v>769</v>
      </c>
      <c r="P46" s="208" t="s">
        <v>769</v>
      </c>
      <c r="Q46" s="208" t="s">
        <v>769</v>
      </c>
      <c r="R46" s="208" t="s">
        <v>769</v>
      </c>
      <c r="S46" s="208" t="s">
        <v>769</v>
      </c>
      <c r="T46" s="208" t="s">
        <v>769</v>
      </c>
      <c r="U46" s="208">
        <v>0.70599999999999996</v>
      </c>
      <c r="V46" s="208" t="s">
        <v>769</v>
      </c>
      <c r="W46" s="208" t="s">
        <v>357</v>
      </c>
      <c r="X46" s="208" t="s">
        <v>769</v>
      </c>
      <c r="Y46" s="208" t="s">
        <v>769</v>
      </c>
      <c r="Z46" s="208" t="s">
        <v>769</v>
      </c>
      <c r="AA46" s="208" t="s">
        <v>769</v>
      </c>
      <c r="AB46" s="208">
        <v>6660</v>
      </c>
      <c r="AC46" s="208">
        <v>1.0000000000000001E-5</v>
      </c>
      <c r="AD46" s="208">
        <v>1.3</v>
      </c>
      <c r="AE46" s="208">
        <v>5.6000000000000001E-2</v>
      </c>
      <c r="AF46" s="208" t="s">
        <v>769</v>
      </c>
      <c r="AG46" s="208">
        <v>145.88709677419399</v>
      </c>
      <c r="AH46" s="208" t="s">
        <v>769</v>
      </c>
      <c r="AI46" s="208" t="s">
        <v>769</v>
      </c>
      <c r="AJ46" s="208">
        <v>1984.0450050134241</v>
      </c>
      <c r="AK46" s="208">
        <v>5850.4307444237302</v>
      </c>
      <c r="AL46" s="208">
        <v>16138.32521424812</v>
      </c>
      <c r="AM46" s="208">
        <v>151.45153744299574</v>
      </c>
    </row>
    <row r="47" spans="3:39" x14ac:dyDescent="0.2">
      <c r="C47" s="13" t="s">
        <v>61</v>
      </c>
      <c r="D47" s="22" t="s">
        <v>28</v>
      </c>
      <c r="E47" s="208" t="s">
        <v>769</v>
      </c>
      <c r="F47" s="208">
        <v>1.3861348467650397E-6</v>
      </c>
      <c r="G47" s="208">
        <v>6.1571032917139624E-7</v>
      </c>
      <c r="H47" s="208">
        <v>1.7856980703745743E-8</v>
      </c>
      <c r="I47" s="208">
        <v>3.6302383654937577E-8</v>
      </c>
      <c r="J47" s="208">
        <v>4.1770712000000003E-4</v>
      </c>
      <c r="K47" s="208">
        <v>4.6100000000000003</v>
      </c>
      <c r="L47" s="208">
        <v>1089000</v>
      </c>
      <c r="M47" s="208" t="s">
        <v>769</v>
      </c>
      <c r="N47" s="208" t="s">
        <v>769</v>
      </c>
      <c r="O47" s="208" t="s">
        <v>769</v>
      </c>
      <c r="P47" s="208" t="s">
        <v>769</v>
      </c>
      <c r="Q47" s="208">
        <v>164</v>
      </c>
      <c r="R47" s="208" t="s">
        <v>769</v>
      </c>
      <c r="S47" s="208" t="s">
        <v>769</v>
      </c>
      <c r="T47" s="208" t="s">
        <v>769</v>
      </c>
      <c r="U47" s="208" t="s">
        <v>769</v>
      </c>
      <c r="V47" s="208" t="s">
        <v>769</v>
      </c>
      <c r="W47" s="208" t="s">
        <v>357</v>
      </c>
      <c r="X47" s="208" t="s">
        <v>769</v>
      </c>
      <c r="Y47" s="208" t="s">
        <v>769</v>
      </c>
      <c r="Z47" s="208" t="s">
        <v>769</v>
      </c>
      <c r="AA47" s="208" t="s">
        <v>769</v>
      </c>
      <c r="AB47" s="208">
        <v>4430</v>
      </c>
      <c r="AC47" s="208">
        <v>1.0000000000000001E-5</v>
      </c>
      <c r="AD47" s="208">
        <v>1.3</v>
      </c>
      <c r="AE47" s="208">
        <v>5.6000000000000001E-2</v>
      </c>
      <c r="AF47" s="208" t="s">
        <v>769</v>
      </c>
      <c r="AG47" s="208">
        <v>93.978149784726895</v>
      </c>
      <c r="AH47" s="208" t="s">
        <v>769</v>
      </c>
      <c r="AI47" s="208" t="s">
        <v>769</v>
      </c>
      <c r="AJ47" s="208">
        <v>4545.6555219685051</v>
      </c>
      <c r="AK47" s="208">
        <v>15551.177618552454</v>
      </c>
      <c r="AL47" s="208">
        <v>41756.086227482345</v>
      </c>
      <c r="AM47" s="208">
        <v>300.50330678895216</v>
      </c>
    </row>
    <row r="48" spans="3:39" x14ac:dyDescent="0.2">
      <c r="C48" s="13" t="s">
        <v>62</v>
      </c>
      <c r="D48" s="22" t="s">
        <v>31</v>
      </c>
      <c r="E48" s="208" t="s">
        <v>769</v>
      </c>
      <c r="F48" s="208">
        <v>1.4672837438423648E-7</v>
      </c>
      <c r="G48" s="208">
        <v>1.6246995073891629E-7</v>
      </c>
      <c r="H48" s="208">
        <v>5.4540886699507391E-9</v>
      </c>
      <c r="I48" s="208">
        <v>7.0501477832512315E-9</v>
      </c>
      <c r="J48" s="208">
        <v>3.0541869999999998E-4</v>
      </c>
      <c r="K48" s="208">
        <v>4.99</v>
      </c>
      <c r="L48" s="208">
        <v>3270616.59</v>
      </c>
      <c r="M48" s="208" t="s">
        <v>769</v>
      </c>
      <c r="N48" s="208" t="s">
        <v>769</v>
      </c>
      <c r="O48" s="208" t="s">
        <v>769</v>
      </c>
      <c r="P48" s="208" t="s">
        <v>769</v>
      </c>
      <c r="Q48" s="208" t="s">
        <v>769</v>
      </c>
      <c r="R48" s="208" t="s">
        <v>769</v>
      </c>
      <c r="S48" s="208" t="s">
        <v>769</v>
      </c>
      <c r="T48" s="208" t="s">
        <v>769</v>
      </c>
      <c r="U48" s="208">
        <v>0.61599999999999999</v>
      </c>
      <c r="V48" s="208" t="s">
        <v>769</v>
      </c>
      <c r="W48" s="208" t="s">
        <v>357</v>
      </c>
      <c r="X48" s="208">
        <v>0.193</v>
      </c>
      <c r="Y48" s="208">
        <v>0.193</v>
      </c>
      <c r="Z48" s="208">
        <v>0.193</v>
      </c>
      <c r="AA48" s="208">
        <v>0.193</v>
      </c>
      <c r="AB48" s="208">
        <v>4660</v>
      </c>
      <c r="AC48" s="208">
        <v>1.0000000000000001E-5</v>
      </c>
      <c r="AD48" s="208">
        <v>1.3</v>
      </c>
      <c r="AE48" s="208">
        <v>5.6000000000000001E-2</v>
      </c>
      <c r="AF48" s="208" t="s">
        <v>769</v>
      </c>
      <c r="AG48" s="208">
        <v>57.5376615684035</v>
      </c>
      <c r="AH48" s="208" t="s">
        <v>769</v>
      </c>
      <c r="AI48" s="208" t="s">
        <v>769</v>
      </c>
      <c r="AJ48" s="208">
        <v>5479.8952054133433</v>
      </c>
      <c r="AK48" s="208">
        <v>18318.533406299153</v>
      </c>
      <c r="AL48" s="208">
        <v>56803.559361742686</v>
      </c>
      <c r="AM48" s="208">
        <v>324.77524504163421</v>
      </c>
    </row>
    <row r="49" spans="3:39" x14ac:dyDescent="0.2">
      <c r="C49" s="13" t="s">
        <v>63</v>
      </c>
      <c r="D49" s="22" t="s">
        <v>49</v>
      </c>
      <c r="E49" s="208">
        <v>1.2969999999999999</v>
      </c>
      <c r="F49" s="208">
        <v>1.668289717274312E-7</v>
      </c>
      <c r="G49" s="208">
        <v>1.2371567952702194E-7</v>
      </c>
      <c r="H49" s="208">
        <v>3.888567573713333E-9</v>
      </c>
      <c r="I49" s="208">
        <v>6.3274427347835981E-9</v>
      </c>
      <c r="J49" s="208">
        <v>1.6143407999999999E-4</v>
      </c>
      <c r="K49" s="208">
        <v>2.4500000000000002</v>
      </c>
      <c r="L49" s="208">
        <v>25103034</v>
      </c>
      <c r="M49" s="208">
        <v>0.72330000000000005</v>
      </c>
      <c r="N49" s="208">
        <v>18157024.492199998</v>
      </c>
      <c r="O49" s="208">
        <v>0.03</v>
      </c>
      <c r="P49" s="208">
        <v>753091.02</v>
      </c>
      <c r="Q49" s="208">
        <v>3000</v>
      </c>
      <c r="R49" s="208">
        <v>5</v>
      </c>
      <c r="S49" s="208">
        <v>5.8474982162928055E-2</v>
      </c>
      <c r="T49" s="208" t="s">
        <v>769</v>
      </c>
      <c r="U49" s="208">
        <v>0.99</v>
      </c>
      <c r="V49" s="208">
        <v>326000</v>
      </c>
      <c r="W49" s="208" t="s">
        <v>356</v>
      </c>
      <c r="X49" s="208" t="s">
        <v>769</v>
      </c>
      <c r="Y49" s="208" t="s">
        <v>769</v>
      </c>
      <c r="Z49" s="208" t="s">
        <v>769</v>
      </c>
      <c r="AA49" s="208" t="s">
        <v>769</v>
      </c>
      <c r="AB49" s="208">
        <v>55300</v>
      </c>
      <c r="AC49" s="208">
        <v>1.0000000000000001E-5</v>
      </c>
      <c r="AD49" s="208">
        <v>1.3</v>
      </c>
      <c r="AE49" s="208">
        <v>5.6000000000000001E-2</v>
      </c>
      <c r="AF49" s="208" t="s">
        <v>255</v>
      </c>
      <c r="AG49" s="208">
        <v>4.3510262041030003</v>
      </c>
      <c r="AH49" s="208" t="s">
        <v>769</v>
      </c>
      <c r="AI49" s="208" t="s">
        <v>769</v>
      </c>
      <c r="AJ49" s="208">
        <v>7723.777948892005</v>
      </c>
      <c r="AK49" s="208">
        <v>28115.05928480846</v>
      </c>
      <c r="AL49" s="208">
        <v>81252.804278954281</v>
      </c>
      <c r="AM49" s="208">
        <v>422.59642280960594</v>
      </c>
    </row>
    <row r="50" spans="3:39" x14ac:dyDescent="0.2">
      <c r="C50" s="13" t="s">
        <v>64</v>
      </c>
      <c r="D50" s="22" t="s">
        <v>33</v>
      </c>
      <c r="E50" s="208" t="s">
        <v>769</v>
      </c>
      <c r="F50" s="208">
        <v>1.6961142857142855E-6</v>
      </c>
      <c r="G50" s="208">
        <v>7.5188571428571428E-7</v>
      </c>
      <c r="H50" s="208">
        <v>4.5462857142857148E-8</v>
      </c>
      <c r="I50" s="208">
        <v>6.294857142857143E-8</v>
      </c>
      <c r="J50" s="208">
        <v>6.4285709999999997E-4</v>
      </c>
      <c r="K50" s="208"/>
      <c r="L50" s="208">
        <v>60000</v>
      </c>
      <c r="M50" s="208" t="s">
        <v>769</v>
      </c>
      <c r="N50" s="208" t="s">
        <v>769</v>
      </c>
      <c r="O50" s="208" t="s">
        <v>769</v>
      </c>
      <c r="P50" s="208" t="s">
        <v>769</v>
      </c>
      <c r="Q50" s="208" t="s">
        <v>769</v>
      </c>
      <c r="R50" s="208" t="s">
        <v>769</v>
      </c>
      <c r="S50" s="208" t="s">
        <v>769</v>
      </c>
      <c r="T50" s="208" t="s">
        <v>769</v>
      </c>
      <c r="U50" s="208" t="s">
        <v>769</v>
      </c>
      <c r="V50" s="208" t="s">
        <v>769</v>
      </c>
      <c r="W50" s="208" t="s">
        <v>357</v>
      </c>
      <c r="X50" s="208" t="s">
        <v>769</v>
      </c>
      <c r="Y50" s="208" t="s">
        <v>769</v>
      </c>
      <c r="Z50" s="208" t="s">
        <v>769</v>
      </c>
      <c r="AA50" s="208" t="s">
        <v>769</v>
      </c>
      <c r="AB50" s="208">
        <v>52920</v>
      </c>
      <c r="AC50" s="208">
        <v>1.0000000000000001E-5</v>
      </c>
      <c r="AD50" s="208">
        <v>1.3</v>
      </c>
      <c r="AE50" s="208">
        <v>5.6000000000000001E-2</v>
      </c>
      <c r="AF50" s="208" t="s">
        <v>769</v>
      </c>
      <c r="AG50" s="208">
        <v>283.89999999999998</v>
      </c>
      <c r="AH50" s="208" t="s">
        <v>769</v>
      </c>
      <c r="AI50" s="208" t="s">
        <v>769</v>
      </c>
      <c r="AJ50" s="208">
        <v>959.78764777283141</v>
      </c>
      <c r="AK50" s="208">
        <v>2399.8398320043375</v>
      </c>
      <c r="AL50" s="208">
        <v>6938.946875888807</v>
      </c>
      <c r="AM50" s="208">
        <v>59.164738755275465</v>
      </c>
    </row>
    <row r="51" spans="3:39" x14ac:dyDescent="0.2">
      <c r="C51" s="13" t="s">
        <v>65</v>
      </c>
      <c r="D51" s="22" t="s">
        <v>31</v>
      </c>
      <c r="E51" s="208" t="s">
        <v>769</v>
      </c>
      <c r="F51" s="208">
        <v>0</v>
      </c>
      <c r="G51" s="208">
        <v>0</v>
      </c>
      <c r="H51" s="208">
        <v>0</v>
      </c>
      <c r="I51" s="208">
        <v>0</v>
      </c>
      <c r="J51" s="208">
        <v>0</v>
      </c>
      <c r="K51" s="208">
        <v>5.59</v>
      </c>
      <c r="L51" s="208">
        <v>1105983</v>
      </c>
      <c r="M51" s="208" t="s">
        <v>769</v>
      </c>
      <c r="N51" s="208" t="s">
        <v>769</v>
      </c>
      <c r="O51" s="208" t="s">
        <v>769</v>
      </c>
      <c r="P51" s="208" t="s">
        <v>769</v>
      </c>
      <c r="Q51" s="208" t="s">
        <v>769</v>
      </c>
      <c r="R51" s="208" t="s">
        <v>769</v>
      </c>
      <c r="S51" s="208" t="s">
        <v>769</v>
      </c>
      <c r="T51" s="208" t="s">
        <v>769</v>
      </c>
      <c r="U51" s="208" t="s">
        <v>769</v>
      </c>
      <c r="V51" s="208" t="s">
        <v>769</v>
      </c>
      <c r="W51" s="208" t="s">
        <v>357</v>
      </c>
      <c r="X51" s="208" t="s">
        <v>769</v>
      </c>
      <c r="Y51" s="208" t="s">
        <v>769</v>
      </c>
      <c r="Z51" s="208" t="s">
        <v>769</v>
      </c>
      <c r="AA51" s="208" t="s">
        <v>769</v>
      </c>
      <c r="AB51" s="208">
        <v>1130</v>
      </c>
      <c r="AC51" s="208">
        <v>1.0000000000000001E-5</v>
      </c>
      <c r="AD51" s="208">
        <v>1.3</v>
      </c>
      <c r="AE51" s="208">
        <v>5.6000000000000001E-2</v>
      </c>
      <c r="AF51" s="208" t="s">
        <v>769</v>
      </c>
      <c r="AG51" s="208">
        <v>8.7597579376545003</v>
      </c>
      <c r="AH51" s="208" t="s">
        <v>769</v>
      </c>
      <c r="AI51" s="208" t="s">
        <v>769</v>
      </c>
      <c r="AJ51" s="208">
        <v>3995.6185113520319</v>
      </c>
      <c r="AK51" s="208">
        <v>13658.854842876592</v>
      </c>
      <c r="AL51" s="208">
        <v>36086.15908408205</v>
      </c>
      <c r="AM51" s="208">
        <v>240.68013086449929</v>
      </c>
    </row>
    <row r="52" spans="3:39" x14ac:dyDescent="0.2">
      <c r="C52" s="13" t="s">
        <v>66</v>
      </c>
      <c r="D52" s="22" t="s">
        <v>31</v>
      </c>
      <c r="E52" s="208" t="s">
        <v>769</v>
      </c>
      <c r="F52" s="208">
        <v>1.6473600000000001E-6</v>
      </c>
      <c r="G52" s="208">
        <v>7.5147428571428565E-7</v>
      </c>
      <c r="H52" s="208">
        <v>4.7520000000000011E-8</v>
      </c>
      <c r="I52" s="208">
        <v>6.5005714285714273E-8</v>
      </c>
      <c r="J52" s="208">
        <v>6.285714E-4</v>
      </c>
      <c r="K52" s="208">
        <v>5.97</v>
      </c>
      <c r="L52" s="208">
        <v>1358850.53</v>
      </c>
      <c r="M52" s="208" t="s">
        <v>769</v>
      </c>
      <c r="N52" s="208" t="s">
        <v>769</v>
      </c>
      <c r="O52" s="208" t="s">
        <v>769</v>
      </c>
      <c r="P52" s="208" t="s">
        <v>769</v>
      </c>
      <c r="Q52" s="208" t="s">
        <v>769</v>
      </c>
      <c r="R52" s="208" t="s">
        <v>769</v>
      </c>
      <c r="S52" s="208" t="s">
        <v>769</v>
      </c>
      <c r="T52" s="208" t="s">
        <v>769</v>
      </c>
      <c r="U52" s="208" t="s">
        <v>769</v>
      </c>
      <c r="V52" s="208" t="s">
        <v>769</v>
      </c>
      <c r="W52" s="208" t="s">
        <v>357</v>
      </c>
      <c r="X52" s="208" t="s">
        <v>769</v>
      </c>
      <c r="Y52" s="208" t="s">
        <v>769</v>
      </c>
      <c r="Z52" s="208" t="s">
        <v>769</v>
      </c>
      <c r="AA52" s="208" t="s">
        <v>769</v>
      </c>
      <c r="AB52" s="208">
        <v>1740</v>
      </c>
      <c r="AC52" s="208">
        <v>1.0000000000000001E-5</v>
      </c>
      <c r="AD52" s="208">
        <v>1.3</v>
      </c>
      <c r="AE52" s="208">
        <v>5.6000000000000001E-2</v>
      </c>
      <c r="AF52" s="208" t="s">
        <v>769</v>
      </c>
      <c r="AG52" s="208">
        <v>13.643376747141</v>
      </c>
      <c r="AH52" s="208" t="s">
        <v>769</v>
      </c>
      <c r="AI52" s="208" t="s">
        <v>769</v>
      </c>
      <c r="AJ52" s="208">
        <v>3767.4494158404218</v>
      </c>
      <c r="AK52" s="208">
        <v>12974.618385690055</v>
      </c>
      <c r="AL52" s="208">
        <v>33041.971518166356</v>
      </c>
      <c r="AM52" s="208">
        <v>238.21730985698471</v>
      </c>
    </row>
    <row r="53" spans="3:39" x14ac:dyDescent="0.2">
      <c r="C53" s="13" t="s">
        <v>67</v>
      </c>
      <c r="D53" s="22" t="s">
        <v>24</v>
      </c>
      <c r="E53" s="208" t="s">
        <v>769</v>
      </c>
      <c r="F53" s="208" t="s">
        <v>769</v>
      </c>
      <c r="G53" s="208" t="s">
        <v>769</v>
      </c>
      <c r="H53" s="208" t="s">
        <v>769</v>
      </c>
      <c r="I53" s="208" t="s">
        <v>769</v>
      </c>
      <c r="J53" s="208" t="s">
        <v>769</v>
      </c>
      <c r="K53" s="208"/>
      <c r="L53" s="208">
        <v>178933</v>
      </c>
      <c r="M53" s="208" t="s">
        <v>769</v>
      </c>
      <c r="N53" s="208" t="s">
        <v>769</v>
      </c>
      <c r="O53" s="208" t="s">
        <v>769</v>
      </c>
      <c r="P53" s="208" t="s">
        <v>769</v>
      </c>
      <c r="Q53" s="208" t="s">
        <v>769</v>
      </c>
      <c r="R53" s="208" t="s">
        <v>769</v>
      </c>
      <c r="S53" s="208" t="s">
        <v>769</v>
      </c>
      <c r="T53" s="208" t="s">
        <v>769</v>
      </c>
      <c r="U53" s="208" t="s">
        <v>769</v>
      </c>
      <c r="V53" s="208" t="s">
        <v>769</v>
      </c>
      <c r="W53" s="208" t="s">
        <v>356</v>
      </c>
      <c r="X53" s="208" t="s">
        <v>769</v>
      </c>
      <c r="Y53" s="208" t="s">
        <v>769</v>
      </c>
      <c r="Z53" s="208" t="s">
        <v>769</v>
      </c>
      <c r="AA53" s="208" t="s">
        <v>769</v>
      </c>
      <c r="AB53" s="208" t="s">
        <v>676</v>
      </c>
      <c r="AC53" s="208">
        <v>1.0000000000000001E-5</v>
      </c>
      <c r="AD53" s="208">
        <v>1.3</v>
      </c>
      <c r="AE53" s="208">
        <v>5.6000000000000001E-2</v>
      </c>
      <c r="AF53" s="208" t="s">
        <v>769</v>
      </c>
      <c r="AG53" s="208">
        <v>872.13636363636397</v>
      </c>
      <c r="AH53" s="208" t="s">
        <v>769</v>
      </c>
      <c r="AI53" s="208" t="s">
        <v>769</v>
      </c>
      <c r="AJ53" s="208">
        <v>3387.0397404065125</v>
      </c>
      <c r="AK53" s="208">
        <v>11039.1827993264</v>
      </c>
      <c r="AL53" s="208">
        <v>30007.18383619994</v>
      </c>
      <c r="AM53" s="208">
        <v>232.93688179383324</v>
      </c>
    </row>
    <row r="54" spans="3:39" x14ac:dyDescent="0.2">
      <c r="C54" s="13" t="s">
        <v>68</v>
      </c>
      <c r="D54" s="22" t="s">
        <v>33</v>
      </c>
      <c r="E54" s="208">
        <v>0.17699999999999999</v>
      </c>
      <c r="F54" s="208">
        <v>7.6587456380677739E-7</v>
      </c>
      <c r="G54" s="208">
        <v>3.9769185291997122E-7</v>
      </c>
      <c r="H54" s="208">
        <v>1.038389329488104E-8</v>
      </c>
      <c r="I54" s="208">
        <v>2.0387930785868785E-8</v>
      </c>
      <c r="J54" s="208">
        <v>3.5352075E-4</v>
      </c>
      <c r="K54" s="208">
        <v>3.04</v>
      </c>
      <c r="L54" s="208">
        <v>6517000</v>
      </c>
      <c r="M54" s="208">
        <v>0.90620000000000001</v>
      </c>
      <c r="N54" s="208">
        <v>5905705.4000000004</v>
      </c>
      <c r="O54" s="208">
        <v>1.4000000000000002E-3</v>
      </c>
      <c r="P54" s="208">
        <v>9123.8000000000011</v>
      </c>
      <c r="Q54" s="208">
        <v>30</v>
      </c>
      <c r="R54" s="208">
        <v>0</v>
      </c>
      <c r="S54" s="208">
        <v>2.9058616422421572E-2</v>
      </c>
      <c r="T54" s="208">
        <v>0.7</v>
      </c>
      <c r="U54" s="208" t="s">
        <v>769</v>
      </c>
      <c r="V54" s="208">
        <v>103000</v>
      </c>
      <c r="W54" s="208" t="s">
        <v>355</v>
      </c>
      <c r="X54" s="208" t="s">
        <v>769</v>
      </c>
      <c r="Y54" s="208" t="s">
        <v>769</v>
      </c>
      <c r="Z54" s="208" t="s">
        <v>769</v>
      </c>
      <c r="AA54" s="208" t="s">
        <v>769</v>
      </c>
      <c r="AB54" s="208">
        <v>27410</v>
      </c>
      <c r="AC54" s="208">
        <v>1.0000000000000001E-5</v>
      </c>
      <c r="AD54" s="208">
        <v>1.3</v>
      </c>
      <c r="AE54" s="208">
        <v>5.6000000000000001E-2</v>
      </c>
      <c r="AF54" s="208" t="s">
        <v>258</v>
      </c>
      <c r="AG54" s="208">
        <v>26.217007472442301</v>
      </c>
      <c r="AH54" s="208" t="s">
        <v>769</v>
      </c>
      <c r="AI54" s="208" t="s">
        <v>769</v>
      </c>
      <c r="AJ54" s="208">
        <v>4826.3021432004352</v>
      </c>
      <c r="AK54" s="208">
        <v>16796.834854159144</v>
      </c>
      <c r="AL54" s="208">
        <v>46346.377633387259</v>
      </c>
      <c r="AM54" s="208">
        <v>310.44621690041168</v>
      </c>
    </row>
    <row r="55" spans="3:39" x14ac:dyDescent="0.2">
      <c r="C55" s="13" t="s">
        <v>69</v>
      </c>
      <c r="D55" s="22" t="s">
        <v>28</v>
      </c>
      <c r="E55" s="208">
        <v>-0.34799999999999998</v>
      </c>
      <c r="F55" s="208">
        <v>1.8158506355601317E-6</v>
      </c>
      <c r="G55" s="208">
        <v>8.2258506700961627E-7</v>
      </c>
      <c r="H55" s="208">
        <v>2.2624801434782169E-8</v>
      </c>
      <c r="I55" s="208">
        <v>4.7287649097667131E-8</v>
      </c>
      <c r="J55" s="208">
        <v>5.8582074E-4</v>
      </c>
      <c r="K55" s="208">
        <v>3.38</v>
      </c>
      <c r="L55" s="208">
        <v>395081376</v>
      </c>
      <c r="M55" s="208">
        <v>0.60159999999999991</v>
      </c>
      <c r="N55" s="208">
        <v>237680955.80160001</v>
      </c>
      <c r="O55" s="208">
        <v>0.2984</v>
      </c>
      <c r="P55" s="208">
        <v>117892282.5984</v>
      </c>
      <c r="Q55" s="208">
        <v>2258</v>
      </c>
      <c r="R55" s="208">
        <v>774</v>
      </c>
      <c r="S55" s="208">
        <v>0.33453626065075809</v>
      </c>
      <c r="T55" s="208" t="s">
        <v>769</v>
      </c>
      <c r="U55" s="208">
        <v>0.94</v>
      </c>
      <c r="V55" s="208">
        <v>390000</v>
      </c>
      <c r="W55" s="208" t="s">
        <v>355</v>
      </c>
      <c r="X55" s="208" t="s">
        <v>769</v>
      </c>
      <c r="Y55" s="208" t="s">
        <v>769</v>
      </c>
      <c r="Z55" s="208" t="s">
        <v>769</v>
      </c>
      <c r="AA55" s="208" t="s">
        <v>769</v>
      </c>
      <c r="AB55" s="208">
        <v>20260</v>
      </c>
      <c r="AC55" s="208">
        <v>1.0000000000000001E-5</v>
      </c>
      <c r="AD55" s="208">
        <v>1.3</v>
      </c>
      <c r="AE55" s="208">
        <v>5.6000000000000001E-2</v>
      </c>
      <c r="AF55" s="208" t="s">
        <v>258</v>
      </c>
      <c r="AG55" s="208">
        <v>150.43975369106599</v>
      </c>
      <c r="AH55" s="208" t="s">
        <v>769</v>
      </c>
      <c r="AI55" s="208" t="s">
        <v>769</v>
      </c>
      <c r="AJ55" s="208">
        <v>5880.096558174364</v>
      </c>
      <c r="AK55" s="208">
        <v>20078.344682125444</v>
      </c>
      <c r="AL55" s="208">
        <v>52793.924034524694</v>
      </c>
      <c r="AM55" s="208">
        <v>342.59655428318558</v>
      </c>
    </row>
    <row r="56" spans="3:39" x14ac:dyDescent="0.2">
      <c r="C56" s="13" t="s">
        <v>70</v>
      </c>
      <c r="D56" s="22" t="s">
        <v>33</v>
      </c>
      <c r="E56" s="208">
        <v>-0.41599999999999998</v>
      </c>
      <c r="F56" s="208">
        <v>2.1000737941556154E-7</v>
      </c>
      <c r="G56" s="208">
        <v>1.7435432460978761E-7</v>
      </c>
      <c r="H56" s="208">
        <v>6.860068067128271E-9</v>
      </c>
      <c r="I56" s="208">
        <v>9.9463255486445245E-9</v>
      </c>
      <c r="J56" s="208">
        <v>2.1488087E-4</v>
      </c>
      <c r="K56" s="208">
        <v>3.53</v>
      </c>
      <c r="L56" s="208">
        <v>12150120</v>
      </c>
      <c r="M56" s="208">
        <v>0.96</v>
      </c>
      <c r="N56" s="208">
        <v>11664115.199999999</v>
      </c>
      <c r="O56" s="208">
        <v>0.05</v>
      </c>
      <c r="P56" s="208">
        <v>607506</v>
      </c>
      <c r="Q56" s="208">
        <v>62</v>
      </c>
      <c r="R56" s="208">
        <v>4</v>
      </c>
      <c r="S56" s="208">
        <v>7.9045867296149375E-2</v>
      </c>
      <c r="T56" s="208" t="s">
        <v>769</v>
      </c>
      <c r="U56" s="208">
        <v>0.80600000000000005</v>
      </c>
      <c r="V56" s="208">
        <v>68000</v>
      </c>
      <c r="W56" s="208" t="s">
        <v>358</v>
      </c>
      <c r="X56" s="208">
        <v>0.89</v>
      </c>
      <c r="Y56" s="208">
        <v>0.89</v>
      </c>
      <c r="Z56" s="208">
        <v>0.89</v>
      </c>
      <c r="AA56" s="208">
        <v>0.89</v>
      </c>
      <c r="AB56" s="208">
        <v>17310</v>
      </c>
      <c r="AC56" s="208">
        <v>1.0000000000000001E-5</v>
      </c>
      <c r="AD56" s="208">
        <v>1.3</v>
      </c>
      <c r="AE56" s="208">
        <v>5.6000000000000001E-2</v>
      </c>
      <c r="AF56" s="208" t="s">
        <v>255</v>
      </c>
      <c r="AG56" s="208">
        <v>46.432232537178898</v>
      </c>
      <c r="AH56" s="208" t="s">
        <v>769</v>
      </c>
      <c r="AI56" s="208" t="s">
        <v>769</v>
      </c>
      <c r="AJ56" s="208">
        <v>6963.1317175290869</v>
      </c>
      <c r="AK56" s="208">
        <v>24615.054124576207</v>
      </c>
      <c r="AL56" s="208">
        <v>82803.90734603809</v>
      </c>
      <c r="AM56" s="208">
        <v>421.77358273936306</v>
      </c>
    </row>
    <row r="57" spans="3:39" x14ac:dyDescent="0.2">
      <c r="C57" s="13" t="s">
        <v>71</v>
      </c>
      <c r="D57" s="22" t="s">
        <v>31</v>
      </c>
      <c r="E57" s="208" t="s">
        <v>769</v>
      </c>
      <c r="F57" s="208">
        <v>1.7460000000000001E-6</v>
      </c>
      <c r="G57" s="208">
        <v>7.7400000000000002E-7</v>
      </c>
      <c r="H57" s="208">
        <v>4.6800000000000002E-8</v>
      </c>
      <c r="I57" s="208">
        <v>6.4799999999999998E-8</v>
      </c>
      <c r="J57" s="208">
        <v>6.428572E-4</v>
      </c>
      <c r="K57" s="208">
        <v>5.37</v>
      </c>
      <c r="L57" s="208">
        <v>91013</v>
      </c>
      <c r="M57" s="208" t="s">
        <v>769</v>
      </c>
      <c r="N57" s="208" t="s">
        <v>769</v>
      </c>
      <c r="O57" s="208" t="s">
        <v>769</v>
      </c>
      <c r="P57" s="208" t="s">
        <v>769</v>
      </c>
      <c r="Q57" s="208" t="s">
        <v>769</v>
      </c>
      <c r="R57" s="208" t="s">
        <v>769</v>
      </c>
      <c r="S57" s="208" t="s">
        <v>769</v>
      </c>
      <c r="T57" s="208" t="s">
        <v>769</v>
      </c>
      <c r="U57" s="208" t="s">
        <v>769</v>
      </c>
      <c r="V57" s="208" t="s">
        <v>769</v>
      </c>
      <c r="W57" s="208" t="s">
        <v>358</v>
      </c>
      <c r="X57" s="208" t="s">
        <v>769</v>
      </c>
      <c r="Y57" s="208" t="s">
        <v>769</v>
      </c>
      <c r="Z57" s="208" t="s">
        <v>769</v>
      </c>
      <c r="AA57" s="208" t="s">
        <v>769</v>
      </c>
      <c r="AB57" s="208">
        <v>3440</v>
      </c>
      <c r="AC57" s="208">
        <v>1.0000000000000001E-5</v>
      </c>
      <c r="AD57" s="208">
        <v>1.3</v>
      </c>
      <c r="AE57" s="208">
        <v>5.6000000000000001E-2</v>
      </c>
      <c r="AF57" s="208" t="s">
        <v>769</v>
      </c>
      <c r="AG57" s="208">
        <v>441.49650725416399</v>
      </c>
      <c r="AH57" s="208" t="s">
        <v>769</v>
      </c>
      <c r="AI57" s="208" t="s">
        <v>769</v>
      </c>
      <c r="AJ57" s="208">
        <v>1126.1905697336892</v>
      </c>
      <c r="AK57" s="208">
        <v>2656.9898794719634</v>
      </c>
      <c r="AL57" s="208">
        <v>7662.9913980536385</v>
      </c>
      <c r="AM57" s="208">
        <v>51.68583870845103</v>
      </c>
    </row>
    <row r="58" spans="3:39" x14ac:dyDescent="0.2">
      <c r="C58" s="13" t="s">
        <v>72</v>
      </c>
      <c r="D58" s="22" t="s">
        <v>31</v>
      </c>
      <c r="E58" s="208" t="s">
        <v>769</v>
      </c>
      <c r="F58" s="208" t="s">
        <v>769</v>
      </c>
      <c r="G58" s="208" t="s">
        <v>769</v>
      </c>
      <c r="H58" s="208" t="s">
        <v>769</v>
      </c>
      <c r="I58" s="208" t="s">
        <v>769</v>
      </c>
      <c r="J58" s="208" t="s">
        <v>769</v>
      </c>
      <c r="K58" s="208" t="s">
        <v>769</v>
      </c>
      <c r="L58" s="208">
        <v>14385226.02</v>
      </c>
      <c r="M58" s="208" t="s">
        <v>769</v>
      </c>
      <c r="N58" s="208" t="s">
        <v>769</v>
      </c>
      <c r="O58" s="208" t="s">
        <v>769</v>
      </c>
      <c r="P58" s="208" t="s">
        <v>769</v>
      </c>
      <c r="Q58" s="208" t="s">
        <v>769</v>
      </c>
      <c r="R58" s="208" t="s">
        <v>769</v>
      </c>
      <c r="S58" s="208" t="s">
        <v>769</v>
      </c>
      <c r="T58" s="208" t="s">
        <v>769</v>
      </c>
      <c r="U58" s="208" t="s">
        <v>769</v>
      </c>
      <c r="V58" s="208" t="s">
        <v>769</v>
      </c>
      <c r="W58" s="208" t="s">
        <v>357</v>
      </c>
      <c r="X58" s="208" t="s">
        <v>769</v>
      </c>
      <c r="Y58" s="208" t="s">
        <v>769</v>
      </c>
      <c r="Z58" s="208" t="s">
        <v>769</v>
      </c>
      <c r="AA58" s="208" t="s">
        <v>769</v>
      </c>
      <c r="AB58" s="208">
        <v>1310</v>
      </c>
      <c r="AC58" s="208">
        <v>1.0000000000000001E-5</v>
      </c>
      <c r="AD58" s="208">
        <v>1.3</v>
      </c>
      <c r="AE58" s="208">
        <v>5.6000000000000001E-2</v>
      </c>
      <c r="AF58" s="208" t="s">
        <v>769</v>
      </c>
      <c r="AG58" s="208">
        <v>42.299075009373389</v>
      </c>
      <c r="AH58" s="208" t="s">
        <v>769</v>
      </c>
      <c r="AI58" s="208" t="s">
        <v>769</v>
      </c>
      <c r="AJ58" s="208">
        <v>4148.1193095675653</v>
      </c>
      <c r="AK58" s="208">
        <v>13897.769160506319</v>
      </c>
      <c r="AL58" s="208">
        <v>37468.721389185506</v>
      </c>
      <c r="AM58" s="208">
        <v>248.58419992293801</v>
      </c>
    </row>
    <row r="59" spans="3:39" x14ac:dyDescent="0.2">
      <c r="C59" s="13" t="s">
        <v>73</v>
      </c>
      <c r="D59" s="22" t="s">
        <v>31</v>
      </c>
      <c r="E59" s="208" t="s">
        <v>769</v>
      </c>
      <c r="F59" s="208" t="s">
        <v>769</v>
      </c>
      <c r="G59" s="208" t="s">
        <v>769</v>
      </c>
      <c r="H59" s="208" t="s">
        <v>769</v>
      </c>
      <c r="I59" s="208" t="s">
        <v>769</v>
      </c>
      <c r="J59" s="208" t="s">
        <v>769</v>
      </c>
      <c r="K59" s="208" t="s">
        <v>769</v>
      </c>
      <c r="L59" s="208">
        <v>451200</v>
      </c>
      <c r="M59" s="208" t="s">
        <v>769</v>
      </c>
      <c r="N59" s="208" t="s">
        <v>769</v>
      </c>
      <c r="O59" s="208" t="s">
        <v>769</v>
      </c>
      <c r="P59" s="208" t="s">
        <v>769</v>
      </c>
      <c r="Q59" s="208" t="s">
        <v>769</v>
      </c>
      <c r="R59" s="208" t="s">
        <v>769</v>
      </c>
      <c r="S59" s="208" t="s">
        <v>769</v>
      </c>
      <c r="T59" s="208" t="s">
        <v>769</v>
      </c>
      <c r="U59" s="208" t="s">
        <v>769</v>
      </c>
      <c r="V59" s="208" t="s">
        <v>769</v>
      </c>
      <c r="W59" s="208" t="s">
        <v>357</v>
      </c>
      <c r="X59" s="208" t="s">
        <v>769</v>
      </c>
      <c r="Y59" s="208" t="s">
        <v>769</v>
      </c>
      <c r="Z59" s="208" t="s">
        <v>769</v>
      </c>
      <c r="AA59" s="208" t="s">
        <v>769</v>
      </c>
      <c r="AB59" s="208">
        <v>6070</v>
      </c>
      <c r="AC59" s="208">
        <v>1.0000000000000001E-5</v>
      </c>
      <c r="AD59" s="208">
        <v>1.3</v>
      </c>
      <c r="AE59" s="208">
        <v>5.6000000000000001E-2</v>
      </c>
      <c r="AF59" s="208" t="s">
        <v>769</v>
      </c>
      <c r="AG59" s="208">
        <v>17.0887437774524</v>
      </c>
      <c r="AH59" s="208" t="s">
        <v>769</v>
      </c>
      <c r="AI59" s="208" t="s">
        <v>769</v>
      </c>
      <c r="AJ59" s="208">
        <v>3784.6700207321728</v>
      </c>
      <c r="AK59" s="208">
        <v>12947.660154128816</v>
      </c>
      <c r="AL59" s="208">
        <v>32893.761881508828</v>
      </c>
      <c r="AM59" s="208">
        <v>239.15841129248835</v>
      </c>
    </row>
    <row r="60" spans="3:39" x14ac:dyDescent="0.2">
      <c r="C60" s="13" t="s">
        <v>74</v>
      </c>
      <c r="D60" s="22" t="s">
        <v>33</v>
      </c>
      <c r="E60" s="208">
        <v>-7.8E-2</v>
      </c>
      <c r="F60" s="208">
        <v>6.0336808340016032E-10</v>
      </c>
      <c r="G60" s="208">
        <v>1.1573696872493986E-8</v>
      </c>
      <c r="H60" s="208">
        <v>1.8101042502004814E-9</v>
      </c>
      <c r="I60" s="208">
        <v>2.0843624699278265E-9</v>
      </c>
      <c r="J60" s="208">
        <v>2.6463512000000001E-5</v>
      </c>
      <c r="K60" s="208">
        <v>3.21</v>
      </c>
      <c r="L60" s="208">
        <v>1460000</v>
      </c>
      <c r="M60" s="208">
        <v>0.23499999999999999</v>
      </c>
      <c r="N60" s="208">
        <v>343100</v>
      </c>
      <c r="O60" s="208">
        <v>0.05</v>
      </c>
      <c r="P60" s="208">
        <v>73000</v>
      </c>
      <c r="Q60" s="208">
        <v>3</v>
      </c>
      <c r="R60" s="208">
        <v>0</v>
      </c>
      <c r="S60" s="208">
        <v>1.4887600000000002E-4</v>
      </c>
      <c r="T60" s="208" t="s">
        <v>769</v>
      </c>
      <c r="U60" s="208">
        <v>0.90400000000000003</v>
      </c>
      <c r="V60" s="208">
        <v>93000</v>
      </c>
      <c r="W60" s="208" t="s">
        <v>358</v>
      </c>
      <c r="X60" s="208">
        <v>0.67500000000000004</v>
      </c>
      <c r="Y60" s="208">
        <v>0.67500000000000004</v>
      </c>
      <c r="Z60" s="208">
        <v>0.67500000000000004</v>
      </c>
      <c r="AA60" s="208">
        <v>0.67500000000000004</v>
      </c>
      <c r="AB60" s="208">
        <v>22150</v>
      </c>
      <c r="AC60" s="208">
        <v>1.0000000000000001E-5</v>
      </c>
      <c r="AD60" s="208">
        <v>1.3</v>
      </c>
      <c r="AE60" s="208">
        <v>5.6000000000000001E-2</v>
      </c>
      <c r="AF60" s="208" t="s">
        <v>255</v>
      </c>
      <c r="AG60" s="208">
        <v>100.939228358794</v>
      </c>
      <c r="AH60" s="208" t="s">
        <v>769</v>
      </c>
      <c r="AI60" s="208" t="s">
        <v>769</v>
      </c>
      <c r="AJ60" s="208">
        <v>3340.4949190096227</v>
      </c>
      <c r="AK60" s="208">
        <v>10761.524322195386</v>
      </c>
      <c r="AL60" s="208">
        <v>32612.831046858821</v>
      </c>
      <c r="AM60" s="208">
        <v>233.94859566096935</v>
      </c>
    </row>
    <row r="61" spans="3:39" x14ac:dyDescent="0.2">
      <c r="C61" s="13" t="s">
        <v>75</v>
      </c>
      <c r="D61" s="22" t="s">
        <v>31</v>
      </c>
      <c r="E61" s="208" t="s">
        <v>769</v>
      </c>
      <c r="F61" s="208">
        <v>4.168165467625899E-9</v>
      </c>
      <c r="G61" s="208">
        <v>2.2727589928057554E-7</v>
      </c>
      <c r="H61" s="208">
        <v>3.1678057553956829E-9</v>
      </c>
      <c r="I61" s="208">
        <v>3.3296762589928054E-9</v>
      </c>
      <c r="J61" s="208">
        <v>3.9388489999999998E-4</v>
      </c>
      <c r="K61" s="208" t="s">
        <v>769</v>
      </c>
      <c r="L61" s="208" t="s">
        <v>769</v>
      </c>
      <c r="M61" s="208" t="s">
        <v>769</v>
      </c>
      <c r="N61" s="208" t="s">
        <v>769</v>
      </c>
      <c r="O61" s="208" t="s">
        <v>769</v>
      </c>
      <c r="P61" s="208" t="s">
        <v>769</v>
      </c>
      <c r="Q61" s="208" t="s">
        <v>769</v>
      </c>
      <c r="R61" s="208" t="s">
        <v>769</v>
      </c>
      <c r="S61" s="208" t="s">
        <v>769</v>
      </c>
      <c r="T61" s="208" t="s">
        <v>769</v>
      </c>
      <c r="U61" s="208"/>
      <c r="V61" s="208" t="s">
        <v>769</v>
      </c>
      <c r="W61" s="208" t="s">
        <v>357</v>
      </c>
      <c r="X61" s="208"/>
      <c r="Y61" s="208"/>
      <c r="Z61" s="208"/>
      <c r="AA61" s="208"/>
      <c r="AB61" s="208">
        <v>6320</v>
      </c>
      <c r="AC61" s="208">
        <v>1.0000000000000001E-5</v>
      </c>
      <c r="AD61" s="208">
        <v>1.3</v>
      </c>
      <c r="AE61" s="208">
        <v>5.6000000000000001E-2</v>
      </c>
      <c r="AF61" s="208" t="s">
        <v>769</v>
      </c>
      <c r="AG61" s="208">
        <v>86.409588050314497</v>
      </c>
      <c r="AH61" s="208" t="s">
        <v>769</v>
      </c>
      <c r="AI61" s="208" t="s">
        <v>769</v>
      </c>
      <c r="AJ61" s="208">
        <v>2693.2410394715707</v>
      </c>
      <c r="AK61" s="208">
        <v>8092.3562156506196</v>
      </c>
      <c r="AL61" s="208">
        <v>23331.585064233288</v>
      </c>
      <c r="AM61" s="208">
        <v>146.48060378937319</v>
      </c>
    </row>
    <row r="62" spans="3:39" x14ac:dyDescent="0.2">
      <c r="C62" s="13" t="s">
        <v>76</v>
      </c>
      <c r="D62" s="22" t="s">
        <v>24</v>
      </c>
      <c r="E62" s="208" t="s">
        <v>769</v>
      </c>
      <c r="F62" s="208">
        <v>3.3661087078651692E-7</v>
      </c>
      <c r="G62" s="208">
        <v>2.8557808988764044E-7</v>
      </c>
      <c r="H62" s="208">
        <v>1.4038230337078653E-8</v>
      </c>
      <c r="I62" s="208">
        <v>1.9905926966292132E-8</v>
      </c>
      <c r="J62" s="208">
        <v>2.4227528000000001E-4</v>
      </c>
      <c r="K62" s="208">
        <v>2.8</v>
      </c>
      <c r="L62" s="208">
        <v>1810037.5</v>
      </c>
      <c r="M62" s="208" t="s">
        <v>769</v>
      </c>
      <c r="N62" s="208" t="s">
        <v>769</v>
      </c>
      <c r="O62" s="208" t="s">
        <v>769</v>
      </c>
      <c r="P62" s="208" t="s">
        <v>769</v>
      </c>
      <c r="Q62" s="208">
        <v>80</v>
      </c>
      <c r="R62" s="208" t="s">
        <v>769</v>
      </c>
      <c r="S62" s="208" t="s">
        <v>769</v>
      </c>
      <c r="T62" s="208" t="s">
        <v>769</v>
      </c>
      <c r="U62" s="208" t="s">
        <v>769</v>
      </c>
      <c r="V62" s="208">
        <v>164000</v>
      </c>
      <c r="W62" s="208" t="s">
        <v>356</v>
      </c>
      <c r="X62" s="208" t="s">
        <v>769</v>
      </c>
      <c r="Y62" s="208" t="s">
        <v>769</v>
      </c>
      <c r="Z62" s="208" t="s">
        <v>769</v>
      </c>
      <c r="AA62" s="208" t="s">
        <v>769</v>
      </c>
      <c r="AB62" s="208">
        <v>37240</v>
      </c>
      <c r="AC62" s="208">
        <v>1.0000000000000001E-5</v>
      </c>
      <c r="AD62" s="208">
        <v>1.3</v>
      </c>
      <c r="AE62" s="208">
        <v>5.6000000000000001E-2</v>
      </c>
      <c r="AF62" s="208" t="s">
        <v>769</v>
      </c>
      <c r="AG62" s="208">
        <v>69.317030021443898</v>
      </c>
      <c r="AH62" s="208" t="s">
        <v>769</v>
      </c>
      <c r="AI62" s="208" t="s">
        <v>769</v>
      </c>
      <c r="AJ62" s="208">
        <v>4450.2179886790591</v>
      </c>
      <c r="AK62" s="208">
        <v>14820.004714554652</v>
      </c>
      <c r="AL62" s="208">
        <v>40469.009269744594</v>
      </c>
      <c r="AM62" s="208">
        <v>279.8773085914649</v>
      </c>
    </row>
    <row r="63" spans="3:39" x14ac:dyDescent="0.2">
      <c r="C63" s="13" t="s">
        <v>77</v>
      </c>
      <c r="D63" s="22" t="s">
        <v>33</v>
      </c>
      <c r="E63" s="208" t="s">
        <v>769</v>
      </c>
      <c r="F63" s="208">
        <v>1.5115703289473689E-6</v>
      </c>
      <c r="G63" s="208">
        <v>7.1621644736842118E-7</v>
      </c>
      <c r="H63" s="208">
        <v>4.3639934210526318E-8</v>
      </c>
      <c r="I63" s="208">
        <v>5.9646513157894748E-8</v>
      </c>
      <c r="J63" s="208">
        <v>6.3760960000000002E-4</v>
      </c>
      <c r="K63" s="208">
        <v>2.71</v>
      </c>
      <c r="L63" s="208">
        <v>2692691.98</v>
      </c>
      <c r="M63" s="208" t="s">
        <v>769</v>
      </c>
      <c r="N63" s="208" t="s">
        <v>769</v>
      </c>
      <c r="O63" s="208" t="s">
        <v>769</v>
      </c>
      <c r="P63" s="208" t="s">
        <v>769</v>
      </c>
      <c r="Q63" s="208" t="s">
        <v>769</v>
      </c>
      <c r="R63" s="208" t="s">
        <v>769</v>
      </c>
      <c r="S63" s="208" t="s">
        <v>769</v>
      </c>
      <c r="T63" s="208" t="s">
        <v>769</v>
      </c>
      <c r="U63" s="208">
        <v>0.76900000000000002</v>
      </c>
      <c r="V63" s="208" t="s">
        <v>769</v>
      </c>
      <c r="W63" s="208" t="s">
        <v>357</v>
      </c>
      <c r="X63" s="208" t="s">
        <v>769</v>
      </c>
      <c r="Y63" s="208" t="s">
        <v>769</v>
      </c>
      <c r="Z63" s="208" t="s">
        <v>769</v>
      </c>
      <c r="AA63" s="208" t="s">
        <v>769</v>
      </c>
      <c r="AB63" s="208" t="s">
        <v>676</v>
      </c>
      <c r="AC63" s="208">
        <v>1.0000000000000001E-5</v>
      </c>
      <c r="AD63" s="208">
        <v>1.3</v>
      </c>
      <c r="AE63" s="208">
        <v>5.6000000000000001E-2</v>
      </c>
      <c r="AF63" s="208" t="s">
        <v>769</v>
      </c>
      <c r="AG63" s="208">
        <v>108.44289017341001</v>
      </c>
      <c r="AH63" s="208" t="s">
        <v>769</v>
      </c>
      <c r="AI63" s="208" t="s">
        <v>769</v>
      </c>
      <c r="AJ63" s="208">
        <v>3860.7862729887338</v>
      </c>
      <c r="AK63" s="208">
        <v>12968.346656868272</v>
      </c>
      <c r="AL63" s="208">
        <v>33024.283282483651</v>
      </c>
      <c r="AM63" s="208">
        <v>250.18188401328052</v>
      </c>
    </row>
    <row r="64" spans="3:39" x14ac:dyDescent="0.2">
      <c r="C64" s="13" t="s">
        <v>78</v>
      </c>
      <c r="D64" s="22" t="s">
        <v>33</v>
      </c>
      <c r="E64" s="208" t="s">
        <v>769</v>
      </c>
      <c r="F64" s="208" t="s">
        <v>769</v>
      </c>
      <c r="G64" s="208" t="s">
        <v>769</v>
      </c>
      <c r="H64" s="208" t="s">
        <v>769</v>
      </c>
      <c r="I64" s="208" t="s">
        <v>769</v>
      </c>
      <c r="J64" s="208" t="s">
        <v>769</v>
      </c>
      <c r="K64" s="208" t="s">
        <v>769</v>
      </c>
      <c r="L64" s="208">
        <v>24703.813200000001</v>
      </c>
      <c r="M64" s="208" t="s">
        <v>769</v>
      </c>
      <c r="N64" s="208" t="s">
        <v>769</v>
      </c>
      <c r="O64" s="208" t="s">
        <v>769</v>
      </c>
      <c r="P64" s="208" t="s">
        <v>769</v>
      </c>
      <c r="Q64" s="208" t="s">
        <v>769</v>
      </c>
      <c r="R64" s="208" t="s">
        <v>769</v>
      </c>
      <c r="S64" s="208" t="s">
        <v>769</v>
      </c>
      <c r="T64" s="208" t="s">
        <v>769</v>
      </c>
      <c r="U64" s="208" t="s">
        <v>769</v>
      </c>
      <c r="V64" s="208" t="s">
        <v>769</v>
      </c>
      <c r="W64" s="208" t="s">
        <v>357</v>
      </c>
      <c r="X64" s="208" t="s">
        <v>769</v>
      </c>
      <c r="Y64" s="208" t="s">
        <v>769</v>
      </c>
      <c r="Z64" s="208" t="s">
        <v>769</v>
      </c>
      <c r="AA64" s="208" t="s">
        <v>769</v>
      </c>
      <c r="AB64" s="208">
        <v>25460</v>
      </c>
      <c r="AC64" s="208">
        <v>1.0000000000000001E-5</v>
      </c>
      <c r="AD64" s="208">
        <v>1.3</v>
      </c>
      <c r="AE64" s="208">
        <v>5.6000000000000001E-2</v>
      </c>
      <c r="AF64" s="208" t="s">
        <v>769</v>
      </c>
      <c r="AG64" s="208">
        <v>343.173423423423</v>
      </c>
      <c r="AH64" s="208" t="s">
        <v>769</v>
      </c>
      <c r="AI64" s="208" t="s">
        <v>769</v>
      </c>
      <c r="AJ64" s="208">
        <v>936.7932160708425</v>
      </c>
      <c r="AK64" s="208">
        <v>2376.1643598913465</v>
      </c>
      <c r="AL64" s="208">
        <v>6871.6401451739439</v>
      </c>
      <c r="AM64" s="208">
        <v>57.988059532999131</v>
      </c>
    </row>
    <row r="65" spans="3:39" x14ac:dyDescent="0.2">
      <c r="C65" s="13" t="s">
        <v>79</v>
      </c>
      <c r="D65" s="22" t="s">
        <v>24</v>
      </c>
      <c r="E65" s="208" t="s">
        <v>769</v>
      </c>
      <c r="F65" s="208">
        <v>1.4543452471482891E-6</v>
      </c>
      <c r="G65" s="208">
        <v>6.5317414448669218E-7</v>
      </c>
      <c r="H65" s="208">
        <v>4.0325475285171106E-8</v>
      </c>
      <c r="I65" s="208">
        <v>5.5519391634980986E-8</v>
      </c>
      <c r="J65" s="208">
        <v>5.5513305999999995E-4</v>
      </c>
      <c r="K65" s="208">
        <v>2.76</v>
      </c>
      <c r="L65" s="208">
        <v>769485.125</v>
      </c>
      <c r="M65" s="208" t="s">
        <v>769</v>
      </c>
      <c r="N65" s="208" t="s">
        <v>769</v>
      </c>
      <c r="O65" s="208" t="s">
        <v>769</v>
      </c>
      <c r="P65" s="208" t="s">
        <v>769</v>
      </c>
      <c r="Q65" s="208" t="s">
        <v>769</v>
      </c>
      <c r="R65" s="208" t="s">
        <v>769</v>
      </c>
      <c r="S65" s="208" t="s">
        <v>769</v>
      </c>
      <c r="T65" s="208" t="s">
        <v>769</v>
      </c>
      <c r="U65" s="208" t="s">
        <v>769</v>
      </c>
      <c r="V65" s="208">
        <v>124000</v>
      </c>
      <c r="W65" s="208" t="s">
        <v>355</v>
      </c>
      <c r="X65" s="208" t="s">
        <v>769</v>
      </c>
      <c r="Y65" s="208" t="s">
        <v>769</v>
      </c>
      <c r="Z65" s="208" t="s">
        <v>769</v>
      </c>
      <c r="AA65" s="208" t="s">
        <v>769</v>
      </c>
      <c r="AB65" s="208">
        <v>44210</v>
      </c>
      <c r="AC65" s="208">
        <v>1.0000000000000001E-5</v>
      </c>
      <c r="AD65" s="208">
        <v>1.3</v>
      </c>
      <c r="AE65" s="208">
        <v>5.6000000000000001E-2</v>
      </c>
      <c r="AF65" s="208" t="s">
        <v>769</v>
      </c>
      <c r="AG65" s="208">
        <v>134.65238095238101</v>
      </c>
      <c r="AH65" s="208" t="s">
        <v>769</v>
      </c>
      <c r="AI65" s="208" t="s">
        <v>769</v>
      </c>
      <c r="AJ65" s="208">
        <v>2199.3851929543712</v>
      </c>
      <c r="AK65" s="208">
        <v>6596.3950272625088</v>
      </c>
      <c r="AL65" s="208">
        <v>18267.754647698013</v>
      </c>
      <c r="AM65" s="208">
        <v>219.56869526035513</v>
      </c>
    </row>
    <row r="66" spans="3:39" x14ac:dyDescent="0.2">
      <c r="C66" s="13" t="s">
        <v>80</v>
      </c>
      <c r="D66" s="22" t="s">
        <v>24</v>
      </c>
      <c r="E66" s="208">
        <v>7.2999999999999995E-2</v>
      </c>
      <c r="F66" s="208">
        <v>1.3179275423931216E-6</v>
      </c>
      <c r="G66" s="208">
        <v>6.4316059230952969E-7</v>
      </c>
      <c r="H66" s="208">
        <v>2.2519861475997137E-8</v>
      </c>
      <c r="I66" s="208">
        <v>4.1279928349653698E-8</v>
      </c>
      <c r="J66" s="208">
        <v>4.8829712000000001E-4</v>
      </c>
      <c r="K66" s="208">
        <v>2.34</v>
      </c>
      <c r="L66" s="208">
        <v>5334854.5</v>
      </c>
      <c r="M66" s="208">
        <v>0.52600000000000002</v>
      </c>
      <c r="N66" s="208">
        <v>2806133.4670000002</v>
      </c>
      <c r="O66" s="208">
        <v>0.17679999999999998</v>
      </c>
      <c r="P66" s="208">
        <v>943202.27560000005</v>
      </c>
      <c r="Q66" s="208">
        <v>27</v>
      </c>
      <c r="R66" s="208">
        <v>6</v>
      </c>
      <c r="S66" s="208">
        <v>0.16870000000000002</v>
      </c>
      <c r="T66" s="208" t="s">
        <v>769</v>
      </c>
      <c r="U66" s="208" t="s">
        <v>769</v>
      </c>
      <c r="V66" s="208">
        <v>243000</v>
      </c>
      <c r="W66" s="208" t="s">
        <v>356</v>
      </c>
      <c r="X66" s="208" t="s">
        <v>769</v>
      </c>
      <c r="Y66" s="208" t="s">
        <v>769</v>
      </c>
      <c r="Z66" s="208" t="s">
        <v>769</v>
      </c>
      <c r="AA66" s="208" t="s">
        <v>769</v>
      </c>
      <c r="AB66" s="208">
        <v>46440</v>
      </c>
      <c r="AC66" s="208">
        <v>1.0000000000000001E-5</v>
      </c>
      <c r="AD66" s="208">
        <v>1.3</v>
      </c>
      <c r="AE66" s="208">
        <v>5.6000000000000001E-2</v>
      </c>
      <c r="AF66" s="208" t="s">
        <v>255</v>
      </c>
      <c r="AG66" s="208">
        <v>136.108349053848</v>
      </c>
      <c r="AH66" s="208">
        <v>77049</v>
      </c>
      <c r="AI66" s="208">
        <v>866153.27560000005</v>
      </c>
      <c r="AJ66" s="208">
        <v>4200.3140066886635</v>
      </c>
      <c r="AK66" s="208">
        <v>13794.280446847924</v>
      </c>
      <c r="AL66" s="208">
        <v>37053.436393107608</v>
      </c>
      <c r="AM66" s="208">
        <v>276.77849373002732</v>
      </c>
    </row>
    <row r="67" spans="3:39" x14ac:dyDescent="0.2">
      <c r="C67" s="13" t="s">
        <v>81</v>
      </c>
      <c r="D67" s="22" t="s">
        <v>24</v>
      </c>
      <c r="E67" s="208">
        <v>1.3839999999999999</v>
      </c>
      <c r="F67" s="208">
        <v>4.3464412725709374E-7</v>
      </c>
      <c r="G67" s="208">
        <v>3.5504729148753217E-7</v>
      </c>
      <c r="H67" s="208">
        <v>3.0344419604471201E-8</v>
      </c>
      <c r="I67" s="208">
        <v>3.9654479793637144E-8</v>
      </c>
      <c r="J67" s="208">
        <v>2.0177701999999999E-4</v>
      </c>
      <c r="K67" s="208">
        <v>2.1</v>
      </c>
      <c r="L67" s="208">
        <v>4910858.5</v>
      </c>
      <c r="M67" s="208">
        <v>1.15E-2</v>
      </c>
      <c r="N67" s="208">
        <v>56474.872750000002</v>
      </c>
      <c r="O67" s="208">
        <v>0.52590000000000003</v>
      </c>
      <c r="P67" s="208">
        <v>2582620.4851500001</v>
      </c>
      <c r="Q67" s="208">
        <v>41</v>
      </c>
      <c r="R67" s="208">
        <v>17</v>
      </c>
      <c r="S67" s="208">
        <v>0.4754719</v>
      </c>
      <c r="T67" s="208" t="s">
        <v>769</v>
      </c>
      <c r="U67" s="208" t="s">
        <v>769</v>
      </c>
      <c r="V67" s="208">
        <v>260000</v>
      </c>
      <c r="W67" s="208" t="s">
        <v>356</v>
      </c>
      <c r="X67" s="208" t="s">
        <v>769</v>
      </c>
      <c r="Y67" s="208" t="s">
        <v>769</v>
      </c>
      <c r="Z67" s="208" t="s">
        <v>769</v>
      </c>
      <c r="AA67" s="208" t="s">
        <v>769</v>
      </c>
      <c r="AB67" s="208">
        <v>72640</v>
      </c>
      <c r="AC67" s="208">
        <v>1.0000000000000001E-5</v>
      </c>
      <c r="AD67" s="208">
        <v>1.3</v>
      </c>
      <c r="AE67" s="208">
        <v>5.6000000000000001E-2</v>
      </c>
      <c r="AF67" s="208" t="s">
        <v>255</v>
      </c>
      <c r="AG67" s="208">
        <v>146.41832500000001</v>
      </c>
      <c r="AH67" s="208">
        <v>4109</v>
      </c>
      <c r="AI67" s="208">
        <v>2578511.4851500001</v>
      </c>
      <c r="AJ67" s="208">
        <v>4245.9955920668172</v>
      </c>
      <c r="AK67" s="208">
        <v>14032.34205889588</v>
      </c>
      <c r="AL67" s="208">
        <v>38372.429067102799</v>
      </c>
      <c r="AM67" s="208">
        <v>280.68257420835903</v>
      </c>
    </row>
    <row r="68" spans="3:39" x14ac:dyDescent="0.2">
      <c r="C68" s="13" t="s">
        <v>82</v>
      </c>
      <c r="D68" s="22" t="s">
        <v>26</v>
      </c>
      <c r="E68" s="208" t="s">
        <v>769</v>
      </c>
      <c r="F68" s="208">
        <v>1.7460000000000001E-6</v>
      </c>
      <c r="G68" s="208">
        <v>7.7400000000000002E-7</v>
      </c>
      <c r="H68" s="208">
        <v>4.6800000000000002E-8</v>
      </c>
      <c r="I68" s="208">
        <v>6.4799999999999998E-8</v>
      </c>
      <c r="J68" s="208">
        <v>6.9230780000000003E-4</v>
      </c>
      <c r="K68" s="208">
        <v>5.89</v>
      </c>
      <c r="L68" s="208">
        <v>114997.249</v>
      </c>
      <c r="M68" s="208" t="s">
        <v>769</v>
      </c>
      <c r="N68" s="208" t="s">
        <v>769</v>
      </c>
      <c r="O68" s="208" t="s">
        <v>769</v>
      </c>
      <c r="P68" s="208" t="s">
        <v>769</v>
      </c>
      <c r="Q68" s="208" t="s">
        <v>769</v>
      </c>
      <c r="R68" s="208" t="s">
        <v>769</v>
      </c>
      <c r="S68" s="208" t="s">
        <v>769</v>
      </c>
      <c r="T68" s="208" t="s">
        <v>769</v>
      </c>
      <c r="U68" s="208" t="s">
        <v>769</v>
      </c>
      <c r="V68" s="208" t="s">
        <v>769</v>
      </c>
      <c r="W68" s="208" t="s">
        <v>357</v>
      </c>
      <c r="X68" s="208" t="s">
        <v>769</v>
      </c>
      <c r="Y68" s="208" t="s">
        <v>769</v>
      </c>
      <c r="Z68" s="208" t="s">
        <v>769</v>
      </c>
      <c r="AA68" s="208" t="s">
        <v>769</v>
      </c>
      <c r="AB68" s="208">
        <v>5930</v>
      </c>
      <c r="AC68" s="208">
        <v>1.0000000000000001E-5</v>
      </c>
      <c r="AD68" s="208">
        <v>1.3</v>
      </c>
      <c r="AE68" s="208">
        <v>5.6000000000000001E-2</v>
      </c>
      <c r="AF68" s="208" t="s">
        <v>769</v>
      </c>
      <c r="AG68" s="208">
        <v>47.694434857635898</v>
      </c>
      <c r="AH68" s="208" t="s">
        <v>769</v>
      </c>
      <c r="AI68" s="208" t="s">
        <v>769</v>
      </c>
      <c r="AJ68" s="208">
        <v>2129.3673778435868</v>
      </c>
      <c r="AK68" s="208">
        <v>6587.8728008465951</v>
      </c>
      <c r="AL68" s="208">
        <v>18283.115102656662</v>
      </c>
      <c r="AM68" s="208">
        <v>229.99904119609477</v>
      </c>
    </row>
    <row r="69" spans="3:39" x14ac:dyDescent="0.2">
      <c r="C69" s="13" t="s">
        <v>83</v>
      </c>
      <c r="D69" s="22" t="s">
        <v>33</v>
      </c>
      <c r="E69" s="208" t="s">
        <v>769</v>
      </c>
      <c r="F69" s="208">
        <v>1.3351764705882353E-6</v>
      </c>
      <c r="G69" s="208">
        <v>5.9188235294117657E-7</v>
      </c>
      <c r="H69" s="208">
        <v>3.5788235294117647E-8</v>
      </c>
      <c r="I69" s="208">
        <v>4.9552941176470584E-8</v>
      </c>
      <c r="J69" s="208">
        <v>5.2941179999999998E-4</v>
      </c>
      <c r="K69" s="208" t="s">
        <v>769</v>
      </c>
      <c r="L69" s="208">
        <v>13176</v>
      </c>
      <c r="M69" s="208" t="s">
        <v>769</v>
      </c>
      <c r="N69" s="208" t="s">
        <v>769</v>
      </c>
      <c r="O69" s="208" t="s">
        <v>769</v>
      </c>
      <c r="P69" s="208" t="s">
        <v>769</v>
      </c>
      <c r="Q69" s="208" t="s">
        <v>769</v>
      </c>
      <c r="R69" s="208" t="s">
        <v>769</v>
      </c>
      <c r="S69" s="208" t="s">
        <v>769</v>
      </c>
      <c r="T69" s="208" t="s">
        <v>769</v>
      </c>
      <c r="U69" s="208">
        <v>0.94</v>
      </c>
      <c r="V69" s="208" t="s">
        <v>769</v>
      </c>
      <c r="W69" s="208" t="s">
        <v>358</v>
      </c>
      <c r="X69" s="208" t="s">
        <v>769</v>
      </c>
      <c r="Y69" s="208" t="s">
        <v>769</v>
      </c>
      <c r="Z69" s="208" t="s">
        <v>769</v>
      </c>
      <c r="AA69" s="208" t="s">
        <v>769</v>
      </c>
      <c r="AB69" s="208">
        <v>14490</v>
      </c>
      <c r="AC69" s="208">
        <v>1.0000000000000001E-5</v>
      </c>
      <c r="AD69" s="208">
        <v>1.3</v>
      </c>
      <c r="AE69" s="208">
        <v>5.6000000000000001E-2</v>
      </c>
      <c r="AF69" s="208" t="s">
        <v>769</v>
      </c>
      <c r="AG69" s="208">
        <v>96.549333333333294</v>
      </c>
      <c r="AH69" s="208" t="s">
        <v>769</v>
      </c>
      <c r="AI69" s="208" t="s">
        <v>769</v>
      </c>
      <c r="AJ69" s="208">
        <v>917.54011380900477</v>
      </c>
      <c r="AK69" s="208">
        <v>2369.73244010388</v>
      </c>
      <c r="AL69" s="208">
        <v>6881.1751479199302</v>
      </c>
      <c r="AM69" s="208">
        <v>51.406009689286883</v>
      </c>
    </row>
    <row r="70" spans="3:39" x14ac:dyDescent="0.2">
      <c r="C70" s="13" t="s">
        <v>84</v>
      </c>
      <c r="D70" s="22" t="s">
        <v>33</v>
      </c>
      <c r="E70" s="208">
        <v>-1.014</v>
      </c>
      <c r="F70" s="208">
        <v>1.1811070194986072E-6</v>
      </c>
      <c r="G70" s="208">
        <v>6.4640222841225634E-7</v>
      </c>
      <c r="H70" s="208">
        <v>2.0746128133704733E-8</v>
      </c>
      <c r="I70" s="208">
        <v>3.5635821727019497E-8</v>
      </c>
      <c r="J70" s="208">
        <v>5.807799E-4</v>
      </c>
      <c r="K70" s="208">
        <v>3.09</v>
      </c>
      <c r="L70" s="208">
        <v>4063910</v>
      </c>
      <c r="M70" s="208">
        <v>0.19124168599999999</v>
      </c>
      <c r="N70" s="208">
        <v>777189.00015225995</v>
      </c>
      <c r="O70" s="208">
        <v>0.05</v>
      </c>
      <c r="P70" s="208">
        <v>203195.5</v>
      </c>
      <c r="Q70" s="208">
        <v>7</v>
      </c>
      <c r="R70" s="208">
        <v>1</v>
      </c>
      <c r="S70" s="208">
        <v>7.9045867296149375E-2</v>
      </c>
      <c r="T70" s="208" t="s">
        <v>769</v>
      </c>
      <c r="U70" s="208" t="s">
        <v>769</v>
      </c>
      <c r="V70" s="208">
        <v>69000</v>
      </c>
      <c r="W70" s="208" t="s">
        <v>358</v>
      </c>
      <c r="X70" s="208">
        <v>1E-3</v>
      </c>
      <c r="Y70" s="208">
        <v>1E-3</v>
      </c>
      <c r="Z70" s="208">
        <v>1E-3</v>
      </c>
      <c r="AA70" s="208">
        <v>1E-3</v>
      </c>
      <c r="AB70" s="208">
        <v>20830</v>
      </c>
      <c r="AC70" s="208">
        <v>1.0000000000000001E-5</v>
      </c>
      <c r="AD70" s="208">
        <v>1.3</v>
      </c>
      <c r="AE70" s="208">
        <v>5.6000000000000001E-2</v>
      </c>
      <c r="AF70" s="208" t="s">
        <v>255</v>
      </c>
      <c r="AG70" s="208">
        <v>233.90782857503501</v>
      </c>
      <c r="AH70" s="208" t="s">
        <v>769</v>
      </c>
      <c r="AI70" s="208" t="s">
        <v>769</v>
      </c>
      <c r="AJ70" s="208">
        <v>4299.7515631369097</v>
      </c>
      <c r="AK70" s="208">
        <v>14424.811481602894</v>
      </c>
      <c r="AL70" s="208">
        <v>38630.698923220851</v>
      </c>
      <c r="AM70" s="208">
        <v>279.23984638399656</v>
      </c>
    </row>
    <row r="71" spans="3:39" x14ac:dyDescent="0.2">
      <c r="C71" s="13" t="s">
        <v>85</v>
      </c>
      <c r="D71" s="22" t="s">
        <v>33</v>
      </c>
      <c r="E71" s="208">
        <v>-1.6160000000000001</v>
      </c>
      <c r="F71" s="208">
        <v>2.7114979479326185E-7</v>
      </c>
      <c r="G71" s="208">
        <v>1.4133941807044413E-7</v>
      </c>
      <c r="H71" s="208">
        <v>8.9326309341500766E-9</v>
      </c>
      <c r="I71" s="208">
        <v>1.1959277182235834E-8</v>
      </c>
      <c r="J71" s="208">
        <v>1.5068912E-4</v>
      </c>
      <c r="K71" s="208">
        <v>3.78</v>
      </c>
      <c r="L71" s="208">
        <v>5297211.1430000002</v>
      </c>
      <c r="M71" s="208">
        <v>0.11600000000000001</v>
      </c>
      <c r="N71" s="208">
        <v>614476.49258800002</v>
      </c>
      <c r="O71" s="208">
        <v>0.05</v>
      </c>
      <c r="P71" s="208">
        <v>264860.55715000001</v>
      </c>
      <c r="Q71" s="208">
        <v>6</v>
      </c>
      <c r="R71" s="208">
        <v>2</v>
      </c>
      <c r="S71" s="208">
        <v>7.9045867296149375E-2</v>
      </c>
      <c r="T71" s="208" t="s">
        <v>769</v>
      </c>
      <c r="U71" s="208" t="s">
        <v>769</v>
      </c>
      <c r="V71" s="208">
        <v>58000</v>
      </c>
      <c r="W71" s="208" t="s">
        <v>358</v>
      </c>
      <c r="X71" s="208">
        <v>0.53220000000000001</v>
      </c>
      <c r="Y71" s="208">
        <v>0.53220000000000001</v>
      </c>
      <c r="Z71" s="208">
        <v>0.53220000000000001</v>
      </c>
      <c r="AA71" s="208">
        <v>0.53220000000000001</v>
      </c>
      <c r="AB71" s="208">
        <v>13240</v>
      </c>
      <c r="AC71" s="208">
        <v>1.0000000000000001E-5</v>
      </c>
      <c r="AD71" s="208">
        <v>1.3</v>
      </c>
      <c r="AE71" s="208">
        <v>5.6000000000000001E-2</v>
      </c>
      <c r="AF71" s="208" t="s">
        <v>255</v>
      </c>
      <c r="AG71" s="208">
        <v>71.661044451602507</v>
      </c>
      <c r="AH71" s="208" t="s">
        <v>769</v>
      </c>
      <c r="AI71" s="208" t="s">
        <v>769</v>
      </c>
      <c r="AJ71" s="208">
        <v>3265.2341992341312</v>
      </c>
      <c r="AK71" s="208">
        <v>10614.820474950882</v>
      </c>
      <c r="AL71" s="208">
        <v>31685.03048382813</v>
      </c>
      <c r="AM71" s="208">
        <v>250.03812892933064</v>
      </c>
    </row>
    <row r="72" spans="3:39" x14ac:dyDescent="0.2">
      <c r="C72" s="13" t="s">
        <v>86</v>
      </c>
      <c r="D72" s="22" t="s">
        <v>26</v>
      </c>
      <c r="E72" s="208">
        <v>-0.224</v>
      </c>
      <c r="F72" s="208">
        <v>1.5376735474234506E-7</v>
      </c>
      <c r="G72" s="208">
        <v>3.2188785660941001E-7</v>
      </c>
      <c r="H72" s="208">
        <v>6.6682180731889461E-9</v>
      </c>
      <c r="I72" s="208">
        <v>8.2446183719193419E-9</v>
      </c>
      <c r="J72" s="208">
        <v>5.7012695000000001E-4</v>
      </c>
      <c r="K72" s="208">
        <v>4.13</v>
      </c>
      <c r="L72" s="208">
        <v>21000000</v>
      </c>
      <c r="M72" s="208">
        <v>7.0000000000000007E-2</v>
      </c>
      <c r="N72" s="208">
        <v>1470000.0000000002</v>
      </c>
      <c r="O72" s="208">
        <v>5.0000000000000001E-3</v>
      </c>
      <c r="P72" s="208">
        <v>105000</v>
      </c>
      <c r="Q72" s="208">
        <v>14</v>
      </c>
      <c r="R72" s="208">
        <v>1</v>
      </c>
      <c r="S72" s="208">
        <v>3.2761375746401408E-2</v>
      </c>
      <c r="T72" s="208" t="s">
        <v>769</v>
      </c>
      <c r="U72" s="208" t="s">
        <v>769</v>
      </c>
      <c r="V72" s="208">
        <v>24000</v>
      </c>
      <c r="W72" s="208" t="s">
        <v>357</v>
      </c>
      <c r="X72" s="208" t="s">
        <v>769</v>
      </c>
      <c r="Y72" s="208" t="s">
        <v>769</v>
      </c>
      <c r="Z72" s="208" t="s">
        <v>769</v>
      </c>
      <c r="AA72" s="208" t="s">
        <v>769</v>
      </c>
      <c r="AB72" s="208">
        <v>15360</v>
      </c>
      <c r="AC72" s="208">
        <v>1.0000000000000001E-5</v>
      </c>
      <c r="AD72" s="208">
        <v>1.3</v>
      </c>
      <c r="AE72" s="208">
        <v>5.6000000000000001E-2</v>
      </c>
      <c r="AF72" s="208" t="s">
        <v>255</v>
      </c>
      <c r="AG72" s="208">
        <v>109.761593249284</v>
      </c>
      <c r="AH72" s="208" t="s">
        <v>769</v>
      </c>
      <c r="AI72" s="208" t="s">
        <v>769</v>
      </c>
      <c r="AJ72" s="208">
        <v>4046.9481664334639</v>
      </c>
      <c r="AK72" s="208">
        <v>13214.646650594066</v>
      </c>
      <c r="AL72" s="208">
        <v>33595.665777843737</v>
      </c>
      <c r="AM72" s="208">
        <v>285.83877872973517</v>
      </c>
    </row>
    <row r="73" spans="3:39" x14ac:dyDescent="0.2">
      <c r="C73" s="13" t="s">
        <v>87</v>
      </c>
      <c r="D73" s="22" t="s">
        <v>33</v>
      </c>
      <c r="E73" s="208">
        <v>-1.2150000000000001</v>
      </c>
      <c r="F73" s="208">
        <v>1.6240251968503938E-7</v>
      </c>
      <c r="G73" s="208">
        <v>1.7833322834645666E-7</v>
      </c>
      <c r="H73" s="208">
        <v>2.1225826771653541E-8</v>
      </c>
      <c r="I73" s="208">
        <v>2.5421102362204721E-8</v>
      </c>
      <c r="J73" s="208">
        <v>1.1653543E-4</v>
      </c>
      <c r="K73" s="208">
        <v>3.92</v>
      </c>
      <c r="L73" s="208">
        <v>1648996.18</v>
      </c>
      <c r="M73" s="208" t="s">
        <v>769</v>
      </c>
      <c r="N73" s="208" t="s">
        <v>769</v>
      </c>
      <c r="O73" s="208" t="s">
        <v>769</v>
      </c>
      <c r="P73" s="208" t="s">
        <v>769</v>
      </c>
      <c r="Q73" s="208" t="s">
        <v>769</v>
      </c>
      <c r="R73" s="208" t="s">
        <v>769</v>
      </c>
      <c r="S73" s="208" t="s">
        <v>769</v>
      </c>
      <c r="T73" s="208" t="s">
        <v>769</v>
      </c>
      <c r="U73" s="208">
        <v>0.78800000000000003</v>
      </c>
      <c r="V73" s="208" t="s">
        <v>769</v>
      </c>
      <c r="W73" s="208" t="s">
        <v>357</v>
      </c>
      <c r="X73" s="208">
        <v>0.78200000000000003</v>
      </c>
      <c r="Y73" s="208">
        <v>0.78200000000000003</v>
      </c>
      <c r="Z73" s="208">
        <v>0.78200000000000003</v>
      </c>
      <c r="AA73" s="208">
        <v>0.78200000000000003</v>
      </c>
      <c r="AB73" s="208">
        <v>10090</v>
      </c>
      <c r="AC73" s="208">
        <v>1.0000000000000001E-5</v>
      </c>
      <c r="AD73" s="208">
        <v>1.3</v>
      </c>
      <c r="AE73" s="208">
        <v>5.6000000000000001E-2</v>
      </c>
      <c r="AF73" s="208" t="s">
        <v>769</v>
      </c>
      <c r="AG73" s="208">
        <v>304.73778957528998</v>
      </c>
      <c r="AH73" s="208" t="s">
        <v>769</v>
      </c>
      <c r="AI73" s="208" t="s">
        <v>769</v>
      </c>
      <c r="AJ73" s="208">
        <v>4022.977671941851</v>
      </c>
      <c r="AK73" s="208">
        <v>13012.251083804387</v>
      </c>
      <c r="AL73" s="208">
        <v>33058.30746210942</v>
      </c>
      <c r="AM73" s="208">
        <v>247.63555312638655</v>
      </c>
    </row>
    <row r="74" spans="3:39" x14ac:dyDescent="0.2">
      <c r="C74" s="13" t="s">
        <v>88</v>
      </c>
      <c r="D74" s="22" t="s">
        <v>31</v>
      </c>
      <c r="E74" s="208" t="s">
        <v>769</v>
      </c>
      <c r="F74" s="208">
        <v>1.2597551020408164E-8</v>
      </c>
      <c r="G74" s="208">
        <v>2.1886530612244898E-7</v>
      </c>
      <c r="H74" s="208">
        <v>2.4783673469387749E-9</v>
      </c>
      <c r="I74" s="208">
        <v>2.6008163265306123E-9</v>
      </c>
      <c r="J74" s="208">
        <v>5.9183673E-4</v>
      </c>
      <c r="K74" s="208">
        <v>5.3</v>
      </c>
      <c r="L74" s="208">
        <v>198443.06</v>
      </c>
      <c r="M74" s="208" t="s">
        <v>769</v>
      </c>
      <c r="N74" s="208" t="s">
        <v>769</v>
      </c>
      <c r="O74" s="208" t="s">
        <v>769</v>
      </c>
      <c r="P74" s="208" t="s">
        <v>769</v>
      </c>
      <c r="Q74" s="208" t="s">
        <v>769</v>
      </c>
      <c r="R74" s="208" t="s">
        <v>769</v>
      </c>
      <c r="S74" s="208" t="s">
        <v>769</v>
      </c>
      <c r="T74" s="208" t="s">
        <v>769</v>
      </c>
      <c r="U74" s="208" t="s">
        <v>769</v>
      </c>
      <c r="V74" s="208" t="s">
        <v>769</v>
      </c>
      <c r="W74" s="208" t="s">
        <v>358</v>
      </c>
      <c r="X74" s="208" t="s">
        <v>769</v>
      </c>
      <c r="Y74" s="208" t="s">
        <v>769</v>
      </c>
      <c r="Z74" s="208" t="s">
        <v>769</v>
      </c>
      <c r="AA74" s="208" t="s">
        <v>769</v>
      </c>
      <c r="AB74" s="208">
        <v>13550</v>
      </c>
      <c r="AC74" s="208">
        <v>1.0000000000000001E-5</v>
      </c>
      <c r="AD74" s="208">
        <v>1.3</v>
      </c>
      <c r="AE74" s="208">
        <v>5.6000000000000001E-2</v>
      </c>
      <c r="AF74" s="208" t="s">
        <v>769</v>
      </c>
      <c r="AG74" s="208">
        <v>58.269732620320902</v>
      </c>
      <c r="AH74" s="208" t="s">
        <v>769</v>
      </c>
      <c r="AI74" s="208" t="s">
        <v>769</v>
      </c>
      <c r="AJ74" s="208">
        <v>3927.2254083195985</v>
      </c>
      <c r="AK74" s="208">
        <v>13272.693748221513</v>
      </c>
      <c r="AL74" s="208">
        <v>34298.057630464929</v>
      </c>
      <c r="AM74" s="208">
        <v>243.37417623648929</v>
      </c>
    </row>
    <row r="75" spans="3:39" x14ac:dyDescent="0.2">
      <c r="C75" s="13" t="s">
        <v>89</v>
      </c>
      <c r="D75" s="22" t="s">
        <v>31</v>
      </c>
      <c r="E75" s="208" t="s">
        <v>769</v>
      </c>
      <c r="F75" s="208">
        <v>1.7000526315789477E-6</v>
      </c>
      <c r="G75" s="208">
        <v>7.5363157894736851E-7</v>
      </c>
      <c r="H75" s="208">
        <v>4.5568421052631583E-8</v>
      </c>
      <c r="I75" s="208">
        <v>6.3094736842105259E-8</v>
      </c>
      <c r="J75" s="208">
        <v>6.3157890000000003E-4</v>
      </c>
      <c r="K75" s="208" t="s">
        <v>769</v>
      </c>
      <c r="L75" s="208">
        <v>726957.37</v>
      </c>
      <c r="M75" s="208" t="s">
        <v>769</v>
      </c>
      <c r="N75" s="208" t="s">
        <v>769</v>
      </c>
      <c r="O75" s="208" t="s">
        <v>769</v>
      </c>
      <c r="P75" s="208" t="s">
        <v>769</v>
      </c>
      <c r="Q75" s="208" t="s">
        <v>769</v>
      </c>
      <c r="R75" s="208" t="s">
        <v>769</v>
      </c>
      <c r="S75" s="208" t="s">
        <v>769</v>
      </c>
      <c r="T75" s="208" t="s">
        <v>769</v>
      </c>
      <c r="U75" s="208" t="s">
        <v>769</v>
      </c>
      <c r="V75" s="208" t="s">
        <v>769</v>
      </c>
      <c r="W75" s="208" t="s">
        <v>357</v>
      </c>
      <c r="X75" s="208" t="s">
        <v>769</v>
      </c>
      <c r="Y75" s="208" t="s">
        <v>769</v>
      </c>
      <c r="Z75" s="208" t="s">
        <v>769</v>
      </c>
      <c r="AA75" s="208" t="s">
        <v>769</v>
      </c>
      <c r="AB75" s="208" t="s">
        <v>676</v>
      </c>
      <c r="AC75" s="208">
        <v>1.0000000000000001E-5</v>
      </c>
      <c r="AD75" s="208">
        <v>1.3</v>
      </c>
      <c r="AE75" s="208">
        <v>5.6000000000000001E-2</v>
      </c>
      <c r="AF75" s="208" t="s">
        <v>769</v>
      </c>
      <c r="AG75" s="208">
        <v>29.909841413924905</v>
      </c>
      <c r="AH75" s="208" t="s">
        <v>769</v>
      </c>
      <c r="AI75" s="208" t="s">
        <v>769</v>
      </c>
      <c r="AJ75" s="208">
        <v>1747.7078097301794</v>
      </c>
      <c r="AK75" s="208">
        <v>5398.7022072600403</v>
      </c>
      <c r="AL75" s="208">
        <v>15534.086292840488</v>
      </c>
      <c r="AM75" s="208">
        <v>114.45138765936116</v>
      </c>
    </row>
    <row r="76" spans="3:39" x14ac:dyDescent="0.2">
      <c r="C76" s="13" t="s">
        <v>90</v>
      </c>
      <c r="D76" s="22" t="s">
        <v>24</v>
      </c>
      <c r="E76" s="208">
        <v>0.29599999999999999</v>
      </c>
      <c r="F76" s="208">
        <v>1.1879951460674156E-6</v>
      </c>
      <c r="G76" s="208">
        <v>6.5969393258426969E-7</v>
      </c>
      <c r="H76" s="208">
        <v>5.2634426966292126E-8</v>
      </c>
      <c r="I76" s="208">
        <v>6.7984988764044953E-8</v>
      </c>
      <c r="J76" s="208">
        <v>4.8988769999999996E-4</v>
      </c>
      <c r="K76" s="208">
        <v>2.2999999999999998</v>
      </c>
      <c r="L76" s="208">
        <v>489511.71879999997</v>
      </c>
      <c r="M76" s="208">
        <v>0.2029</v>
      </c>
      <c r="N76" s="208">
        <v>99321.927744519999</v>
      </c>
      <c r="O76" s="208">
        <v>0.51369999999999993</v>
      </c>
      <c r="P76" s="208">
        <v>251462.16994755997</v>
      </c>
      <c r="Q76" s="208">
        <v>1</v>
      </c>
      <c r="R76" s="208">
        <v>2</v>
      </c>
      <c r="S76" s="208">
        <v>0.4837457</v>
      </c>
      <c r="T76" s="208" t="s">
        <v>769</v>
      </c>
      <c r="U76" s="208" t="s">
        <v>769</v>
      </c>
      <c r="V76" s="208">
        <v>175000</v>
      </c>
      <c r="W76" s="208" t="s">
        <v>356</v>
      </c>
      <c r="X76" s="208" t="s">
        <v>769</v>
      </c>
      <c r="Y76" s="208" t="s">
        <v>769</v>
      </c>
      <c r="Z76" s="208" t="s">
        <v>769</v>
      </c>
      <c r="AA76" s="208" t="s">
        <v>769</v>
      </c>
      <c r="AB76" s="208">
        <v>43940</v>
      </c>
      <c r="AC76" s="208">
        <v>1.0000000000000001E-5</v>
      </c>
      <c r="AD76" s="208">
        <v>1.3</v>
      </c>
      <c r="AE76" s="208">
        <v>5.6000000000000001E-2</v>
      </c>
      <c r="AF76" s="208" t="s">
        <v>255</v>
      </c>
      <c r="AG76" s="208">
        <v>31.132912280701799</v>
      </c>
      <c r="AH76" s="208">
        <v>59</v>
      </c>
      <c r="AI76" s="208">
        <v>251403.16994755997</v>
      </c>
      <c r="AJ76" s="208">
        <v>3804.0931574916758</v>
      </c>
      <c r="AK76" s="208">
        <v>13004.032202798617</v>
      </c>
      <c r="AL76" s="208">
        <v>33216.52292775402</v>
      </c>
      <c r="AM76" s="208">
        <v>252.70096110340489</v>
      </c>
    </row>
    <row r="77" spans="3:39" x14ac:dyDescent="0.2">
      <c r="C77" s="13" t="s">
        <v>91</v>
      </c>
      <c r="D77" s="22" t="s">
        <v>31</v>
      </c>
      <c r="E77" s="208" t="s">
        <v>769</v>
      </c>
      <c r="F77" s="208">
        <v>2.1997241379310347E-7</v>
      </c>
      <c r="G77" s="208">
        <v>4.0369655172413787E-7</v>
      </c>
      <c r="H77" s="208">
        <v>5.1393103448275854E-8</v>
      </c>
      <c r="I77" s="208">
        <v>6.1572413793103438E-8</v>
      </c>
      <c r="J77" s="208">
        <v>1.7241379000000002E-4</v>
      </c>
      <c r="K77" s="208">
        <v>4.04</v>
      </c>
      <c r="L77" s="208">
        <v>218199.47</v>
      </c>
      <c r="M77" s="208" t="s">
        <v>769</v>
      </c>
      <c r="N77" s="208" t="s">
        <v>769</v>
      </c>
      <c r="O77" s="208" t="s">
        <v>769</v>
      </c>
      <c r="P77" s="208" t="s">
        <v>769</v>
      </c>
      <c r="Q77" s="208" t="s">
        <v>769</v>
      </c>
      <c r="R77" s="208" t="s">
        <v>769</v>
      </c>
      <c r="S77" s="208" t="s">
        <v>769</v>
      </c>
      <c r="T77" s="208" t="s">
        <v>769</v>
      </c>
      <c r="U77" s="208" t="s">
        <v>769</v>
      </c>
      <c r="V77" s="208" t="s">
        <v>769</v>
      </c>
      <c r="W77" s="208" t="s">
        <v>355</v>
      </c>
      <c r="X77" s="208" t="s">
        <v>769</v>
      </c>
      <c r="Y77" s="208" t="s">
        <v>769</v>
      </c>
      <c r="Z77" s="208" t="s">
        <v>769</v>
      </c>
      <c r="AA77" s="208" t="s">
        <v>769</v>
      </c>
      <c r="AB77" s="208">
        <v>9440</v>
      </c>
      <c r="AC77" s="208">
        <v>1.0000000000000001E-5</v>
      </c>
      <c r="AD77" s="208">
        <v>1.3</v>
      </c>
      <c r="AE77" s="208">
        <v>5.6000000000000001E-2</v>
      </c>
      <c r="AF77" s="208" t="s">
        <v>769</v>
      </c>
      <c r="AG77" s="208">
        <v>69.318081395348798</v>
      </c>
      <c r="AH77" s="208" t="s">
        <v>769</v>
      </c>
      <c r="AI77" s="208" t="s">
        <v>769</v>
      </c>
      <c r="AJ77" s="208">
        <v>1156.2220934163292</v>
      </c>
      <c r="AK77" s="208">
        <v>3082.947491313264</v>
      </c>
      <c r="AL77" s="208">
        <v>8885.2083096246515</v>
      </c>
      <c r="AM77" s="208">
        <v>55.667988974184709</v>
      </c>
    </row>
    <row r="78" spans="3:39" x14ac:dyDescent="0.2">
      <c r="C78" s="13" t="s">
        <v>92</v>
      </c>
      <c r="D78" s="22" t="s">
        <v>31</v>
      </c>
      <c r="E78" s="208" t="s">
        <v>769</v>
      </c>
      <c r="F78" s="208">
        <v>1.2093385214007782E-9</v>
      </c>
      <c r="G78" s="208">
        <v>1.9797665369649804E-9</v>
      </c>
      <c r="H78" s="208">
        <v>2.6147859922178991E-10</v>
      </c>
      <c r="I78" s="208">
        <v>3.0817120622568095E-10</v>
      </c>
      <c r="J78" s="208">
        <v>2.4643318000000001E-5</v>
      </c>
      <c r="K78" s="208">
        <v>4.7300000000000004</v>
      </c>
      <c r="L78" s="208">
        <v>6532786.9699999997</v>
      </c>
      <c r="M78" s="208" t="s">
        <v>769</v>
      </c>
      <c r="N78" s="208" t="s">
        <v>769</v>
      </c>
      <c r="O78" s="208" t="s">
        <v>769</v>
      </c>
      <c r="P78" s="208" t="s">
        <v>769</v>
      </c>
      <c r="Q78" s="208" t="s">
        <v>769</v>
      </c>
      <c r="R78" s="208" t="s">
        <v>769</v>
      </c>
      <c r="S78" s="208" t="s">
        <v>769</v>
      </c>
      <c r="T78" s="208" t="s">
        <v>769</v>
      </c>
      <c r="U78" s="208" t="s">
        <v>769</v>
      </c>
      <c r="V78" s="208" t="s">
        <v>769</v>
      </c>
      <c r="W78" s="208" t="s">
        <v>357</v>
      </c>
      <c r="X78" s="208" t="s">
        <v>769</v>
      </c>
      <c r="Y78" s="208" t="s">
        <v>769</v>
      </c>
      <c r="Z78" s="208" t="s">
        <v>769</v>
      </c>
      <c r="AA78" s="208" t="s">
        <v>769</v>
      </c>
      <c r="AB78" s="208">
        <v>2610</v>
      </c>
      <c r="AC78" s="208">
        <v>1.0000000000000001E-5</v>
      </c>
      <c r="AD78" s="208">
        <v>1.3</v>
      </c>
      <c r="AE78" s="208">
        <v>5.6000000000000001E-2</v>
      </c>
      <c r="AF78" s="208" t="s">
        <v>769</v>
      </c>
      <c r="AG78" s="208">
        <v>106.579911903038</v>
      </c>
      <c r="AH78" s="208" t="s">
        <v>769</v>
      </c>
      <c r="AI78" s="208" t="s">
        <v>769</v>
      </c>
      <c r="AJ78" s="208">
        <v>3895.7200413979631</v>
      </c>
      <c r="AK78" s="208">
        <v>13056.882600437468</v>
      </c>
      <c r="AL78" s="208">
        <v>33406.553462996322</v>
      </c>
      <c r="AM78" s="208">
        <v>241.96137241941668</v>
      </c>
    </row>
    <row r="79" spans="3:39" x14ac:dyDescent="0.2">
      <c r="C79" s="13" t="s">
        <v>93</v>
      </c>
      <c r="D79" s="22" t="s">
        <v>24</v>
      </c>
      <c r="E79" s="208" t="s">
        <v>769</v>
      </c>
      <c r="F79" s="208">
        <v>1.0808571428571428E-6</v>
      </c>
      <c r="G79" s="208">
        <v>4.7914285714285711E-7</v>
      </c>
      <c r="H79" s="208">
        <v>2.8971428571428569E-8</v>
      </c>
      <c r="I79" s="208">
        <v>4.0114285714285705E-8</v>
      </c>
      <c r="J79" s="208">
        <v>4.0476192999999998E-4</v>
      </c>
      <c r="K79" s="208" t="s">
        <v>769</v>
      </c>
      <c r="L79" s="208" t="s">
        <v>769</v>
      </c>
      <c r="M79" s="208" t="s">
        <v>769</v>
      </c>
      <c r="N79" s="208" t="s">
        <v>769</v>
      </c>
      <c r="O79" s="208" t="s">
        <v>769</v>
      </c>
      <c r="P79" s="208" t="s">
        <v>769</v>
      </c>
      <c r="Q79" s="208" t="s">
        <v>769</v>
      </c>
      <c r="R79" s="208" t="s">
        <v>769</v>
      </c>
      <c r="S79" s="208" t="s">
        <v>769</v>
      </c>
      <c r="T79" s="208" t="s">
        <v>769</v>
      </c>
      <c r="U79" s="208"/>
      <c r="V79" s="208" t="s">
        <v>769</v>
      </c>
      <c r="W79" s="208" t="s">
        <v>356</v>
      </c>
      <c r="X79" s="208"/>
      <c r="Y79" s="208"/>
      <c r="Z79" s="208"/>
      <c r="AA79" s="208"/>
      <c r="AB79" s="208">
        <v>69830</v>
      </c>
      <c r="AC79" s="208">
        <v>1.0000000000000001E-5</v>
      </c>
      <c r="AD79" s="208">
        <v>1.3</v>
      </c>
      <c r="AE79" s="208">
        <v>5.6000000000000001E-2</v>
      </c>
      <c r="AF79" s="208" t="s">
        <v>769</v>
      </c>
      <c r="AG79" s="208">
        <v>38.605109489051102</v>
      </c>
      <c r="AH79" s="208" t="s">
        <v>769</v>
      </c>
      <c r="AI79" s="208" t="s">
        <v>769</v>
      </c>
      <c r="AJ79" s="208">
        <v>1021.2921023731792</v>
      </c>
      <c r="AK79" s="208">
        <v>2358.4755012422424</v>
      </c>
      <c r="AL79" s="208">
        <v>6803.8713653367577</v>
      </c>
      <c r="AM79" s="208">
        <v>79.909079777339372</v>
      </c>
    </row>
    <row r="80" spans="3:39" x14ac:dyDescent="0.2">
      <c r="C80" s="13" t="s">
        <v>94</v>
      </c>
      <c r="D80" s="22" t="s">
        <v>28</v>
      </c>
      <c r="E80" s="208" t="s">
        <v>769</v>
      </c>
      <c r="F80" s="208">
        <v>7.066384615384615E-7</v>
      </c>
      <c r="G80" s="208">
        <v>3.4179230769230771E-7</v>
      </c>
      <c r="H80" s="208">
        <v>2.3469230769230768E-8</v>
      </c>
      <c r="I80" s="208">
        <v>3.1430769230769224E-8</v>
      </c>
      <c r="J80" s="208">
        <v>2.8846158000000002E-4</v>
      </c>
      <c r="K80" s="208">
        <v>4.57</v>
      </c>
      <c r="L80" s="208">
        <v>189389.59400000001</v>
      </c>
      <c r="M80" s="208" t="s">
        <v>769</v>
      </c>
      <c r="N80" s="208" t="s">
        <v>769</v>
      </c>
      <c r="O80" s="208" t="s">
        <v>769</v>
      </c>
      <c r="P80" s="208" t="s">
        <v>769</v>
      </c>
      <c r="Q80" s="208" t="s">
        <v>769</v>
      </c>
      <c r="R80" s="208" t="s">
        <v>769</v>
      </c>
      <c r="S80" s="208" t="s">
        <v>769</v>
      </c>
      <c r="T80" s="208" t="s">
        <v>769</v>
      </c>
      <c r="U80" s="208" t="s">
        <v>769</v>
      </c>
      <c r="V80" s="208" t="s">
        <v>769</v>
      </c>
      <c r="W80" s="208" t="s">
        <v>358</v>
      </c>
      <c r="X80" s="208" t="s">
        <v>769</v>
      </c>
      <c r="Y80" s="208" t="s">
        <v>769</v>
      </c>
      <c r="Z80" s="208" t="s">
        <v>769</v>
      </c>
      <c r="AA80" s="208" t="s">
        <v>769</v>
      </c>
      <c r="AB80" s="208">
        <v>9980</v>
      </c>
      <c r="AC80" s="208">
        <v>1.0000000000000001E-5</v>
      </c>
      <c r="AD80" s="208">
        <v>1.3</v>
      </c>
      <c r="AE80" s="208">
        <v>5.6000000000000001E-2</v>
      </c>
      <c r="AF80" s="208" t="s">
        <v>769</v>
      </c>
      <c r="AG80" s="208">
        <v>50.608100711549</v>
      </c>
      <c r="AH80" s="208" t="s">
        <v>769</v>
      </c>
      <c r="AI80" s="208" t="s">
        <v>769</v>
      </c>
      <c r="AJ80" s="208">
        <v>1204.495648973555</v>
      </c>
      <c r="AK80" s="208">
        <v>3632.0673579622176</v>
      </c>
      <c r="AL80" s="208">
        <v>10391.451513200169</v>
      </c>
      <c r="AM80" s="208">
        <v>68.018959804883238</v>
      </c>
    </row>
    <row r="81" spans="3:39" x14ac:dyDescent="0.2">
      <c r="C81" s="13" t="s">
        <v>95</v>
      </c>
      <c r="D81" s="22" t="s">
        <v>24</v>
      </c>
      <c r="E81" s="208">
        <v>2.3029999999999999</v>
      </c>
      <c r="F81" s="208">
        <v>2.3992810352024489E-7</v>
      </c>
      <c r="G81" s="208">
        <v>2.4177403645471E-7</v>
      </c>
      <c r="H81" s="208">
        <v>2.5141093641296794E-8</v>
      </c>
      <c r="I81" s="208">
        <v>3.1176490886322536E-8</v>
      </c>
      <c r="J81" s="208">
        <v>1.3023511999999998E-4</v>
      </c>
      <c r="K81" s="208">
        <v>2.0699999999999998</v>
      </c>
      <c r="L81" s="208">
        <v>3124497.75</v>
      </c>
      <c r="M81" s="208">
        <v>0.11509999999999999</v>
      </c>
      <c r="N81" s="208">
        <v>359629.69102500001</v>
      </c>
      <c r="O81" s="208">
        <v>0.47920000000000001</v>
      </c>
      <c r="P81" s="208">
        <v>1497259.3218</v>
      </c>
      <c r="Q81" s="208">
        <v>419</v>
      </c>
      <c r="R81" s="208">
        <v>10</v>
      </c>
      <c r="S81" s="208">
        <v>0.55564290000000005</v>
      </c>
      <c r="T81" s="208" t="s">
        <v>769</v>
      </c>
      <c r="U81" s="208" t="s">
        <v>769</v>
      </c>
      <c r="V81" s="208">
        <v>271000</v>
      </c>
      <c r="W81" s="208" t="s">
        <v>356</v>
      </c>
      <c r="X81" s="208" t="s">
        <v>769</v>
      </c>
      <c r="Y81" s="208" t="s">
        <v>769</v>
      </c>
      <c r="Z81" s="208" t="s">
        <v>769</v>
      </c>
      <c r="AA81" s="208" t="s">
        <v>769</v>
      </c>
      <c r="AB81" s="208">
        <v>58690</v>
      </c>
      <c r="AC81" s="208">
        <v>1.0000000000000001E-5</v>
      </c>
      <c r="AD81" s="208">
        <v>1.3</v>
      </c>
      <c r="AE81" s="208">
        <v>5.6000000000000001E-2</v>
      </c>
      <c r="AF81" s="208" t="s">
        <v>255</v>
      </c>
      <c r="AG81" s="208">
        <v>18.230165913412101</v>
      </c>
      <c r="AH81" s="208">
        <v>42460</v>
      </c>
      <c r="AI81" s="208">
        <v>1454799.3218</v>
      </c>
      <c r="AJ81" s="208">
        <v>3880.5313383670441</v>
      </c>
      <c r="AK81" s="208">
        <v>13350.848953123648</v>
      </c>
      <c r="AL81" s="208">
        <v>34905.234235508055</v>
      </c>
      <c r="AM81" s="208">
        <v>268.21533746363599</v>
      </c>
    </row>
    <row r="82" spans="3:39" x14ac:dyDescent="0.2">
      <c r="C82" s="13" t="s">
        <v>96</v>
      </c>
      <c r="D82" s="22" t="s">
        <v>24</v>
      </c>
      <c r="E82" s="208">
        <v>1.464</v>
      </c>
      <c r="F82" s="208">
        <v>6.7038558005752631E-8</v>
      </c>
      <c r="G82" s="208">
        <v>7.6241534036433368E-8</v>
      </c>
      <c r="H82" s="208">
        <v>4.1321265580057526E-9</v>
      </c>
      <c r="I82" s="208">
        <v>5.2732962607861916E-9</v>
      </c>
      <c r="J82" s="208">
        <v>7.8811130000000011E-5</v>
      </c>
      <c r="K82" s="208">
        <v>2.2200000000000002</v>
      </c>
      <c r="L82" s="208">
        <v>36748820</v>
      </c>
      <c r="M82" s="208">
        <v>0.25780000000000003</v>
      </c>
      <c r="N82" s="208">
        <v>9473845.796000002</v>
      </c>
      <c r="O82" s="208">
        <v>0.34700000000000003</v>
      </c>
      <c r="P82" s="208">
        <v>12751840.539999999</v>
      </c>
      <c r="Q82" s="208">
        <v>230</v>
      </c>
      <c r="R82" s="208">
        <v>84</v>
      </c>
      <c r="S82" s="208">
        <v>0.31485790000000002</v>
      </c>
      <c r="T82" s="208" t="s">
        <v>769</v>
      </c>
      <c r="U82" s="208" t="s">
        <v>769</v>
      </c>
      <c r="V82" s="208">
        <v>295000</v>
      </c>
      <c r="W82" s="208" t="s">
        <v>356</v>
      </c>
      <c r="X82" s="208" t="s">
        <v>769</v>
      </c>
      <c r="Y82" s="208" t="s">
        <v>769</v>
      </c>
      <c r="Z82" s="208" t="s">
        <v>769</v>
      </c>
      <c r="AA82" s="208" t="s">
        <v>769</v>
      </c>
      <c r="AB82" s="208">
        <v>55020</v>
      </c>
      <c r="AC82" s="208">
        <v>1.0000000000000001E-5</v>
      </c>
      <c r="AD82" s="208">
        <v>1.3</v>
      </c>
      <c r="AE82" s="208">
        <v>5.6000000000000001E-2</v>
      </c>
      <c r="AF82" s="208" t="s">
        <v>255</v>
      </c>
      <c r="AG82" s="208">
        <v>123.757533918843</v>
      </c>
      <c r="AH82" s="208">
        <v>1514417</v>
      </c>
      <c r="AI82" s="208">
        <v>11237423.539999999</v>
      </c>
      <c r="AJ82" s="208">
        <v>1048.8489564218139</v>
      </c>
      <c r="AK82" s="208">
        <v>2369.1320240661048</v>
      </c>
      <c r="AL82" s="208">
        <v>6810.549781416652</v>
      </c>
      <c r="AM82" s="208">
        <v>102.08062877228278</v>
      </c>
    </row>
    <row r="83" spans="3:39" x14ac:dyDescent="0.2">
      <c r="C83" s="13" t="s">
        <v>97</v>
      </c>
      <c r="D83" s="22" t="s">
        <v>28</v>
      </c>
      <c r="E83" s="208" t="s">
        <v>769</v>
      </c>
      <c r="F83" s="208">
        <v>1.172314285714286E-6</v>
      </c>
      <c r="G83" s="208">
        <v>5.1968571428571441E-7</v>
      </c>
      <c r="H83" s="208">
        <v>3.1422857142857149E-8</v>
      </c>
      <c r="I83" s="208">
        <v>4.3508571428571435E-8</v>
      </c>
      <c r="J83" s="208">
        <v>4.4285715E-4</v>
      </c>
      <c r="K83" s="208"/>
      <c r="L83" s="208">
        <v>147000</v>
      </c>
      <c r="M83" s="208" t="s">
        <v>769</v>
      </c>
      <c r="N83" s="208" t="s">
        <v>769</v>
      </c>
      <c r="O83" s="208" t="s">
        <v>769</v>
      </c>
      <c r="P83" s="208" t="s">
        <v>769</v>
      </c>
      <c r="Q83" s="208" t="s">
        <v>769</v>
      </c>
      <c r="R83" s="208" t="s">
        <v>769</v>
      </c>
      <c r="S83" s="208" t="s">
        <v>769</v>
      </c>
      <c r="T83" s="208" t="s">
        <v>769</v>
      </c>
      <c r="U83" s="208">
        <v>0.51</v>
      </c>
      <c r="V83" s="208" t="s">
        <v>769</v>
      </c>
      <c r="W83" s="208" t="s">
        <v>358</v>
      </c>
      <c r="X83" s="208" t="s">
        <v>769</v>
      </c>
      <c r="Y83" s="208" t="s">
        <v>769</v>
      </c>
      <c r="Z83" s="208" t="s">
        <v>769</v>
      </c>
      <c r="AA83" s="208" t="s">
        <v>769</v>
      </c>
      <c r="AB83" s="208" t="s">
        <v>676</v>
      </c>
      <c r="AC83" s="208">
        <v>1.0000000000000001E-5</v>
      </c>
      <c r="AD83" s="208">
        <v>1.3</v>
      </c>
      <c r="AE83" s="208">
        <v>5.6000000000000001E-2</v>
      </c>
      <c r="AF83" s="208" t="s">
        <v>769</v>
      </c>
      <c r="AG83" s="208">
        <v>87.592048401037204</v>
      </c>
      <c r="AH83" s="208" t="s">
        <v>769</v>
      </c>
      <c r="AI83" s="208" t="s">
        <v>769</v>
      </c>
      <c r="AJ83" s="208">
        <v>1040.1292689963359</v>
      </c>
      <c r="AK83" s="208">
        <v>2563.9526750199957</v>
      </c>
      <c r="AL83" s="208">
        <v>7471.5850476311316</v>
      </c>
      <c r="AM83" s="208">
        <v>78.604698903992144</v>
      </c>
    </row>
    <row r="84" spans="3:39" x14ac:dyDescent="0.2">
      <c r="C84" s="13" t="s">
        <v>98</v>
      </c>
      <c r="D84" s="22" t="s">
        <v>31</v>
      </c>
      <c r="E84" s="208" t="s">
        <v>769</v>
      </c>
      <c r="F84" s="208">
        <v>1.7675092436974794E-7</v>
      </c>
      <c r="G84" s="208">
        <v>2.3471092436974794E-7</v>
      </c>
      <c r="H84" s="208">
        <v>6.7704201680672263E-9</v>
      </c>
      <c r="I84" s="208">
        <v>8.661176470588234E-9</v>
      </c>
      <c r="J84" s="208">
        <v>4.9159661999999998E-4</v>
      </c>
      <c r="K84" s="208">
        <v>4.0999999999999996</v>
      </c>
      <c r="L84" s="208">
        <v>238102.31</v>
      </c>
      <c r="M84" s="208" t="s">
        <v>769</v>
      </c>
      <c r="N84" s="208" t="s">
        <v>769</v>
      </c>
      <c r="O84" s="208" t="s">
        <v>769</v>
      </c>
      <c r="P84" s="208" t="s">
        <v>769</v>
      </c>
      <c r="Q84" s="208" t="s">
        <v>769</v>
      </c>
      <c r="R84" s="208" t="s">
        <v>769</v>
      </c>
      <c r="S84" s="208" t="s">
        <v>769</v>
      </c>
      <c r="T84" s="208" t="s">
        <v>769</v>
      </c>
      <c r="U84" s="208">
        <v>0.23599999999999999</v>
      </c>
      <c r="V84" s="208" t="s">
        <v>769</v>
      </c>
      <c r="W84" s="208" t="s">
        <v>357</v>
      </c>
      <c r="X84" s="208" t="s">
        <v>769</v>
      </c>
      <c r="Y84" s="208" t="s">
        <v>769</v>
      </c>
      <c r="Z84" s="208" t="s">
        <v>769</v>
      </c>
      <c r="AA84" s="208" t="s">
        <v>769</v>
      </c>
      <c r="AB84" s="208">
        <v>16490</v>
      </c>
      <c r="AC84" s="208">
        <v>1.0000000000000001E-5</v>
      </c>
      <c r="AD84" s="208">
        <v>1.3</v>
      </c>
      <c r="AE84" s="208">
        <v>5.6000000000000001E-2</v>
      </c>
      <c r="AF84" s="208" t="s">
        <v>769</v>
      </c>
      <c r="AG84" s="208">
        <v>9.0859587844917904</v>
      </c>
      <c r="AH84" s="208" t="s">
        <v>769</v>
      </c>
      <c r="AI84" s="208" t="s">
        <v>769</v>
      </c>
      <c r="AJ84" s="208">
        <v>1538.9554253677229</v>
      </c>
      <c r="AK84" s="208">
        <v>4866.3207771282459</v>
      </c>
      <c r="AL84" s="208">
        <v>13795.476765864072</v>
      </c>
      <c r="AM84" s="208">
        <v>99.351026922264197</v>
      </c>
    </row>
    <row r="85" spans="3:39" x14ac:dyDescent="0.2">
      <c r="C85" s="13" t="s">
        <v>99</v>
      </c>
      <c r="D85" s="22" t="s">
        <v>31</v>
      </c>
      <c r="E85" s="208" t="s">
        <v>769</v>
      </c>
      <c r="F85" s="208" t="s">
        <v>769</v>
      </c>
      <c r="G85" s="208" t="s">
        <v>769</v>
      </c>
      <c r="H85" s="208" t="s">
        <v>769</v>
      </c>
      <c r="I85" s="208" t="s">
        <v>769</v>
      </c>
      <c r="J85" s="208" t="s">
        <v>769</v>
      </c>
      <c r="K85" s="208" t="s">
        <v>769</v>
      </c>
      <c r="L85" s="208">
        <v>193440.54</v>
      </c>
      <c r="M85" s="208" t="s">
        <v>769</v>
      </c>
      <c r="N85" s="208" t="s">
        <v>769</v>
      </c>
      <c r="O85" s="208" t="s">
        <v>769</v>
      </c>
      <c r="P85" s="208" t="s">
        <v>769</v>
      </c>
      <c r="Q85" s="208" t="s">
        <v>769</v>
      </c>
      <c r="R85" s="208" t="s">
        <v>769</v>
      </c>
      <c r="S85" s="208" t="s">
        <v>769</v>
      </c>
      <c r="T85" s="208" t="s">
        <v>769</v>
      </c>
      <c r="U85" s="208" t="s">
        <v>769</v>
      </c>
      <c r="V85" s="208" t="s">
        <v>769</v>
      </c>
      <c r="W85" s="208" t="s">
        <v>357</v>
      </c>
      <c r="X85" s="208" t="s">
        <v>769</v>
      </c>
      <c r="Y85" s="208" t="s">
        <v>769</v>
      </c>
      <c r="Z85" s="208" t="s">
        <v>769</v>
      </c>
      <c r="AA85" s="208" t="s">
        <v>769</v>
      </c>
      <c r="AB85" s="208">
        <v>2640</v>
      </c>
      <c r="AC85" s="208">
        <v>1.0000000000000001E-5</v>
      </c>
      <c r="AD85" s="208">
        <v>1.3</v>
      </c>
      <c r="AE85" s="208">
        <v>5.6000000000000001E-2</v>
      </c>
      <c r="AF85" s="208" t="s">
        <v>769</v>
      </c>
      <c r="AG85" s="208">
        <v>260.86126482213399</v>
      </c>
      <c r="AH85" s="208" t="s">
        <v>769</v>
      </c>
      <c r="AI85" s="208" t="s">
        <v>769</v>
      </c>
      <c r="AJ85" s="208">
        <v>1880.6796901526711</v>
      </c>
      <c r="AK85" s="208">
        <v>5278.4990232779128</v>
      </c>
      <c r="AL85" s="208">
        <v>14977.571529337622</v>
      </c>
      <c r="AM85" s="208">
        <v>105.35362986381006</v>
      </c>
    </row>
    <row r="86" spans="3:39" x14ac:dyDescent="0.2">
      <c r="C86" s="13" t="s">
        <v>100</v>
      </c>
      <c r="D86" s="22" t="s">
        <v>24</v>
      </c>
      <c r="E86" s="208" t="s">
        <v>769</v>
      </c>
      <c r="F86" s="208">
        <v>2.5692631578947367E-10</v>
      </c>
      <c r="G86" s="208">
        <v>7.6221473684210543E-8</v>
      </c>
      <c r="H86" s="208">
        <v>7.7077894736842112E-10</v>
      </c>
      <c r="I86" s="208">
        <v>7.7077894736842112E-10</v>
      </c>
      <c r="J86" s="208">
        <v>1.6701754999999999E-4</v>
      </c>
      <c r="K86" s="208">
        <v>3.42</v>
      </c>
      <c r="L86" s="208">
        <v>800000</v>
      </c>
      <c r="M86" s="208" t="s">
        <v>769</v>
      </c>
      <c r="N86" s="208" t="s">
        <v>769</v>
      </c>
      <c r="O86" s="208" t="s">
        <v>769</v>
      </c>
      <c r="P86" s="208" t="s">
        <v>769</v>
      </c>
      <c r="Q86" s="208" t="s">
        <v>769</v>
      </c>
      <c r="R86" s="208" t="s">
        <v>769</v>
      </c>
      <c r="S86" s="208" t="s">
        <v>769</v>
      </c>
      <c r="T86" s="208" t="s">
        <v>769</v>
      </c>
      <c r="U86" s="208">
        <v>0.6</v>
      </c>
      <c r="V86" s="208">
        <v>78000</v>
      </c>
      <c r="W86" s="208" t="s">
        <v>356</v>
      </c>
      <c r="X86" s="208" t="s">
        <v>769</v>
      </c>
      <c r="Y86" s="208" t="s">
        <v>769</v>
      </c>
      <c r="Z86" s="208" t="s">
        <v>769</v>
      </c>
      <c r="AA86" s="208" t="s">
        <v>769</v>
      </c>
      <c r="AB86" s="208">
        <v>17740</v>
      </c>
      <c r="AC86" s="208">
        <v>1.0000000000000001E-5</v>
      </c>
      <c r="AD86" s="208">
        <v>1.3</v>
      </c>
      <c r="AE86" s="208">
        <v>5.6000000000000001E-2</v>
      </c>
      <c r="AF86" s="208" t="s">
        <v>769</v>
      </c>
      <c r="AG86" s="208">
        <v>64.883480877567493</v>
      </c>
      <c r="AH86" s="208" t="s">
        <v>769</v>
      </c>
      <c r="AI86" s="208" t="s">
        <v>769</v>
      </c>
      <c r="AJ86" s="208">
        <v>3908.1955867655688</v>
      </c>
      <c r="AK86" s="208">
        <v>13090.753535927828</v>
      </c>
      <c r="AL86" s="208">
        <v>33395.13165339495</v>
      </c>
      <c r="AM86" s="208">
        <v>243.28431122131249</v>
      </c>
    </row>
    <row r="87" spans="3:39" x14ac:dyDescent="0.2">
      <c r="C87" s="13" t="s">
        <v>101</v>
      </c>
      <c r="D87" s="22" t="s">
        <v>24</v>
      </c>
      <c r="E87" s="208">
        <v>1.522</v>
      </c>
      <c r="F87" s="208">
        <v>1.0060792429555746E-6</v>
      </c>
      <c r="G87" s="208">
        <v>5.4993011789169467E-7</v>
      </c>
      <c r="H87" s="208">
        <v>2.2587054822281354E-8</v>
      </c>
      <c r="I87" s="208">
        <v>3.7357224170440718E-8</v>
      </c>
      <c r="J87" s="208">
        <v>4.2005743000000001E-4</v>
      </c>
      <c r="K87" s="208">
        <v>2.14</v>
      </c>
      <c r="L87" s="208">
        <v>50627876</v>
      </c>
      <c r="M87" s="208">
        <v>2.23E-2</v>
      </c>
      <c r="N87" s="208">
        <v>1129001.6348000001</v>
      </c>
      <c r="O87" s="208">
        <v>0.31709999999999999</v>
      </c>
      <c r="P87" s="208">
        <v>16054099.479599999</v>
      </c>
      <c r="Q87" s="208">
        <v>11</v>
      </c>
      <c r="R87" s="208">
        <v>105</v>
      </c>
      <c r="S87" s="208">
        <v>0.31573619999999997</v>
      </c>
      <c r="T87" s="208" t="s">
        <v>769</v>
      </c>
      <c r="U87" s="208" t="s">
        <v>769</v>
      </c>
      <c r="V87" s="208">
        <v>328000</v>
      </c>
      <c r="W87" s="208" t="s">
        <v>356</v>
      </c>
      <c r="X87" s="208" t="s">
        <v>769</v>
      </c>
      <c r="Y87" s="208" t="s">
        <v>769</v>
      </c>
      <c r="Z87" s="208" t="s">
        <v>769</v>
      </c>
      <c r="AA87" s="208" t="s">
        <v>769</v>
      </c>
      <c r="AB87" s="208">
        <v>64330</v>
      </c>
      <c r="AC87" s="208">
        <v>1.0000000000000001E-5</v>
      </c>
      <c r="AD87" s="208">
        <v>1.3</v>
      </c>
      <c r="AE87" s="208">
        <v>5.6000000000000001E-2</v>
      </c>
      <c r="AF87" s="208" t="s">
        <v>255</v>
      </c>
      <c r="AG87" s="208">
        <v>238.11808580669199</v>
      </c>
      <c r="AH87" s="208">
        <v>1056183</v>
      </c>
      <c r="AI87" s="208">
        <v>14997916.479599999</v>
      </c>
      <c r="AJ87" s="208">
        <v>4045.199015690102</v>
      </c>
      <c r="AK87" s="208">
        <v>13155.087683448655</v>
      </c>
      <c r="AL87" s="208">
        <v>34046.94617867779</v>
      </c>
      <c r="AM87" s="208">
        <v>297.44828007811861</v>
      </c>
    </row>
    <row r="88" spans="3:39" x14ac:dyDescent="0.2">
      <c r="C88" s="13" t="s">
        <v>102</v>
      </c>
      <c r="D88" s="22" t="s">
        <v>31</v>
      </c>
      <c r="E88" s="208" t="s">
        <v>769</v>
      </c>
      <c r="F88" s="208">
        <v>4.8830239999999998E-8</v>
      </c>
      <c r="G88" s="208">
        <v>2.2463840000000002E-7</v>
      </c>
      <c r="H88" s="208">
        <v>3.44432E-9</v>
      </c>
      <c r="I88" s="208">
        <v>3.9563199999999994E-9</v>
      </c>
      <c r="J88" s="208">
        <v>4.8400002999999999E-4</v>
      </c>
      <c r="K88" s="208">
        <v>3.83</v>
      </c>
      <c r="L88" s="208">
        <v>3538274.9780000001</v>
      </c>
      <c r="M88" s="208" t="s">
        <v>769</v>
      </c>
      <c r="N88" s="208" t="s">
        <v>769</v>
      </c>
      <c r="O88" s="208" t="s">
        <v>769</v>
      </c>
      <c r="P88" s="208" t="s">
        <v>769</v>
      </c>
      <c r="Q88" s="208" t="s">
        <v>769</v>
      </c>
      <c r="R88" s="208" t="s">
        <v>769</v>
      </c>
      <c r="S88" s="208" t="s">
        <v>769</v>
      </c>
      <c r="T88" s="208" t="s">
        <v>769</v>
      </c>
      <c r="U88" s="208" t="s">
        <v>769</v>
      </c>
      <c r="V88" s="208" t="s">
        <v>769</v>
      </c>
      <c r="W88" s="208" t="s">
        <v>357</v>
      </c>
      <c r="X88" s="208" t="s">
        <v>769</v>
      </c>
      <c r="Y88" s="208" t="s">
        <v>769</v>
      </c>
      <c r="Z88" s="208" t="s">
        <v>769</v>
      </c>
      <c r="AA88" s="208" t="s">
        <v>769</v>
      </c>
      <c r="AB88" s="208">
        <v>6340</v>
      </c>
      <c r="AC88" s="208">
        <v>1.0000000000000001E-5</v>
      </c>
      <c r="AD88" s="208">
        <v>1.3</v>
      </c>
      <c r="AE88" s="208">
        <v>5.6000000000000001E-2</v>
      </c>
      <c r="AF88" s="208" t="s">
        <v>769</v>
      </c>
      <c r="AG88" s="208">
        <v>144.30008394386701</v>
      </c>
      <c r="AH88" s="208" t="s">
        <v>769</v>
      </c>
      <c r="AI88" s="208" t="s">
        <v>769</v>
      </c>
      <c r="AJ88" s="208">
        <v>4112.7376912309928</v>
      </c>
      <c r="AK88" s="208">
        <v>13373.339692357344</v>
      </c>
      <c r="AL88" s="208">
        <v>34829.058164995105</v>
      </c>
      <c r="AM88" s="208">
        <v>249.45775444293557</v>
      </c>
    </row>
    <row r="89" spans="3:39" x14ac:dyDescent="0.2">
      <c r="C89" s="13" t="s">
        <v>103</v>
      </c>
      <c r="D89" s="22" t="s">
        <v>24</v>
      </c>
      <c r="E89" s="208" t="s">
        <v>769</v>
      </c>
      <c r="F89" s="208">
        <v>1.08E-9</v>
      </c>
      <c r="G89" s="208">
        <v>3.2040000000000009E-7</v>
      </c>
      <c r="H89" s="208">
        <v>3.24E-9</v>
      </c>
      <c r="I89" s="208">
        <v>3.24E-9</v>
      </c>
      <c r="J89" s="208">
        <v>6.0000005999999992E-4</v>
      </c>
      <c r="K89" s="208" t="s">
        <v>769</v>
      </c>
      <c r="L89" s="208">
        <v>16954</v>
      </c>
      <c r="M89" s="208" t="s">
        <v>769</v>
      </c>
      <c r="N89" s="208" t="s">
        <v>769</v>
      </c>
      <c r="O89" s="208" t="s">
        <v>769</v>
      </c>
      <c r="P89" s="208" t="s">
        <v>769</v>
      </c>
      <c r="Q89" s="208" t="s">
        <v>769</v>
      </c>
      <c r="R89" s="208" t="s">
        <v>769</v>
      </c>
      <c r="S89" s="208" t="s">
        <v>769</v>
      </c>
      <c r="T89" s="208" t="s">
        <v>769</v>
      </c>
      <c r="U89" s="208" t="s">
        <v>769</v>
      </c>
      <c r="V89" s="208" t="s">
        <v>769</v>
      </c>
      <c r="W89" s="208" t="s">
        <v>355</v>
      </c>
      <c r="X89" s="208" t="s">
        <v>769</v>
      </c>
      <c r="Y89" s="208" t="s">
        <v>769</v>
      </c>
      <c r="Z89" s="208" t="s">
        <v>769</v>
      </c>
      <c r="AA89" s="208" t="s">
        <v>769</v>
      </c>
      <c r="AB89" s="208" t="s">
        <v>676</v>
      </c>
      <c r="AC89" s="208">
        <v>1.0000000000000001E-5</v>
      </c>
      <c r="AD89" s="208">
        <v>1.3</v>
      </c>
      <c r="AE89" s="208">
        <v>5.6000000000000001E-2</v>
      </c>
      <c r="AF89" s="208" t="s">
        <v>769</v>
      </c>
      <c r="AG89" s="208">
        <v>3266.9</v>
      </c>
      <c r="AH89" s="208" t="s">
        <v>769</v>
      </c>
      <c r="AI89" s="208" t="s">
        <v>769</v>
      </c>
      <c r="AJ89" s="208">
        <v>1005.2269850299776</v>
      </c>
      <c r="AK89" s="208">
        <v>2358.4755012422424</v>
      </c>
      <c r="AL89" s="208">
        <v>6803.8713653367577</v>
      </c>
      <c r="AM89" s="208">
        <v>79.909079777339372</v>
      </c>
    </row>
    <row r="90" spans="3:39" x14ac:dyDescent="0.2">
      <c r="C90" s="13" t="s">
        <v>104</v>
      </c>
      <c r="D90" s="22" t="s">
        <v>24</v>
      </c>
      <c r="E90" s="208">
        <v>-0.61899999999999999</v>
      </c>
      <c r="F90" s="208">
        <v>4.747565045533812E-7</v>
      </c>
      <c r="G90" s="208">
        <v>3.3589164890525108E-7</v>
      </c>
      <c r="H90" s="208">
        <v>1.0001736097655497E-8</v>
      </c>
      <c r="I90" s="208">
        <v>1.6109389653167994E-8</v>
      </c>
      <c r="J90" s="208">
        <v>3.7667119999999999E-4</v>
      </c>
      <c r="K90" s="208">
        <v>2.56</v>
      </c>
      <c r="L90" s="208">
        <v>5615352.5</v>
      </c>
      <c r="M90" s="208">
        <v>0.81</v>
      </c>
      <c r="N90" s="208">
        <v>4548435.5250000004</v>
      </c>
      <c r="O90" s="208">
        <v>1.6E-2</v>
      </c>
      <c r="P90" s="208">
        <v>89845.64</v>
      </c>
      <c r="Q90" s="208">
        <v>43</v>
      </c>
      <c r="R90" s="208">
        <v>1</v>
      </c>
      <c r="S90" s="208">
        <v>1.318133E-2</v>
      </c>
      <c r="T90" s="208" t="s">
        <v>769</v>
      </c>
      <c r="U90" s="208" t="s">
        <v>769</v>
      </c>
      <c r="V90" s="208">
        <v>112000</v>
      </c>
      <c r="W90" s="208" t="s">
        <v>355</v>
      </c>
      <c r="X90" s="208" t="s">
        <v>769</v>
      </c>
      <c r="Y90" s="208" t="s">
        <v>769</v>
      </c>
      <c r="Z90" s="208" t="s">
        <v>769</v>
      </c>
      <c r="AA90" s="208" t="s">
        <v>769</v>
      </c>
      <c r="AB90" s="208">
        <v>32760</v>
      </c>
      <c r="AC90" s="208">
        <v>1.0000000000000001E-5</v>
      </c>
      <c r="AD90" s="208">
        <v>1.3</v>
      </c>
      <c r="AE90" s="208">
        <v>5.6000000000000001E-2</v>
      </c>
      <c r="AF90" s="208" t="s">
        <v>255</v>
      </c>
      <c r="AG90" s="208">
        <v>81.995399534522889</v>
      </c>
      <c r="AH90" s="208">
        <v>6148</v>
      </c>
      <c r="AI90" s="208">
        <v>83697.64</v>
      </c>
      <c r="AJ90" s="208">
        <v>4061.9457557303417</v>
      </c>
      <c r="AK90" s="208">
        <v>13333.152437042252</v>
      </c>
      <c r="AL90" s="208">
        <v>34798.450907319544</v>
      </c>
      <c r="AM90" s="208">
        <v>275.54290730447008</v>
      </c>
    </row>
    <row r="91" spans="3:39" x14ac:dyDescent="0.2">
      <c r="C91" s="13" t="s">
        <v>105</v>
      </c>
      <c r="D91" s="22" t="s">
        <v>24</v>
      </c>
      <c r="E91" s="208" t="s">
        <v>769</v>
      </c>
      <c r="F91" s="208">
        <v>4.0532142857142862E-7</v>
      </c>
      <c r="G91" s="208">
        <v>1.7967857142857144E-7</v>
      </c>
      <c r="H91" s="208">
        <v>1.0864285714285714E-8</v>
      </c>
      <c r="I91" s="208">
        <v>1.5042857142857141E-8</v>
      </c>
      <c r="J91" s="208">
        <v>1.7857143E-4</v>
      </c>
      <c r="K91" s="208" t="s">
        <v>769</v>
      </c>
      <c r="L91" s="208">
        <v>50000</v>
      </c>
      <c r="M91" s="208" t="s">
        <v>769</v>
      </c>
      <c r="N91" s="208" t="s">
        <v>769</v>
      </c>
      <c r="O91" s="208" t="s">
        <v>769</v>
      </c>
      <c r="P91" s="208" t="s">
        <v>769</v>
      </c>
      <c r="Q91" s="208" t="s">
        <v>769</v>
      </c>
      <c r="R91" s="208" t="s">
        <v>769</v>
      </c>
      <c r="S91" s="208" t="s">
        <v>769</v>
      </c>
      <c r="T91" s="208" t="s">
        <v>769</v>
      </c>
      <c r="U91" s="208" t="s">
        <v>769</v>
      </c>
      <c r="V91" s="208" t="s">
        <v>769</v>
      </c>
      <c r="W91" s="208" t="s">
        <v>355</v>
      </c>
      <c r="X91" s="208" t="s">
        <v>769</v>
      </c>
      <c r="Y91" s="208" t="s">
        <v>769</v>
      </c>
      <c r="Z91" s="208" t="s">
        <v>769</v>
      </c>
      <c r="AA91" s="208" t="s">
        <v>769</v>
      </c>
      <c r="AB91" s="208" t="s">
        <v>676</v>
      </c>
      <c r="AC91" s="208">
        <v>1.0000000000000001E-5</v>
      </c>
      <c r="AD91" s="208">
        <v>1.3</v>
      </c>
      <c r="AE91" s="208">
        <v>5.6000000000000001E-2</v>
      </c>
      <c r="AF91" s="208" t="s">
        <v>769</v>
      </c>
      <c r="AG91" s="208">
        <v>0.13802655621878401</v>
      </c>
      <c r="AH91" s="208" t="s">
        <v>769</v>
      </c>
      <c r="AI91" s="208" t="s">
        <v>769</v>
      </c>
      <c r="AJ91" s="208">
        <v>916.53942638030196</v>
      </c>
      <c r="AK91" s="208">
        <v>3123.5144685733662</v>
      </c>
      <c r="AL91" s="208">
        <v>8799.1645171681394</v>
      </c>
      <c r="AM91" s="208">
        <v>90.443684771378841</v>
      </c>
    </row>
    <row r="92" spans="3:39" x14ac:dyDescent="0.2">
      <c r="C92" s="13" t="s">
        <v>106</v>
      </c>
      <c r="D92" s="22" t="s">
        <v>33</v>
      </c>
      <c r="E92" s="208" t="s">
        <v>769</v>
      </c>
      <c r="F92" s="208">
        <v>1.6761600000000001E-6</v>
      </c>
      <c r="G92" s="208">
        <v>7.4304000000000007E-7</v>
      </c>
      <c r="H92" s="208">
        <v>4.4928000000000004E-8</v>
      </c>
      <c r="I92" s="208">
        <v>6.2207999999999997E-8</v>
      </c>
      <c r="J92" s="208">
        <v>6.4000000000000005E-4</v>
      </c>
      <c r="K92" s="208" t="s">
        <v>769</v>
      </c>
      <c r="L92" s="208">
        <v>29536.113939999999</v>
      </c>
      <c r="M92" s="208" t="s">
        <v>769</v>
      </c>
      <c r="N92" s="208" t="s">
        <v>769</v>
      </c>
      <c r="O92" s="208" t="s">
        <v>769</v>
      </c>
      <c r="P92" s="208" t="s">
        <v>769</v>
      </c>
      <c r="Q92" s="208" t="s">
        <v>769</v>
      </c>
      <c r="R92" s="208" t="s">
        <v>769</v>
      </c>
      <c r="S92" s="208" t="s">
        <v>769</v>
      </c>
      <c r="T92" s="208" t="s">
        <v>769</v>
      </c>
      <c r="U92" s="208" t="s">
        <v>769</v>
      </c>
      <c r="V92" s="208" t="s">
        <v>769</v>
      </c>
      <c r="W92" s="208" t="s">
        <v>358</v>
      </c>
      <c r="X92" s="208" t="s">
        <v>769</v>
      </c>
      <c r="Y92" s="208" t="s">
        <v>769</v>
      </c>
      <c r="Z92" s="208" t="s">
        <v>769</v>
      </c>
      <c r="AA92" s="208" t="s">
        <v>769</v>
      </c>
      <c r="AB92" s="208">
        <v>13060</v>
      </c>
      <c r="AC92" s="208">
        <v>1.0000000000000001E-5</v>
      </c>
      <c r="AD92" s="208">
        <v>1.3</v>
      </c>
      <c r="AE92" s="208">
        <v>5.6000000000000001E-2</v>
      </c>
      <c r="AF92" s="208" t="s">
        <v>769</v>
      </c>
      <c r="AG92" s="208">
        <v>366.5</v>
      </c>
      <c r="AH92" s="208" t="s">
        <v>769</v>
      </c>
      <c r="AI92" s="208" t="s">
        <v>769</v>
      </c>
      <c r="AJ92" s="208">
        <v>997.9319755799728</v>
      </c>
      <c r="AK92" s="208">
        <v>2358.8525748066163</v>
      </c>
      <c r="AL92" s="208">
        <v>6805.1982901723622</v>
      </c>
      <c r="AM92" s="208">
        <v>59.817351806329789</v>
      </c>
    </row>
    <row r="93" spans="3:39" x14ac:dyDescent="0.2">
      <c r="C93" s="13" t="s">
        <v>107</v>
      </c>
      <c r="D93" s="22" t="s">
        <v>28</v>
      </c>
      <c r="E93" s="208" t="s">
        <v>769</v>
      </c>
      <c r="F93" s="208">
        <v>1.6562057142857145E-6</v>
      </c>
      <c r="G93" s="208">
        <v>7.3419428571428564E-7</v>
      </c>
      <c r="H93" s="208">
        <v>4.4393142857142859E-8</v>
      </c>
      <c r="I93" s="208">
        <v>6.1467428571428564E-8</v>
      </c>
      <c r="J93" s="208">
        <v>6.2285720000000006E-4</v>
      </c>
      <c r="K93" s="208" t="s">
        <v>769</v>
      </c>
      <c r="L93" s="208">
        <v>141500</v>
      </c>
      <c r="M93" s="208" t="s">
        <v>769</v>
      </c>
      <c r="N93" s="208" t="s">
        <v>769</v>
      </c>
      <c r="O93" s="208" t="s">
        <v>769</v>
      </c>
      <c r="P93" s="208" t="s">
        <v>769</v>
      </c>
      <c r="Q93" s="208" t="s">
        <v>769</v>
      </c>
      <c r="R93" s="208" t="s">
        <v>769</v>
      </c>
      <c r="S93" s="208" t="s">
        <v>769</v>
      </c>
      <c r="T93" s="208" t="s">
        <v>769</v>
      </c>
      <c r="U93" s="208">
        <v>1</v>
      </c>
      <c r="V93" s="208" t="s">
        <v>769</v>
      </c>
      <c r="W93" s="208" t="s">
        <v>358</v>
      </c>
      <c r="X93" s="208">
        <v>0.64</v>
      </c>
      <c r="Y93" s="208">
        <v>0.64</v>
      </c>
      <c r="Z93" s="208">
        <v>0.64</v>
      </c>
      <c r="AA93" s="208">
        <v>0.64</v>
      </c>
      <c r="AB93" s="208" t="s">
        <v>676</v>
      </c>
      <c r="AC93" s="208">
        <v>1.0000000000000001E-5</v>
      </c>
      <c r="AD93" s="208">
        <v>1.3</v>
      </c>
      <c r="AE93" s="208">
        <v>5.6000000000000001E-2</v>
      </c>
      <c r="AF93" s="208" t="s">
        <v>769</v>
      </c>
      <c r="AG93" s="208">
        <v>315.803703703704</v>
      </c>
      <c r="AH93" s="208" t="s">
        <v>769</v>
      </c>
      <c r="AI93" s="208" t="s">
        <v>769</v>
      </c>
      <c r="AJ93" s="208">
        <v>1734.6240490445527</v>
      </c>
      <c r="AK93" s="208">
        <v>4962.5701350762847</v>
      </c>
      <c r="AL93" s="208">
        <v>14572.342938127347</v>
      </c>
      <c r="AM93" s="208">
        <v>129.29704441155948</v>
      </c>
    </row>
    <row r="94" spans="3:39" x14ac:dyDescent="0.2">
      <c r="C94" s="13" t="s">
        <v>108</v>
      </c>
      <c r="D94" s="22" t="s">
        <v>33</v>
      </c>
      <c r="E94" s="208">
        <v>-1.532</v>
      </c>
      <c r="F94" s="208">
        <v>8.9413030395136789E-7</v>
      </c>
      <c r="G94" s="208">
        <v>5.5623009118541049E-7</v>
      </c>
      <c r="H94" s="208">
        <v>3.7468723404255325E-8</v>
      </c>
      <c r="I94" s="208">
        <v>5.2973890577507606E-8</v>
      </c>
      <c r="J94" s="208">
        <v>3.2826752000000002E-4</v>
      </c>
      <c r="K94" s="208">
        <v>4.8099999999999996</v>
      </c>
      <c r="L94" s="208">
        <v>2756740.9709999999</v>
      </c>
      <c r="M94" s="208">
        <v>0.14800000000000002</v>
      </c>
      <c r="N94" s="208">
        <v>407997.66370799998</v>
      </c>
      <c r="O94" s="208">
        <v>0.05</v>
      </c>
      <c r="P94" s="208">
        <v>137837.04855000001</v>
      </c>
      <c r="Q94" s="208">
        <v>4</v>
      </c>
      <c r="R94" s="208">
        <v>1</v>
      </c>
      <c r="S94" s="208">
        <v>7.9045867296149375E-2</v>
      </c>
      <c r="T94" s="208" t="s">
        <v>769</v>
      </c>
      <c r="U94" s="208">
        <v>0.77700000000000002</v>
      </c>
      <c r="V94" s="208">
        <v>73000</v>
      </c>
      <c r="W94" s="208" t="s">
        <v>358</v>
      </c>
      <c r="X94" s="208">
        <v>0.154</v>
      </c>
      <c r="Y94" s="208">
        <v>0.154</v>
      </c>
      <c r="Z94" s="208">
        <v>0.154</v>
      </c>
      <c r="AA94" s="208">
        <v>0.154</v>
      </c>
      <c r="AB94" s="208">
        <v>11810</v>
      </c>
      <c r="AC94" s="208">
        <v>1.0000000000000001E-5</v>
      </c>
      <c r="AD94" s="208">
        <v>1.3</v>
      </c>
      <c r="AE94" s="208">
        <v>5.6000000000000001E-2</v>
      </c>
      <c r="AF94" s="208" t="s">
        <v>255</v>
      </c>
      <c r="AG94" s="208">
        <v>159.66541620007499</v>
      </c>
      <c r="AH94" s="208">
        <v>1347</v>
      </c>
      <c r="AI94" s="208">
        <v>136490.04855000001</v>
      </c>
      <c r="AJ94" s="208">
        <v>3985.2769736503874</v>
      </c>
      <c r="AK94" s="208">
        <v>13112.66478728087</v>
      </c>
      <c r="AL94" s="208">
        <v>33622.519551397483</v>
      </c>
      <c r="AM94" s="208">
        <v>248.13022944193008</v>
      </c>
    </row>
    <row r="95" spans="3:39" x14ac:dyDescent="0.2">
      <c r="C95" s="13" t="s">
        <v>109</v>
      </c>
      <c r="D95" s="22" t="s">
        <v>31</v>
      </c>
      <c r="E95" s="208" t="s">
        <v>769</v>
      </c>
      <c r="F95" s="208">
        <v>5.8582894736842105E-7</v>
      </c>
      <c r="G95" s="208">
        <v>2.5969736842105268E-7</v>
      </c>
      <c r="H95" s="208">
        <v>1.570263157894737E-8</v>
      </c>
      <c r="I95" s="208">
        <v>2.1742105263157898E-8</v>
      </c>
      <c r="J95" s="208">
        <v>2.3684212E-4</v>
      </c>
      <c r="K95" s="208">
        <v>6.39</v>
      </c>
      <c r="L95" s="208">
        <v>596911</v>
      </c>
      <c r="M95" s="208" t="s">
        <v>769</v>
      </c>
      <c r="N95" s="208" t="s">
        <v>769</v>
      </c>
      <c r="O95" s="208" t="s">
        <v>769</v>
      </c>
      <c r="P95" s="208" t="s">
        <v>769</v>
      </c>
      <c r="Q95" s="208" t="s">
        <v>769</v>
      </c>
      <c r="R95" s="208" t="s">
        <v>769</v>
      </c>
      <c r="S95" s="208" t="s">
        <v>769</v>
      </c>
      <c r="T95" s="208" t="s">
        <v>769</v>
      </c>
      <c r="U95" s="208" t="s">
        <v>769</v>
      </c>
      <c r="V95" s="208" t="s">
        <v>769</v>
      </c>
      <c r="W95" s="208" t="s">
        <v>357</v>
      </c>
      <c r="X95" s="208" t="s">
        <v>769</v>
      </c>
      <c r="Y95" s="208" t="s">
        <v>769</v>
      </c>
      <c r="Z95" s="208" t="s">
        <v>769</v>
      </c>
      <c r="AA95" s="208" t="s">
        <v>769</v>
      </c>
      <c r="AB95" s="208">
        <v>3210</v>
      </c>
      <c r="AC95" s="208">
        <v>1.0000000000000001E-5</v>
      </c>
      <c r="AD95" s="208">
        <v>1.3</v>
      </c>
      <c r="AE95" s="208">
        <v>5.6000000000000001E-2</v>
      </c>
      <c r="AF95" s="208" t="s">
        <v>769</v>
      </c>
      <c r="AG95" s="208">
        <v>55.070429757447499</v>
      </c>
      <c r="AH95" s="208" t="s">
        <v>769</v>
      </c>
      <c r="AI95" s="208" t="s">
        <v>769</v>
      </c>
      <c r="AJ95" s="208">
        <v>3891.22289406964</v>
      </c>
      <c r="AK95" s="208">
        <v>13053.862314330025</v>
      </c>
      <c r="AL95" s="208">
        <v>33447.303627741567</v>
      </c>
      <c r="AM95" s="208">
        <v>236.26303929216104</v>
      </c>
    </row>
    <row r="96" spans="3:39" x14ac:dyDescent="0.2">
      <c r="C96" s="13" t="s">
        <v>110</v>
      </c>
      <c r="D96" s="22" t="s">
        <v>31</v>
      </c>
      <c r="E96" s="208" t="s">
        <v>769</v>
      </c>
      <c r="F96" s="208">
        <v>1.7460000000000001E-6</v>
      </c>
      <c r="G96" s="208">
        <v>7.7400000000000002E-7</v>
      </c>
      <c r="H96" s="208">
        <v>4.6800000000000002E-8</v>
      </c>
      <c r="I96" s="208">
        <v>6.4799999999999998E-8</v>
      </c>
      <c r="J96" s="208">
        <v>6.2500000000000001E-4</v>
      </c>
      <c r="K96" s="208">
        <v>6.81</v>
      </c>
      <c r="L96" s="208">
        <v>289514</v>
      </c>
      <c r="M96" s="208" t="s">
        <v>769</v>
      </c>
      <c r="N96" s="208" t="s">
        <v>769</v>
      </c>
      <c r="O96" s="208" t="s">
        <v>769</v>
      </c>
      <c r="P96" s="208" t="s">
        <v>769</v>
      </c>
      <c r="Q96" s="208" t="s">
        <v>769</v>
      </c>
      <c r="R96" s="208" t="s">
        <v>769</v>
      </c>
      <c r="S96" s="208" t="s">
        <v>769</v>
      </c>
      <c r="T96" s="208" t="s">
        <v>769</v>
      </c>
      <c r="U96" s="208" t="s">
        <v>769</v>
      </c>
      <c r="V96" s="208" t="s">
        <v>769</v>
      </c>
      <c r="W96" s="208" t="s">
        <v>357</v>
      </c>
      <c r="X96" s="208" t="s">
        <v>769</v>
      </c>
      <c r="Y96" s="208" t="s">
        <v>769</v>
      </c>
      <c r="Z96" s="208" t="s">
        <v>769</v>
      </c>
      <c r="AA96" s="208" t="s">
        <v>769</v>
      </c>
      <c r="AB96" s="208">
        <v>2300</v>
      </c>
      <c r="AC96" s="208">
        <v>1.0000000000000001E-5</v>
      </c>
      <c r="AD96" s="208">
        <v>1.3</v>
      </c>
      <c r="AE96" s="208">
        <v>5.6000000000000001E-2</v>
      </c>
      <c r="AF96" s="208" t="s">
        <v>769</v>
      </c>
      <c r="AG96" s="208">
        <v>73.283108108108095</v>
      </c>
      <c r="AH96" s="208" t="s">
        <v>769</v>
      </c>
      <c r="AI96" s="208" t="s">
        <v>769</v>
      </c>
      <c r="AJ96" s="208">
        <v>3827.0330024536943</v>
      </c>
      <c r="AK96" s="208">
        <v>12905.229157428015</v>
      </c>
      <c r="AL96" s="208">
        <v>32739.553174548353</v>
      </c>
      <c r="AM96" s="208">
        <v>233.54502025260183</v>
      </c>
    </row>
    <row r="97" spans="3:39" x14ac:dyDescent="0.2">
      <c r="C97" s="13" t="s">
        <v>111</v>
      </c>
      <c r="D97" s="22" t="s">
        <v>33</v>
      </c>
      <c r="E97" s="208" t="s">
        <v>769</v>
      </c>
      <c r="F97" s="208">
        <v>1.6851031578947369E-6</v>
      </c>
      <c r="G97" s="208">
        <v>7.591263157894738E-7</v>
      </c>
      <c r="H97" s="208">
        <v>4.6256842105263171E-8</v>
      </c>
      <c r="I97" s="208">
        <v>6.3783157894736847E-8</v>
      </c>
      <c r="J97" s="208">
        <v>6.4035090000000002E-4</v>
      </c>
      <c r="K97" s="208">
        <v>3.5</v>
      </c>
      <c r="L97" s="208">
        <v>179251.5</v>
      </c>
      <c r="M97" s="208" t="s">
        <v>769</v>
      </c>
      <c r="N97" s="208" t="s">
        <v>769</v>
      </c>
      <c r="O97" s="208" t="s">
        <v>769</v>
      </c>
      <c r="P97" s="208" t="s">
        <v>769</v>
      </c>
      <c r="Q97" s="208" t="s">
        <v>769</v>
      </c>
      <c r="R97" s="208" t="s">
        <v>769</v>
      </c>
      <c r="S97" s="208" t="s">
        <v>769</v>
      </c>
      <c r="T97" s="208" t="s">
        <v>769</v>
      </c>
      <c r="U97" s="208">
        <v>0.89</v>
      </c>
      <c r="V97" s="208" t="s">
        <v>769</v>
      </c>
      <c r="W97" s="208" t="s">
        <v>358</v>
      </c>
      <c r="X97" s="208" t="s">
        <v>769</v>
      </c>
      <c r="Y97" s="208" t="s">
        <v>769</v>
      </c>
      <c r="Z97" s="208" t="s">
        <v>769</v>
      </c>
      <c r="AA97" s="208" t="s">
        <v>769</v>
      </c>
      <c r="AB97" s="208">
        <v>21900</v>
      </c>
      <c r="AC97" s="208">
        <v>1.0000000000000001E-5</v>
      </c>
      <c r="AD97" s="208">
        <v>1.3</v>
      </c>
      <c r="AE97" s="208">
        <v>5.6000000000000001E-2</v>
      </c>
      <c r="AF97" s="208" t="s">
        <v>769</v>
      </c>
      <c r="AG97" s="208">
        <v>4.0872085344170701</v>
      </c>
      <c r="AH97" s="208" t="s">
        <v>769</v>
      </c>
      <c r="AI97" s="208" t="s">
        <v>769</v>
      </c>
      <c r="AJ97" s="208">
        <v>3500.7085402142416</v>
      </c>
      <c r="AK97" s="208">
        <v>12805.540450646688</v>
      </c>
      <c r="AL97" s="208">
        <v>31168.604142905973</v>
      </c>
      <c r="AM97" s="208">
        <v>171.958801339329</v>
      </c>
    </row>
    <row r="98" spans="3:39" x14ac:dyDescent="0.2">
      <c r="C98" s="13" t="s">
        <v>112</v>
      </c>
      <c r="D98" s="22" t="s">
        <v>33</v>
      </c>
      <c r="E98" s="208" t="s">
        <v>769</v>
      </c>
      <c r="F98" s="208">
        <v>1.5109615384615386E-6</v>
      </c>
      <c r="G98" s="208">
        <v>6.6980769230769243E-7</v>
      </c>
      <c r="H98" s="208">
        <v>4.0500000000000012E-8</v>
      </c>
      <c r="I98" s="208">
        <v>5.6076923076923084E-8</v>
      </c>
      <c r="J98" s="208">
        <v>5.6730769999999999E-4</v>
      </c>
      <c r="K98" s="208">
        <v>4.29</v>
      </c>
      <c r="L98" s="208">
        <v>2309852.4550000001</v>
      </c>
      <c r="M98" s="208" t="s">
        <v>769</v>
      </c>
      <c r="N98" s="208" t="s">
        <v>769</v>
      </c>
      <c r="O98" s="208" t="s">
        <v>769</v>
      </c>
      <c r="P98" s="208" t="s">
        <v>769</v>
      </c>
      <c r="Q98" s="208" t="s">
        <v>769</v>
      </c>
      <c r="R98" s="208" t="s">
        <v>769</v>
      </c>
      <c r="S98" s="208" t="s">
        <v>769</v>
      </c>
      <c r="T98" s="208" t="s">
        <v>769</v>
      </c>
      <c r="U98" s="208" t="s">
        <v>769</v>
      </c>
      <c r="V98" s="208" t="s">
        <v>769</v>
      </c>
      <c r="W98" s="208" t="s">
        <v>357</v>
      </c>
      <c r="X98" s="208" t="s">
        <v>769</v>
      </c>
      <c r="Y98" s="208" t="s">
        <v>769</v>
      </c>
      <c r="Z98" s="208" t="s">
        <v>769</v>
      </c>
      <c r="AA98" s="208" t="s">
        <v>769</v>
      </c>
      <c r="AB98" s="208">
        <v>3120</v>
      </c>
      <c r="AC98" s="208">
        <v>1.0000000000000001E-5</v>
      </c>
      <c r="AD98" s="208">
        <v>1.3</v>
      </c>
      <c r="AE98" s="208">
        <v>5.6000000000000001E-2</v>
      </c>
      <c r="AF98" s="208" t="s">
        <v>769</v>
      </c>
      <c r="AG98" s="208">
        <v>415.368976777939</v>
      </c>
      <c r="AH98" s="208" t="s">
        <v>769</v>
      </c>
      <c r="AI98" s="208" t="s">
        <v>769</v>
      </c>
      <c r="AJ98" s="208">
        <v>3948.7826933322017</v>
      </c>
      <c r="AK98" s="208">
        <v>12909.326953140737</v>
      </c>
      <c r="AL98" s="208">
        <v>32706.751672634695</v>
      </c>
      <c r="AM98" s="208">
        <v>246.25077647656465</v>
      </c>
    </row>
    <row r="99" spans="3:39" x14ac:dyDescent="0.2">
      <c r="C99" s="13" t="s">
        <v>113</v>
      </c>
      <c r="D99" s="22" t="s">
        <v>33</v>
      </c>
      <c r="E99" s="208">
        <v>-1.3</v>
      </c>
      <c r="F99" s="208">
        <v>6.5663280599500419E-7</v>
      </c>
      <c r="G99" s="208">
        <v>3.6824313072439633E-7</v>
      </c>
      <c r="H99" s="208">
        <v>2.9582348043297249E-8</v>
      </c>
      <c r="I99" s="208">
        <v>3.8236136552872602E-8</v>
      </c>
      <c r="J99" s="208">
        <v>2.8226477000000002E-4</v>
      </c>
      <c r="K99" s="208">
        <v>3.87</v>
      </c>
      <c r="L99" s="208">
        <v>2162027.696</v>
      </c>
      <c r="M99" s="208" t="s">
        <v>769</v>
      </c>
      <c r="N99" s="208" t="s">
        <v>769</v>
      </c>
      <c r="O99" s="208" t="s">
        <v>769</v>
      </c>
      <c r="P99" s="208" t="s">
        <v>769</v>
      </c>
      <c r="Q99" s="208" t="s">
        <v>769</v>
      </c>
      <c r="R99" s="208" t="s">
        <v>769</v>
      </c>
      <c r="S99" s="208" t="s">
        <v>769</v>
      </c>
      <c r="T99" s="208" t="s">
        <v>769</v>
      </c>
      <c r="U99" s="208">
        <v>0.64599999999999991</v>
      </c>
      <c r="V99" s="208" t="s">
        <v>769</v>
      </c>
      <c r="W99" s="208" t="s">
        <v>357</v>
      </c>
      <c r="X99" s="208">
        <v>0.113</v>
      </c>
      <c r="Y99" s="208">
        <v>0.113</v>
      </c>
      <c r="Z99" s="208">
        <v>0.113</v>
      </c>
      <c r="AA99" s="208">
        <v>0.113</v>
      </c>
      <c r="AB99" s="208">
        <v>5690</v>
      </c>
      <c r="AC99" s="208">
        <v>1.0000000000000001E-5</v>
      </c>
      <c r="AD99" s="208">
        <v>1.3</v>
      </c>
      <c r="AE99" s="208">
        <v>5.6000000000000001E-2</v>
      </c>
      <c r="AF99" s="208" t="s">
        <v>769</v>
      </c>
      <c r="AG99" s="208">
        <v>91.861158280454006</v>
      </c>
      <c r="AH99" s="208" t="s">
        <v>769</v>
      </c>
      <c r="AI99" s="208" t="s">
        <v>769</v>
      </c>
      <c r="AJ99" s="208">
        <v>3840.5586109083297</v>
      </c>
      <c r="AK99" s="208">
        <v>13034.489424573079</v>
      </c>
      <c r="AL99" s="208">
        <v>33195.408666339819</v>
      </c>
      <c r="AM99" s="208">
        <v>252.94574790229203</v>
      </c>
    </row>
    <row r="100" spans="3:39" x14ac:dyDescent="0.2">
      <c r="C100" s="13" t="s">
        <v>114</v>
      </c>
      <c r="D100" s="22" t="s">
        <v>28</v>
      </c>
      <c r="E100" s="208" t="s">
        <v>769</v>
      </c>
      <c r="F100" s="208" t="s">
        <v>769</v>
      </c>
      <c r="G100" s="208" t="s">
        <v>769</v>
      </c>
      <c r="H100" s="208" t="s">
        <v>769</v>
      </c>
      <c r="I100" s="208" t="s">
        <v>769</v>
      </c>
      <c r="J100" s="208" t="s">
        <v>769</v>
      </c>
      <c r="K100" s="208" t="s">
        <v>769</v>
      </c>
      <c r="L100" s="208">
        <v>5679816.4649999999</v>
      </c>
      <c r="M100" s="208" t="s">
        <v>769</v>
      </c>
      <c r="N100" s="208" t="s">
        <v>769</v>
      </c>
      <c r="O100" s="208" t="s">
        <v>769</v>
      </c>
      <c r="P100" s="208" t="s">
        <v>769</v>
      </c>
      <c r="Q100" s="208" t="s">
        <v>769</v>
      </c>
      <c r="R100" s="208" t="s">
        <v>769</v>
      </c>
      <c r="S100" s="208" t="s">
        <v>769</v>
      </c>
      <c r="T100" s="208" t="s">
        <v>769</v>
      </c>
      <c r="U100" s="208">
        <v>1</v>
      </c>
      <c r="V100" s="208" t="s">
        <v>769</v>
      </c>
      <c r="W100" s="208" t="s">
        <v>355</v>
      </c>
      <c r="X100" s="208" t="s">
        <v>769</v>
      </c>
      <c r="Y100" s="208" t="s">
        <v>769</v>
      </c>
      <c r="Z100" s="208" t="s">
        <v>769</v>
      </c>
      <c r="AA100" s="208" t="s">
        <v>769</v>
      </c>
      <c r="AB100" s="208">
        <v>70450</v>
      </c>
      <c r="AC100" s="208">
        <v>1.0000000000000001E-5</v>
      </c>
      <c r="AD100" s="208">
        <v>1.3</v>
      </c>
      <c r="AE100" s="208">
        <v>5.6000000000000001E-2</v>
      </c>
      <c r="AF100" s="208" t="s">
        <v>769</v>
      </c>
      <c r="AG100" s="208">
        <v>7060.0952380952403</v>
      </c>
      <c r="AH100" s="208" t="s">
        <v>769</v>
      </c>
      <c r="AI100" s="208" t="s">
        <v>769</v>
      </c>
      <c r="AJ100" s="208">
        <v>30463.617038811615</v>
      </c>
      <c r="AK100" s="208">
        <v>110190.0148163618</v>
      </c>
      <c r="AL100" s="208">
        <v>347222.48866179213</v>
      </c>
      <c r="AM100" s="208">
        <v>1417.6832319052144</v>
      </c>
    </row>
    <row r="101" spans="3:39" x14ac:dyDescent="0.2">
      <c r="C101" s="13" t="s">
        <v>115</v>
      </c>
      <c r="D101" s="22" t="s">
        <v>24</v>
      </c>
      <c r="E101" s="208">
        <v>0.28299999999999997</v>
      </c>
      <c r="F101" s="208">
        <v>2.714340604026846E-7</v>
      </c>
      <c r="G101" s="208">
        <v>2.4285302013422818E-7</v>
      </c>
      <c r="H101" s="208">
        <v>1.1209228187919462E-8</v>
      </c>
      <c r="I101" s="208">
        <v>1.5823993288590601E-8</v>
      </c>
      <c r="J101" s="208">
        <v>2.2874722E-4</v>
      </c>
      <c r="K101" s="208">
        <v>2.36</v>
      </c>
      <c r="L101" s="208">
        <v>3780970.25</v>
      </c>
      <c r="M101" s="208">
        <v>0.53700000000000003</v>
      </c>
      <c r="N101" s="208">
        <v>2030381.02425</v>
      </c>
      <c r="O101" s="208">
        <v>0.1414</v>
      </c>
      <c r="P101" s="208">
        <v>534629.19334999996</v>
      </c>
      <c r="Q101" s="208">
        <v>19</v>
      </c>
      <c r="R101" s="208">
        <v>4</v>
      </c>
      <c r="S101" s="208">
        <v>0.1358</v>
      </c>
      <c r="T101" s="208" t="s">
        <v>769</v>
      </c>
      <c r="U101" s="208" t="s">
        <v>769</v>
      </c>
      <c r="V101" s="208">
        <v>148000</v>
      </c>
      <c r="W101" s="208" t="s">
        <v>356</v>
      </c>
      <c r="X101" s="208" t="s">
        <v>769</v>
      </c>
      <c r="Y101" s="208" t="s">
        <v>769</v>
      </c>
      <c r="Z101" s="208" t="s">
        <v>769</v>
      </c>
      <c r="AA101" s="208" t="s">
        <v>769</v>
      </c>
      <c r="AB101" s="208">
        <v>37420</v>
      </c>
      <c r="AC101" s="208">
        <v>1.0000000000000001E-5</v>
      </c>
      <c r="AD101" s="208">
        <v>1.3</v>
      </c>
      <c r="AE101" s="208">
        <v>5.6000000000000001E-2</v>
      </c>
      <c r="AF101" s="208" t="s">
        <v>255</v>
      </c>
      <c r="AG101" s="208">
        <v>106.398104317335</v>
      </c>
      <c r="AH101" s="208">
        <v>74222</v>
      </c>
      <c r="AI101" s="208">
        <v>460407.19335000002</v>
      </c>
      <c r="AJ101" s="208">
        <v>4551.7762600686456</v>
      </c>
      <c r="AK101" s="208">
        <v>14987.806244300957</v>
      </c>
      <c r="AL101" s="208">
        <v>42297.772736241881</v>
      </c>
      <c r="AM101" s="208">
        <v>291.79187790996082</v>
      </c>
    </row>
    <row r="102" spans="3:39" x14ac:dyDescent="0.2">
      <c r="C102" s="13" t="s">
        <v>116</v>
      </c>
      <c r="D102" s="22" t="s">
        <v>24</v>
      </c>
      <c r="E102" s="208">
        <v>1.3540000000000001</v>
      </c>
      <c r="F102" s="208">
        <v>0</v>
      </c>
      <c r="G102" s="208">
        <v>0</v>
      </c>
      <c r="H102" s="208">
        <v>0</v>
      </c>
      <c r="I102" s="208">
        <v>0</v>
      </c>
      <c r="J102" s="208">
        <v>2.7679918000000002E-5</v>
      </c>
      <c r="K102" s="208" t="s">
        <v>769</v>
      </c>
      <c r="L102" s="208">
        <v>225270.4063</v>
      </c>
      <c r="M102" s="208" t="s">
        <v>769</v>
      </c>
      <c r="N102" s="208" t="s">
        <v>769</v>
      </c>
      <c r="O102" s="208" t="s">
        <v>769</v>
      </c>
      <c r="P102" s="208" t="s">
        <v>769</v>
      </c>
      <c r="Q102" s="208">
        <v>35</v>
      </c>
      <c r="R102" s="208" t="s">
        <v>769</v>
      </c>
      <c r="S102" s="208" t="s">
        <v>769</v>
      </c>
      <c r="T102" s="208" t="s">
        <v>769</v>
      </c>
      <c r="U102" s="208">
        <v>1</v>
      </c>
      <c r="V102" s="208" t="s">
        <v>769</v>
      </c>
      <c r="W102" s="208" t="s">
        <v>355</v>
      </c>
      <c r="X102" s="208" t="s">
        <v>769</v>
      </c>
      <c r="Y102" s="208" t="s">
        <v>769</v>
      </c>
      <c r="Z102" s="208" t="s">
        <v>769</v>
      </c>
      <c r="AA102" s="208" t="s">
        <v>769</v>
      </c>
      <c r="AB102" s="208">
        <v>62050</v>
      </c>
      <c r="AC102" s="208">
        <v>1.0000000000000001E-5</v>
      </c>
      <c r="AD102" s="208">
        <v>1.3</v>
      </c>
      <c r="AE102" s="208">
        <v>5.6000000000000001E-2</v>
      </c>
      <c r="AF102" s="208" t="s">
        <v>769</v>
      </c>
      <c r="AG102" s="208">
        <v>3.69453535654071</v>
      </c>
      <c r="AH102" s="208" t="s">
        <v>769</v>
      </c>
      <c r="AI102" s="208" t="s">
        <v>769</v>
      </c>
      <c r="AJ102" s="208">
        <v>823.19423986002403</v>
      </c>
      <c r="AK102" s="208">
        <v>2410.6206597089476</v>
      </c>
      <c r="AL102" s="208">
        <v>7021.6943836970413</v>
      </c>
      <c r="AM102" s="208">
        <v>64.514982346731983</v>
      </c>
    </row>
    <row r="103" spans="3:39" x14ac:dyDescent="0.2">
      <c r="C103" s="13" t="s">
        <v>117</v>
      </c>
      <c r="D103" s="22" t="s">
        <v>22</v>
      </c>
      <c r="E103" s="208">
        <v>-0.75900000000000001</v>
      </c>
      <c r="F103" s="208">
        <v>2.1971814482394858E-6</v>
      </c>
      <c r="G103" s="208">
        <v>9.8900582352877856E-7</v>
      </c>
      <c r="H103" s="208">
        <v>2.684876349583957E-8</v>
      </c>
      <c r="I103" s="208">
        <v>5.6694789825509418E-8</v>
      </c>
      <c r="J103" s="208">
        <v>7.0513140000000004E-4</v>
      </c>
      <c r="K103" s="208">
        <v>4.38</v>
      </c>
      <c r="L103" s="208">
        <v>189750000</v>
      </c>
      <c r="M103" s="208">
        <v>0.11</v>
      </c>
      <c r="N103" s="208">
        <v>20872500</v>
      </c>
      <c r="O103" s="208">
        <v>0</v>
      </c>
      <c r="P103" s="208">
        <v>0</v>
      </c>
      <c r="Q103" s="208">
        <v>198</v>
      </c>
      <c r="R103" s="208">
        <v>0</v>
      </c>
      <c r="S103" s="208">
        <v>0</v>
      </c>
      <c r="T103" s="208">
        <v>0.6</v>
      </c>
      <c r="U103" s="208" t="s">
        <v>769</v>
      </c>
      <c r="V103" s="208">
        <v>77000</v>
      </c>
      <c r="W103" s="208" t="s">
        <v>357</v>
      </c>
      <c r="X103" s="208" t="s">
        <v>769</v>
      </c>
      <c r="Y103" s="208" t="s">
        <v>769</v>
      </c>
      <c r="Z103" s="208" t="s">
        <v>769</v>
      </c>
      <c r="AA103" s="208" t="s">
        <v>769</v>
      </c>
      <c r="AB103" s="208">
        <v>7990</v>
      </c>
      <c r="AC103" s="208">
        <v>1.0000000000000001E-5</v>
      </c>
      <c r="AD103" s="208">
        <v>1.3</v>
      </c>
      <c r="AE103" s="208">
        <v>5.6000000000000001E-2</v>
      </c>
      <c r="AF103" s="208" t="s">
        <v>258</v>
      </c>
      <c r="AG103" s="208">
        <v>473.41873274160093</v>
      </c>
      <c r="AH103" s="208">
        <v>0</v>
      </c>
      <c r="AI103" s="208">
        <v>0</v>
      </c>
      <c r="AJ103" s="208">
        <v>14011.661444339599</v>
      </c>
      <c r="AK103" s="208">
        <v>49027.809209929168</v>
      </c>
      <c r="AL103" s="208">
        <v>144016.44596233542</v>
      </c>
      <c r="AM103" s="208">
        <v>594.72677411159384</v>
      </c>
    </row>
    <row r="104" spans="3:39" x14ac:dyDescent="0.2">
      <c r="C104" s="13" t="s">
        <v>118</v>
      </c>
      <c r="D104" s="22" t="s">
        <v>28</v>
      </c>
      <c r="E104" s="208">
        <v>-0.75800000000000001</v>
      </c>
      <c r="F104" s="208">
        <v>1.8517148731786296E-6</v>
      </c>
      <c r="G104" s="208">
        <v>9.1336492174851606E-7</v>
      </c>
      <c r="H104" s="208">
        <v>2.8696373448461955E-8</v>
      </c>
      <c r="I104" s="208">
        <v>5.4514614139233686E-8</v>
      </c>
      <c r="J104" s="208">
        <v>6.7593089999999992E-4</v>
      </c>
      <c r="K104" s="208">
        <v>3.86</v>
      </c>
      <c r="L104" s="208">
        <v>65200000</v>
      </c>
      <c r="M104" s="208">
        <v>0.83</v>
      </c>
      <c r="N104" s="208">
        <v>54116000</v>
      </c>
      <c r="O104" s="208">
        <v>0.17</v>
      </c>
      <c r="P104" s="208">
        <v>11084000</v>
      </c>
      <c r="Q104" s="208">
        <v>514</v>
      </c>
      <c r="R104" s="208">
        <v>73</v>
      </c>
      <c r="S104" s="208">
        <v>0.20247117809547724</v>
      </c>
      <c r="T104" s="208" t="s">
        <v>769</v>
      </c>
      <c r="U104" s="208">
        <v>0.45</v>
      </c>
      <c r="V104" s="208">
        <v>78000</v>
      </c>
      <c r="W104" s="208" t="s">
        <v>358</v>
      </c>
      <c r="X104" s="208" t="s">
        <v>769</v>
      </c>
      <c r="Y104" s="208" t="s">
        <v>769</v>
      </c>
      <c r="Z104" s="208" t="s">
        <v>769</v>
      </c>
      <c r="AA104" s="208" t="s">
        <v>769</v>
      </c>
      <c r="AB104" s="208">
        <v>12550</v>
      </c>
      <c r="AC104" s="208">
        <v>1.0000000000000001E-5</v>
      </c>
      <c r="AD104" s="208">
        <v>1.3</v>
      </c>
      <c r="AE104" s="208">
        <v>5.6000000000000001E-2</v>
      </c>
      <c r="AF104" s="208" t="s">
        <v>255</v>
      </c>
      <c r="AG104" s="208">
        <v>144.64738040148401</v>
      </c>
      <c r="AH104" s="208" t="s">
        <v>769</v>
      </c>
      <c r="AI104" s="208" t="s">
        <v>769</v>
      </c>
      <c r="AJ104" s="208">
        <v>3920.9143790894022</v>
      </c>
      <c r="AK104" s="208">
        <v>13184.090594694992</v>
      </c>
      <c r="AL104" s="208">
        <v>34308.339955420459</v>
      </c>
      <c r="AM104" s="208">
        <v>243.44742873208131</v>
      </c>
    </row>
    <row r="105" spans="3:39" x14ac:dyDescent="0.2">
      <c r="C105" s="13" t="s">
        <v>119</v>
      </c>
      <c r="D105" s="22" t="s">
        <v>26</v>
      </c>
      <c r="E105" s="208" t="s">
        <v>769</v>
      </c>
      <c r="F105" s="208">
        <v>1.6362225950076127E-7</v>
      </c>
      <c r="G105" s="208">
        <v>3.484148105592739E-7</v>
      </c>
      <c r="H105" s="208">
        <v>7.0607175480423981E-9</v>
      </c>
      <c r="I105" s="208">
        <v>8.7587039324390317E-9</v>
      </c>
      <c r="J105" s="208">
        <v>6.6515374999999996E-4</v>
      </c>
      <c r="K105" s="208" t="s">
        <v>769</v>
      </c>
      <c r="L105" s="208">
        <v>17885000</v>
      </c>
      <c r="M105" s="208" t="s">
        <v>769</v>
      </c>
      <c r="N105" s="208" t="s">
        <v>769</v>
      </c>
      <c r="O105" s="208" t="s">
        <v>769</v>
      </c>
      <c r="P105" s="208" t="s">
        <v>769</v>
      </c>
      <c r="Q105" s="208" t="s">
        <v>769</v>
      </c>
      <c r="R105" s="208" t="s">
        <v>769</v>
      </c>
      <c r="S105" s="208" t="s">
        <v>769</v>
      </c>
      <c r="T105" s="208" t="s">
        <v>769</v>
      </c>
      <c r="U105" s="208">
        <v>1</v>
      </c>
      <c r="V105" s="208" t="s">
        <v>769</v>
      </c>
      <c r="W105" s="208" t="s">
        <v>357</v>
      </c>
      <c r="X105" s="208" t="s">
        <v>769</v>
      </c>
      <c r="Y105" s="208" t="s">
        <v>769</v>
      </c>
      <c r="Z105" s="208" t="s">
        <v>769</v>
      </c>
      <c r="AA105" s="208" t="s">
        <v>769</v>
      </c>
      <c r="AB105" s="208">
        <v>15040</v>
      </c>
      <c r="AC105" s="208">
        <v>1.0000000000000001E-5</v>
      </c>
      <c r="AD105" s="208">
        <v>1.3</v>
      </c>
      <c r="AE105" s="208">
        <v>5.6000000000000001E-2</v>
      </c>
      <c r="AF105" s="208" t="s">
        <v>769</v>
      </c>
      <c r="AG105" s="208">
        <v>54.190096764252701</v>
      </c>
      <c r="AH105" s="208" t="s">
        <v>769</v>
      </c>
      <c r="AI105" s="208" t="s">
        <v>769</v>
      </c>
      <c r="AJ105" s="208">
        <v>4020.6403170003018</v>
      </c>
      <c r="AK105" s="208">
        <v>13274.729307462258</v>
      </c>
      <c r="AL105" s="208">
        <v>34185.146436034345</v>
      </c>
      <c r="AM105" s="208">
        <v>264.8906753891095</v>
      </c>
    </row>
    <row r="106" spans="3:39" x14ac:dyDescent="0.2">
      <c r="C106" s="13" t="s">
        <v>120</v>
      </c>
      <c r="D106" s="22" t="s">
        <v>26</v>
      </c>
      <c r="E106" s="208" t="s">
        <v>769</v>
      </c>
      <c r="F106" s="208">
        <v>5.081215779911757E-7</v>
      </c>
      <c r="G106" s="208">
        <v>4.4470262133402547E-7</v>
      </c>
      <c r="H106" s="208">
        <v>1.5822403322086687E-8</v>
      </c>
      <c r="I106" s="208">
        <v>2.1053132623929405E-8</v>
      </c>
      <c r="J106" s="208">
        <v>6.8881395999999999E-4</v>
      </c>
      <c r="K106" s="208">
        <v>6.35</v>
      </c>
      <c r="L106" s="208">
        <v>13140000</v>
      </c>
      <c r="M106" s="208" t="s">
        <v>769</v>
      </c>
      <c r="N106" s="208" t="s">
        <v>769</v>
      </c>
      <c r="O106" s="208" t="s">
        <v>769</v>
      </c>
      <c r="P106" s="208" t="s">
        <v>769</v>
      </c>
      <c r="Q106" s="208" t="s">
        <v>769</v>
      </c>
      <c r="R106" s="208" t="s">
        <v>769</v>
      </c>
      <c r="S106" s="208" t="s">
        <v>769</v>
      </c>
      <c r="T106" s="208" t="s">
        <v>769</v>
      </c>
      <c r="U106" s="208">
        <v>0.76</v>
      </c>
      <c r="V106" s="208">
        <v>54000</v>
      </c>
      <c r="W106" s="208" t="s">
        <v>357</v>
      </c>
      <c r="X106" s="208" t="s">
        <v>769</v>
      </c>
      <c r="Y106" s="208" t="s">
        <v>769</v>
      </c>
      <c r="Z106" s="208" t="s">
        <v>769</v>
      </c>
      <c r="AA106" s="208" t="s">
        <v>769</v>
      </c>
      <c r="AB106" s="208">
        <v>12470</v>
      </c>
      <c r="AC106" s="208">
        <v>1.0000000000000001E-5</v>
      </c>
      <c r="AD106" s="208">
        <v>1.3</v>
      </c>
      <c r="AE106" s="208">
        <v>5.6000000000000001E-2</v>
      </c>
      <c r="AF106" s="208" t="s">
        <v>769</v>
      </c>
      <c r="AG106" s="208">
        <v>100.278240518925</v>
      </c>
      <c r="AH106" s="208" t="s">
        <v>769</v>
      </c>
      <c r="AI106" s="208" t="s">
        <v>769</v>
      </c>
      <c r="AJ106" s="208">
        <v>4034.7331271794146</v>
      </c>
      <c r="AK106" s="208">
        <v>13109.697686068666</v>
      </c>
      <c r="AL106" s="208">
        <v>33368.475005895678</v>
      </c>
      <c r="AM106" s="208">
        <v>272.66959943677017</v>
      </c>
    </row>
    <row r="107" spans="3:39" x14ac:dyDescent="0.2">
      <c r="C107" s="13" t="s">
        <v>121</v>
      </c>
      <c r="D107" s="22" t="s">
        <v>24</v>
      </c>
      <c r="E107" s="208">
        <v>0.54600000000000004</v>
      </c>
      <c r="F107" s="208">
        <v>2.953403335318642E-7</v>
      </c>
      <c r="G107" s="208">
        <v>3.0983585467540212E-7</v>
      </c>
      <c r="H107" s="208">
        <v>9.7404764740917201E-9</v>
      </c>
      <c r="I107" s="208">
        <v>1.3955842763549733E-8</v>
      </c>
      <c r="J107" s="208">
        <v>3.3323404000000002E-4</v>
      </c>
      <c r="K107" s="208">
        <v>2.83</v>
      </c>
      <c r="L107" s="208">
        <v>2910655</v>
      </c>
      <c r="M107" s="208">
        <v>0.44</v>
      </c>
      <c r="N107" s="208">
        <v>1280688.2</v>
      </c>
      <c r="O107" s="208">
        <v>0.17</v>
      </c>
      <c r="P107" s="208">
        <v>494811.35</v>
      </c>
      <c r="Q107" s="208">
        <v>12</v>
      </c>
      <c r="R107" s="208">
        <v>3</v>
      </c>
      <c r="S107" s="208">
        <v>0.46512779999999998</v>
      </c>
      <c r="T107" s="208" t="s">
        <v>769</v>
      </c>
      <c r="U107" s="208" t="s">
        <v>769</v>
      </c>
      <c r="V107" s="208">
        <v>245000</v>
      </c>
      <c r="W107" s="208" t="s">
        <v>356</v>
      </c>
      <c r="X107" s="208" t="s">
        <v>769</v>
      </c>
      <c r="Y107" s="208" t="s">
        <v>769</v>
      </c>
      <c r="Z107" s="208" t="s">
        <v>769</v>
      </c>
      <c r="AA107" s="208" t="s">
        <v>769</v>
      </c>
      <c r="AB107" s="208">
        <v>85210</v>
      </c>
      <c r="AC107" s="208">
        <v>1.0000000000000001E-5</v>
      </c>
      <c r="AD107" s="208">
        <v>1.3</v>
      </c>
      <c r="AE107" s="208">
        <v>5.6000000000000001E-2</v>
      </c>
      <c r="AF107" s="208" t="s">
        <v>255</v>
      </c>
      <c r="AG107" s="208">
        <v>73.060879663231205</v>
      </c>
      <c r="AH107" s="208">
        <v>7488</v>
      </c>
      <c r="AI107" s="208">
        <v>487323.35</v>
      </c>
      <c r="AJ107" s="208">
        <v>3854.5105954176902</v>
      </c>
      <c r="AK107" s="208">
        <v>12924.326998957884</v>
      </c>
      <c r="AL107" s="208">
        <v>32786.114228342609</v>
      </c>
      <c r="AM107" s="208">
        <v>310.51624410378042</v>
      </c>
    </row>
    <row r="108" spans="3:39" x14ac:dyDescent="0.2">
      <c r="C108" s="13" t="s">
        <v>122</v>
      </c>
      <c r="D108" s="22" t="s">
        <v>24</v>
      </c>
      <c r="E108" s="208" t="s">
        <v>769</v>
      </c>
      <c r="F108" s="208" t="s">
        <v>769</v>
      </c>
      <c r="G108" s="208" t="s">
        <v>769</v>
      </c>
      <c r="H108" s="208" t="s">
        <v>769</v>
      </c>
      <c r="I108" s="208" t="s">
        <v>769</v>
      </c>
      <c r="J108" s="208" t="s">
        <v>769</v>
      </c>
      <c r="K108" s="208">
        <v>2.2799999999999998</v>
      </c>
      <c r="L108" s="208">
        <v>50551</v>
      </c>
      <c r="M108" s="208" t="s">
        <v>769</v>
      </c>
      <c r="N108" s="208" t="s">
        <v>769</v>
      </c>
      <c r="O108" s="208" t="s">
        <v>769</v>
      </c>
      <c r="P108" s="208" t="s">
        <v>769</v>
      </c>
      <c r="Q108" s="208" t="s">
        <v>769</v>
      </c>
      <c r="R108" s="208" t="s">
        <v>769</v>
      </c>
      <c r="S108" s="208" t="s">
        <v>769</v>
      </c>
      <c r="T108" s="208" t="s">
        <v>769</v>
      </c>
      <c r="U108" s="208" t="s">
        <v>769</v>
      </c>
      <c r="V108" s="208" t="s">
        <v>769</v>
      </c>
      <c r="W108" s="208" t="s">
        <v>356</v>
      </c>
      <c r="X108" s="208" t="s">
        <v>769</v>
      </c>
      <c r="Y108" s="208" t="s">
        <v>769</v>
      </c>
      <c r="Z108" s="208" t="s">
        <v>769</v>
      </c>
      <c r="AA108" s="208" t="s">
        <v>769</v>
      </c>
      <c r="AB108" s="208" t="s">
        <v>676</v>
      </c>
      <c r="AC108" s="208">
        <v>1.0000000000000001E-5</v>
      </c>
      <c r="AD108" s="208">
        <v>1.3</v>
      </c>
      <c r="AE108" s="208">
        <v>5.6000000000000001E-2</v>
      </c>
      <c r="AF108" s="208" t="s">
        <v>769</v>
      </c>
      <c r="AG108" s="208">
        <v>147.829824561404</v>
      </c>
      <c r="AH108" s="208" t="s">
        <v>769</v>
      </c>
      <c r="AI108" s="208" t="s">
        <v>769</v>
      </c>
      <c r="AJ108" s="208">
        <v>1123.184988157059</v>
      </c>
      <c r="AK108" s="208">
        <v>2776.7724172338253</v>
      </c>
      <c r="AL108" s="208">
        <v>8043.7679835692052</v>
      </c>
      <c r="AM108" s="208">
        <v>85.921492754501202</v>
      </c>
    </row>
    <row r="109" spans="3:39" x14ac:dyDescent="0.2">
      <c r="C109" s="13" t="s">
        <v>123</v>
      </c>
      <c r="D109" s="22" t="s">
        <v>26</v>
      </c>
      <c r="E109" s="208">
        <v>2.1000000000000001E-2</v>
      </c>
      <c r="F109" s="208">
        <v>6.5907790804900539E-7</v>
      </c>
      <c r="G109" s="208">
        <v>5.0558872348834143E-7</v>
      </c>
      <c r="H109" s="208">
        <v>9.5318666842313247E-9</v>
      </c>
      <c r="I109" s="208">
        <v>1.8340508496904229E-8</v>
      </c>
      <c r="J109" s="208">
        <v>5.8292710000000005E-4</v>
      </c>
      <c r="K109" s="208">
        <v>3.14</v>
      </c>
      <c r="L109" s="208">
        <v>5400000</v>
      </c>
      <c r="M109" s="208">
        <v>0.75</v>
      </c>
      <c r="N109" s="208">
        <v>4050000</v>
      </c>
      <c r="O109" s="208">
        <v>1.4999999999999999E-2</v>
      </c>
      <c r="P109" s="208">
        <v>81000</v>
      </c>
      <c r="Q109" s="208">
        <v>38</v>
      </c>
      <c r="R109" s="208">
        <v>1</v>
      </c>
      <c r="S109" s="208">
        <v>1.628226E-2</v>
      </c>
      <c r="T109" s="208" t="s">
        <v>769</v>
      </c>
      <c r="U109" s="208" t="s">
        <v>769</v>
      </c>
      <c r="V109" s="208">
        <v>386000</v>
      </c>
      <c r="W109" s="208" t="s">
        <v>357</v>
      </c>
      <c r="X109" s="208" t="s">
        <v>769</v>
      </c>
      <c r="Y109" s="208" t="s">
        <v>769</v>
      </c>
      <c r="Z109" s="208" t="s">
        <v>769</v>
      </c>
      <c r="AA109" s="208" t="s">
        <v>769</v>
      </c>
      <c r="AB109" s="208">
        <v>45530</v>
      </c>
      <c r="AC109" s="208">
        <v>1.0000000000000001E-5</v>
      </c>
      <c r="AD109" s="208">
        <v>1.3</v>
      </c>
      <c r="AE109" s="208">
        <v>5.6000000000000001E-2</v>
      </c>
      <c r="AF109" s="208" t="s">
        <v>255</v>
      </c>
      <c r="AG109" s="208">
        <v>433.05914972273598</v>
      </c>
      <c r="AH109" s="208" t="s">
        <v>769</v>
      </c>
      <c r="AI109" s="208" t="s">
        <v>769</v>
      </c>
      <c r="AJ109" s="208">
        <v>3333.7624018629049</v>
      </c>
      <c r="AK109" s="208">
        <v>9543.4188601886235</v>
      </c>
      <c r="AL109" s="208">
        <v>25421.896793141455</v>
      </c>
      <c r="AM109" s="208">
        <v>384.21639028872573</v>
      </c>
    </row>
    <row r="110" spans="3:39" x14ac:dyDescent="0.2">
      <c r="C110" s="13" t="s">
        <v>124</v>
      </c>
      <c r="D110" s="22" t="s">
        <v>24</v>
      </c>
      <c r="E110" s="208">
        <v>0.498</v>
      </c>
      <c r="F110" s="208">
        <v>3.3892285897985429E-7</v>
      </c>
      <c r="G110" s="208">
        <v>3.5756438062580365E-7</v>
      </c>
      <c r="H110" s="208">
        <v>1.4339472781825974E-8</v>
      </c>
      <c r="I110" s="208">
        <v>1.9674792113159015E-8</v>
      </c>
      <c r="J110" s="208">
        <v>3.7844693000000003E-4</v>
      </c>
      <c r="K110" s="208">
        <v>2.4</v>
      </c>
      <c r="L110" s="208">
        <v>30088400</v>
      </c>
      <c r="M110" s="208">
        <v>0.375</v>
      </c>
      <c r="N110" s="208">
        <v>11283150</v>
      </c>
      <c r="O110" s="208">
        <v>0.19</v>
      </c>
      <c r="P110" s="208">
        <v>5716796</v>
      </c>
      <c r="Q110" s="208">
        <v>107</v>
      </c>
      <c r="R110" s="208">
        <v>38</v>
      </c>
      <c r="S110" s="208">
        <v>0.20488629999999999</v>
      </c>
      <c r="T110" s="208" t="s">
        <v>769</v>
      </c>
      <c r="U110" s="208" t="s">
        <v>769</v>
      </c>
      <c r="V110" s="208">
        <v>178000</v>
      </c>
      <c r="W110" s="208" t="s">
        <v>356</v>
      </c>
      <c r="X110" s="208" t="s">
        <v>769</v>
      </c>
      <c r="Y110" s="208" t="s">
        <v>769</v>
      </c>
      <c r="Z110" s="208" t="s">
        <v>769</v>
      </c>
      <c r="AA110" s="208" t="s">
        <v>769</v>
      </c>
      <c r="AB110" s="208">
        <v>50540</v>
      </c>
      <c r="AC110" s="208">
        <v>1.0000000000000001E-5</v>
      </c>
      <c r="AD110" s="208">
        <v>1.3</v>
      </c>
      <c r="AE110" s="208">
        <v>5.6000000000000001E-2</v>
      </c>
      <c r="AF110" s="208" t="s">
        <v>255</v>
      </c>
      <c r="AG110" s="208">
        <v>199.96541625946401</v>
      </c>
      <c r="AH110" s="208">
        <v>374739</v>
      </c>
      <c r="AI110" s="208">
        <v>5342057</v>
      </c>
      <c r="AJ110" s="208">
        <v>5656.1004185951315</v>
      </c>
      <c r="AK110" s="208">
        <v>18004.328370332292</v>
      </c>
      <c r="AL110" s="208">
        <v>55001.629150195877</v>
      </c>
      <c r="AM110" s="208">
        <v>376.08484996322136</v>
      </c>
    </row>
    <row r="111" spans="3:39" x14ac:dyDescent="0.2">
      <c r="C111" s="13" t="s">
        <v>125</v>
      </c>
      <c r="D111" s="22" t="s">
        <v>33</v>
      </c>
      <c r="E111" s="208">
        <v>-3.6999999999999998E-2</v>
      </c>
      <c r="F111" s="208">
        <v>4.9185411764705896E-7</v>
      </c>
      <c r="G111" s="208">
        <v>4.1453333333333347E-7</v>
      </c>
      <c r="H111" s="208">
        <v>1.6597647058823534E-8</v>
      </c>
      <c r="I111" s="208">
        <v>2.1891764705882354E-8</v>
      </c>
      <c r="J111" s="208">
        <v>5.5555553999999991E-4</v>
      </c>
      <c r="K111" s="208">
        <v>3.06</v>
      </c>
      <c r="L111" s="208">
        <v>1051694.575</v>
      </c>
      <c r="M111" s="208">
        <v>1</v>
      </c>
      <c r="N111" s="208">
        <v>1051694.575</v>
      </c>
      <c r="O111" s="208">
        <v>0</v>
      </c>
      <c r="P111" s="208">
        <v>0</v>
      </c>
      <c r="Q111" s="208">
        <v>10</v>
      </c>
      <c r="R111" s="208">
        <v>0</v>
      </c>
      <c r="S111" s="208">
        <v>0</v>
      </c>
      <c r="T111" s="208" t="s">
        <v>769</v>
      </c>
      <c r="U111" s="208">
        <v>0.76</v>
      </c>
      <c r="V111" s="208">
        <v>105000</v>
      </c>
      <c r="W111" s="208" t="s">
        <v>358</v>
      </c>
      <c r="X111" s="208" t="s">
        <v>769</v>
      </c>
      <c r="Y111" s="208" t="s">
        <v>769</v>
      </c>
      <c r="Z111" s="208" t="s">
        <v>769</v>
      </c>
      <c r="AA111" s="208" t="s">
        <v>769</v>
      </c>
      <c r="AB111" s="208">
        <v>9340</v>
      </c>
      <c r="AC111" s="208">
        <v>1.0000000000000001E-5</v>
      </c>
      <c r="AD111" s="208">
        <v>1.3</v>
      </c>
      <c r="AE111" s="208">
        <v>5.6000000000000001E-2</v>
      </c>
      <c r="AF111" s="208" t="s">
        <v>255</v>
      </c>
      <c r="AG111" s="208">
        <v>261.09833795013901</v>
      </c>
      <c r="AH111" s="208">
        <v>0</v>
      </c>
      <c r="AI111" s="208">
        <v>0</v>
      </c>
      <c r="AJ111" s="208">
        <v>1556.2495127122827</v>
      </c>
      <c r="AK111" s="208">
        <v>4527.6693731948681</v>
      </c>
      <c r="AL111" s="208">
        <v>14222.500172146702</v>
      </c>
      <c r="AM111" s="208">
        <v>87.072566836894651</v>
      </c>
    </row>
    <row r="112" spans="3:39" x14ac:dyDescent="0.2">
      <c r="C112" s="13" t="s">
        <v>126</v>
      </c>
      <c r="D112" s="22" t="s">
        <v>28</v>
      </c>
      <c r="E112" s="208">
        <v>1.0569999999999999</v>
      </c>
      <c r="F112" s="208">
        <v>1.0747076882589134E-6</v>
      </c>
      <c r="G112" s="208">
        <v>6.1354334478254561E-7</v>
      </c>
      <c r="H112" s="208">
        <v>1.889755657684679E-8</v>
      </c>
      <c r="I112" s="208">
        <v>3.3769974940738232E-8</v>
      </c>
      <c r="J112" s="208">
        <v>5.1280535999999994E-4</v>
      </c>
      <c r="K112" s="208">
        <v>2.33</v>
      </c>
      <c r="L112" s="208">
        <v>42720000</v>
      </c>
      <c r="M112" s="208">
        <v>0.14400000000000002</v>
      </c>
      <c r="N112" s="208">
        <v>6151680.0000000009</v>
      </c>
      <c r="O112" s="208">
        <v>0.80200000000000005</v>
      </c>
      <c r="P112" s="208">
        <v>34261440</v>
      </c>
      <c r="Q112" s="208">
        <v>58</v>
      </c>
      <c r="R112" s="208">
        <v>225</v>
      </c>
      <c r="S112" s="208">
        <v>0.74850309999999998</v>
      </c>
      <c r="T112" s="208" t="s">
        <v>769</v>
      </c>
      <c r="U112" s="208">
        <v>0.99900000000000011</v>
      </c>
      <c r="V112" s="208">
        <v>251000</v>
      </c>
      <c r="W112" s="208" t="s">
        <v>356</v>
      </c>
      <c r="X112" s="208" t="s">
        <v>769</v>
      </c>
      <c r="Y112" s="208" t="s">
        <v>769</v>
      </c>
      <c r="Z112" s="208" t="s">
        <v>769</v>
      </c>
      <c r="AA112" s="208" t="s">
        <v>769</v>
      </c>
      <c r="AB112" s="208">
        <v>46680</v>
      </c>
      <c r="AC112" s="208">
        <v>1.0000000000000001E-5</v>
      </c>
      <c r="AD112" s="208">
        <v>1.3</v>
      </c>
      <c r="AE112" s="208">
        <v>5.6000000000000001E-2</v>
      </c>
      <c r="AF112" s="208" t="s">
        <v>255</v>
      </c>
      <c r="AG112" s="208">
        <v>344.80546776405998</v>
      </c>
      <c r="AH112" s="208" t="s">
        <v>769</v>
      </c>
      <c r="AI112" s="208" t="s">
        <v>769</v>
      </c>
      <c r="AJ112" s="208">
        <v>4716.0652068426198</v>
      </c>
      <c r="AK112" s="208">
        <v>15417.212080087433</v>
      </c>
      <c r="AL112" s="208">
        <v>40895.482155245365</v>
      </c>
      <c r="AM112" s="208">
        <v>310.53697257932993</v>
      </c>
    </row>
    <row r="113" spans="3:39" x14ac:dyDescent="0.2">
      <c r="C113" s="13" t="s">
        <v>127</v>
      </c>
      <c r="D113" s="22" t="s">
        <v>26</v>
      </c>
      <c r="E113" s="208">
        <v>2E-3</v>
      </c>
      <c r="F113" s="208">
        <v>7.7427654320987661E-8</v>
      </c>
      <c r="G113" s="208">
        <v>2.6706008230452676E-7</v>
      </c>
      <c r="H113" s="208">
        <v>4.4113580246913584E-9</v>
      </c>
      <c r="I113" s="208">
        <v>5.201481481481481E-9</v>
      </c>
      <c r="J113" s="208">
        <v>5.4092364999999991E-4</v>
      </c>
      <c r="K113" s="208">
        <v>4.72</v>
      </c>
      <c r="L113" s="208">
        <v>2529997</v>
      </c>
      <c r="M113" s="208">
        <v>0.48</v>
      </c>
      <c r="N113" s="208">
        <v>1214398.56</v>
      </c>
      <c r="O113" s="208">
        <v>5.0000000000000001E-3</v>
      </c>
      <c r="P113" s="208">
        <v>12649.985000000001</v>
      </c>
      <c r="Q113" s="208">
        <v>44</v>
      </c>
      <c r="R113" s="208">
        <v>0</v>
      </c>
      <c r="S113" s="208">
        <v>3.2761375746401408E-2</v>
      </c>
      <c r="T113" s="208" t="s">
        <v>769</v>
      </c>
      <c r="U113" s="208" t="s">
        <v>769</v>
      </c>
      <c r="V113" s="208">
        <v>54000</v>
      </c>
      <c r="W113" s="208" t="s">
        <v>357</v>
      </c>
      <c r="X113" s="208" t="s">
        <v>769</v>
      </c>
      <c r="Y113" s="208" t="s">
        <v>769</v>
      </c>
      <c r="Z113" s="208" t="s">
        <v>769</v>
      </c>
      <c r="AA113" s="208" t="s">
        <v>769</v>
      </c>
      <c r="AB113" s="208">
        <v>9070</v>
      </c>
      <c r="AC113" s="208">
        <v>1.0000000000000001E-5</v>
      </c>
      <c r="AD113" s="208">
        <v>1.3</v>
      </c>
      <c r="AE113" s="208">
        <v>5.6000000000000001E-2</v>
      </c>
      <c r="AF113" s="208" t="s">
        <v>255</v>
      </c>
      <c r="AG113" s="208">
        <v>125.55215442484899</v>
      </c>
      <c r="AH113" s="208">
        <v>10.1</v>
      </c>
      <c r="AI113" s="208">
        <v>12639.885</v>
      </c>
      <c r="AJ113" s="208">
        <v>3847.7193848990114</v>
      </c>
      <c r="AK113" s="208">
        <v>12000.49652857509</v>
      </c>
      <c r="AL113" s="208">
        <v>32497.806457666175</v>
      </c>
      <c r="AM113" s="208">
        <v>351.88784815715218</v>
      </c>
    </row>
    <row r="114" spans="3:39" x14ac:dyDescent="0.2">
      <c r="C114" s="13" t="s">
        <v>128</v>
      </c>
      <c r="D114" s="22" t="s">
        <v>24</v>
      </c>
      <c r="E114" s="208" t="s">
        <v>769</v>
      </c>
      <c r="F114" s="208">
        <v>1.9909849271802068E-6</v>
      </c>
      <c r="G114" s="208">
        <v>9.4047710124583255E-7</v>
      </c>
      <c r="H114" s="208">
        <v>2.2536638006667836E-8</v>
      </c>
      <c r="I114" s="208">
        <v>4.9239112124934194E-8</v>
      </c>
      <c r="J114" s="208">
        <v>8.3040874999999997E-4</v>
      </c>
      <c r="K114" s="208">
        <v>3.44</v>
      </c>
      <c r="L114" s="208">
        <v>4659740</v>
      </c>
      <c r="M114" s="208" t="s">
        <v>769</v>
      </c>
      <c r="N114" s="208" t="s">
        <v>769</v>
      </c>
      <c r="O114" s="208" t="s">
        <v>769</v>
      </c>
      <c r="P114" s="208" t="s">
        <v>769</v>
      </c>
      <c r="Q114" s="208" t="s">
        <v>769</v>
      </c>
      <c r="R114" s="208" t="s">
        <v>769</v>
      </c>
      <c r="S114" s="208" t="s">
        <v>769</v>
      </c>
      <c r="T114" s="208" t="s">
        <v>769</v>
      </c>
      <c r="U114" s="208">
        <v>0.77</v>
      </c>
      <c r="V114" s="208">
        <v>66000</v>
      </c>
      <c r="W114" s="208" t="s">
        <v>357</v>
      </c>
      <c r="X114" s="208" t="s">
        <v>769</v>
      </c>
      <c r="Y114" s="208" t="s">
        <v>769</v>
      </c>
      <c r="Z114" s="208" t="s">
        <v>769</v>
      </c>
      <c r="AA114" s="208" t="s">
        <v>769</v>
      </c>
      <c r="AB114" s="208">
        <v>29730</v>
      </c>
      <c r="AC114" s="208">
        <v>1.0000000000000001E-5</v>
      </c>
      <c r="AD114" s="208">
        <v>1.3</v>
      </c>
      <c r="AE114" s="208">
        <v>5.6000000000000001E-2</v>
      </c>
      <c r="AF114" s="208" t="s">
        <v>769</v>
      </c>
      <c r="AG114" s="208">
        <v>7.1086994851279801</v>
      </c>
      <c r="AH114" s="208" t="s">
        <v>769</v>
      </c>
      <c r="AI114" s="208" t="s">
        <v>769</v>
      </c>
      <c r="AJ114" s="208">
        <v>3741.870108372023</v>
      </c>
      <c r="AK114" s="208">
        <v>13005.104853511662</v>
      </c>
      <c r="AL114" s="208">
        <v>33168.716843456059</v>
      </c>
      <c r="AM114" s="208">
        <v>249.14077666011457</v>
      </c>
    </row>
    <row r="115" spans="3:39" x14ac:dyDescent="0.2">
      <c r="C115" s="13" t="s">
        <v>129</v>
      </c>
      <c r="D115" s="22" t="s">
        <v>31</v>
      </c>
      <c r="E115" s="208" t="s">
        <v>769</v>
      </c>
      <c r="F115" s="208">
        <v>1.4077864077669902E-7</v>
      </c>
      <c r="G115" s="208">
        <v>7.9817475728155336E-8</v>
      </c>
      <c r="H115" s="208">
        <v>6.5359223300970863E-9</v>
      </c>
      <c r="I115" s="208">
        <v>8.3999999999999975E-9</v>
      </c>
      <c r="J115" s="208">
        <v>8.3333336000000023E-5</v>
      </c>
      <c r="K115" s="208">
        <v>3.75</v>
      </c>
      <c r="L115" s="208">
        <v>5595099</v>
      </c>
      <c r="M115" s="208" t="s">
        <v>769</v>
      </c>
      <c r="N115" s="208" t="s">
        <v>769</v>
      </c>
      <c r="O115" s="208" t="s">
        <v>769</v>
      </c>
      <c r="P115" s="208" t="s">
        <v>769</v>
      </c>
      <c r="Q115" s="208" t="s">
        <v>769</v>
      </c>
      <c r="R115" s="208" t="s">
        <v>769</v>
      </c>
      <c r="S115" s="208" t="s">
        <v>769</v>
      </c>
      <c r="T115" s="208" t="s">
        <v>769</v>
      </c>
      <c r="U115" s="208">
        <v>0.4</v>
      </c>
      <c r="V115" s="208">
        <v>51000</v>
      </c>
      <c r="W115" s="208" t="s">
        <v>357</v>
      </c>
      <c r="X115" s="208" t="s">
        <v>769</v>
      </c>
      <c r="Y115" s="208" t="s">
        <v>769</v>
      </c>
      <c r="Z115" s="208" t="s">
        <v>769</v>
      </c>
      <c r="AA115" s="208" t="s">
        <v>769</v>
      </c>
      <c r="AB115" s="208">
        <v>5270</v>
      </c>
      <c r="AC115" s="208">
        <v>1.0000000000000001E-5</v>
      </c>
      <c r="AD115" s="208">
        <v>1.3</v>
      </c>
      <c r="AE115" s="208">
        <v>5.6000000000000001E-2</v>
      </c>
      <c r="AF115" s="208" t="s">
        <v>769</v>
      </c>
      <c r="AG115" s="208">
        <v>93.132821449906899</v>
      </c>
      <c r="AH115" s="208" t="s">
        <v>769</v>
      </c>
      <c r="AI115" s="208" t="s">
        <v>769</v>
      </c>
      <c r="AJ115" s="208">
        <v>4170.2062440247237</v>
      </c>
      <c r="AK115" s="208">
        <v>14165.148031550119</v>
      </c>
      <c r="AL115" s="208">
        <v>38399.082562472475</v>
      </c>
      <c r="AM115" s="208">
        <v>261.35894722990736</v>
      </c>
    </row>
    <row r="116" spans="3:39" x14ac:dyDescent="0.2">
      <c r="C116" s="13" t="s">
        <v>130</v>
      </c>
      <c r="D116" s="22" t="s">
        <v>28</v>
      </c>
      <c r="E116" s="208" t="s">
        <v>769</v>
      </c>
      <c r="F116" s="208">
        <v>1.7460000000000001E-6</v>
      </c>
      <c r="G116" s="208">
        <v>7.7400000000000002E-7</v>
      </c>
      <c r="H116" s="208">
        <v>4.6800000000000002E-8</v>
      </c>
      <c r="I116" s="208">
        <v>6.4799999999999998E-8</v>
      </c>
      <c r="J116" s="208">
        <v>6.6666670000000003E-4</v>
      </c>
      <c r="K116" s="208">
        <v>5.9</v>
      </c>
      <c r="L116" s="208">
        <v>35723.827499999999</v>
      </c>
      <c r="M116" s="208" t="s">
        <v>769</v>
      </c>
      <c r="N116" s="208" t="s">
        <v>769</v>
      </c>
      <c r="O116" s="208" t="s">
        <v>769</v>
      </c>
      <c r="P116" s="208" t="s">
        <v>769</v>
      </c>
      <c r="Q116" s="208" t="s">
        <v>769</v>
      </c>
      <c r="R116" s="208" t="s">
        <v>769</v>
      </c>
      <c r="S116" s="208" t="s">
        <v>769</v>
      </c>
      <c r="T116" s="208" t="s">
        <v>769</v>
      </c>
      <c r="U116" s="208">
        <v>0.54</v>
      </c>
      <c r="V116" s="208" t="s">
        <v>769</v>
      </c>
      <c r="W116" s="208" t="s">
        <v>357</v>
      </c>
      <c r="X116" s="208" t="s">
        <v>769</v>
      </c>
      <c r="Y116" s="208" t="s">
        <v>769</v>
      </c>
      <c r="Z116" s="208" t="s">
        <v>769</v>
      </c>
      <c r="AA116" s="208" t="s">
        <v>769</v>
      </c>
      <c r="AB116" s="208">
        <v>4730</v>
      </c>
      <c r="AC116" s="208">
        <v>1.0000000000000001E-5</v>
      </c>
      <c r="AD116" s="208">
        <v>1.3</v>
      </c>
      <c r="AE116" s="208">
        <v>5.6000000000000001E-2</v>
      </c>
      <c r="AF116" s="208" t="s">
        <v>769</v>
      </c>
      <c r="AG116" s="208">
        <v>159.10370370370401</v>
      </c>
      <c r="AH116" s="208" t="s">
        <v>769</v>
      </c>
      <c r="AI116" s="208" t="s">
        <v>769</v>
      </c>
      <c r="AJ116" s="208">
        <v>1168.9419042463796</v>
      </c>
      <c r="AK116" s="208">
        <v>3042.186849710356</v>
      </c>
      <c r="AL116" s="208">
        <v>8856.7323792787793</v>
      </c>
      <c r="AM116" s="208">
        <v>87.296500751185917</v>
      </c>
    </row>
    <row r="117" spans="3:39" x14ac:dyDescent="0.2">
      <c r="C117" s="13" t="s">
        <v>131</v>
      </c>
      <c r="D117" s="22" t="s">
        <v>28</v>
      </c>
      <c r="E117" s="208" t="s">
        <v>769</v>
      </c>
      <c r="F117" s="208" t="s">
        <v>769</v>
      </c>
      <c r="G117" s="208" t="s">
        <v>769</v>
      </c>
      <c r="H117" s="208" t="s">
        <v>769</v>
      </c>
      <c r="I117" s="208" t="s">
        <v>769</v>
      </c>
      <c r="J117" s="208" t="s">
        <v>769</v>
      </c>
      <c r="K117" s="208" t="s">
        <v>769</v>
      </c>
      <c r="L117" s="208" t="s">
        <v>769</v>
      </c>
      <c r="M117" s="208" t="s">
        <v>769</v>
      </c>
      <c r="N117" s="208" t="s">
        <v>769</v>
      </c>
      <c r="O117" s="208" t="s">
        <v>769</v>
      </c>
      <c r="P117" s="208" t="s">
        <v>769</v>
      </c>
      <c r="Q117" s="208" t="s">
        <v>769</v>
      </c>
      <c r="R117" s="208" t="s">
        <v>769</v>
      </c>
      <c r="S117" s="208" t="s">
        <v>769</v>
      </c>
      <c r="T117" s="208" t="s">
        <v>769</v>
      </c>
      <c r="U117" s="208"/>
      <c r="V117" s="208" t="s">
        <v>769</v>
      </c>
      <c r="W117" s="208" t="s">
        <v>355</v>
      </c>
      <c r="X117" s="208"/>
      <c r="Y117" s="208"/>
      <c r="Z117" s="208"/>
      <c r="AA117" s="208"/>
      <c r="AB117" s="208" t="s">
        <v>676</v>
      </c>
      <c r="AC117" s="208">
        <v>1.0000000000000001E-5</v>
      </c>
      <c r="AD117" s="208">
        <v>1.3</v>
      </c>
      <c r="AE117" s="208">
        <v>5.6000000000000001E-2</v>
      </c>
      <c r="AF117" s="208" t="s">
        <v>769</v>
      </c>
      <c r="AG117" s="208">
        <v>215.69561498214401</v>
      </c>
      <c r="AH117" s="208" t="s">
        <v>769</v>
      </c>
      <c r="AI117" s="208" t="s">
        <v>769</v>
      </c>
      <c r="AJ117" s="208">
        <v>4051.8613321875887</v>
      </c>
      <c r="AK117" s="208">
        <v>12921.469455170867</v>
      </c>
      <c r="AL117" s="208">
        <v>32774.54454515002</v>
      </c>
      <c r="AM117" s="208">
        <v>262.5533967926558</v>
      </c>
    </row>
    <row r="118" spans="3:39" x14ac:dyDescent="0.2">
      <c r="C118" s="13" t="s">
        <v>132</v>
      </c>
      <c r="D118" s="22" t="s">
        <v>28</v>
      </c>
      <c r="E118" s="208">
        <v>-0.121</v>
      </c>
      <c r="F118" s="208">
        <v>1.0247460155733609E-6</v>
      </c>
      <c r="G118" s="208">
        <v>5.6105764078092519E-7</v>
      </c>
      <c r="H118" s="208">
        <v>1.5778590659207789E-8</v>
      </c>
      <c r="I118" s="208">
        <v>2.9948414451305035E-8</v>
      </c>
      <c r="J118" s="208">
        <v>4.4164829999999999E-4</v>
      </c>
      <c r="K118" s="208">
        <v>2.4</v>
      </c>
      <c r="L118" s="208">
        <v>20452776</v>
      </c>
      <c r="M118" s="208">
        <v>0.16</v>
      </c>
      <c r="N118" s="208">
        <v>3272444.16</v>
      </c>
      <c r="O118" s="208">
        <v>0.25</v>
      </c>
      <c r="P118" s="208">
        <v>5113194</v>
      </c>
      <c r="Q118" s="208">
        <v>31</v>
      </c>
      <c r="R118" s="208">
        <v>34</v>
      </c>
      <c r="S118" s="208">
        <v>0.28475471862836249</v>
      </c>
      <c r="T118" s="208" t="s">
        <v>769</v>
      </c>
      <c r="U118" s="208">
        <v>0.99919999999999998</v>
      </c>
      <c r="V118" s="208">
        <v>601000</v>
      </c>
      <c r="W118" s="208" t="s">
        <v>355</v>
      </c>
      <c r="X118" s="208" t="s">
        <v>769</v>
      </c>
      <c r="Y118" s="208" t="s">
        <v>769</v>
      </c>
      <c r="Z118" s="208" t="s">
        <v>769</v>
      </c>
      <c r="AA118" s="208" t="s">
        <v>769</v>
      </c>
      <c r="AB118" s="208">
        <v>49120</v>
      </c>
      <c r="AC118" s="208">
        <v>1.0000000000000001E-5</v>
      </c>
      <c r="AD118" s="208">
        <v>1.3</v>
      </c>
      <c r="AE118" s="208">
        <v>5.6000000000000001E-2</v>
      </c>
      <c r="AF118" s="208" t="s">
        <v>255</v>
      </c>
      <c r="AG118" s="208">
        <v>530.42560450819701</v>
      </c>
      <c r="AH118" s="208" t="s">
        <v>769</v>
      </c>
      <c r="AI118" s="208" t="s">
        <v>769</v>
      </c>
      <c r="AJ118" s="208">
        <v>4236.2289603861391</v>
      </c>
      <c r="AK118" s="208">
        <v>13105.269264666393</v>
      </c>
      <c r="AL118" s="208">
        <v>33609.281742043764</v>
      </c>
      <c r="AM118" s="208">
        <v>267.02929306559946</v>
      </c>
    </row>
    <row r="119" spans="3:39" x14ac:dyDescent="0.2">
      <c r="C119" s="13" t="s">
        <v>133</v>
      </c>
      <c r="D119" s="22" t="s">
        <v>24</v>
      </c>
      <c r="E119" s="208" t="s">
        <v>769</v>
      </c>
      <c r="F119" s="208">
        <v>2.7562662807525327E-6</v>
      </c>
      <c r="G119" s="208">
        <v>1.2100897250361793E-6</v>
      </c>
      <c r="H119" s="208">
        <v>3.0331693198263389E-8</v>
      </c>
      <c r="I119" s="208">
        <v>6.7290303907380607E-8</v>
      </c>
      <c r="J119" s="208">
        <v>9.4500729999999998E-4</v>
      </c>
      <c r="K119" s="208" t="s">
        <v>769</v>
      </c>
      <c r="L119" s="208">
        <v>319000</v>
      </c>
      <c r="M119" s="208" t="s">
        <v>769</v>
      </c>
      <c r="N119" s="208" t="s">
        <v>769</v>
      </c>
      <c r="O119" s="208" t="s">
        <v>769</v>
      </c>
      <c r="P119" s="208" t="s">
        <v>769</v>
      </c>
      <c r="Q119" s="208" t="s">
        <v>769</v>
      </c>
      <c r="R119" s="208" t="s">
        <v>769</v>
      </c>
      <c r="S119" s="208" t="s">
        <v>769</v>
      </c>
      <c r="T119" s="208" t="s">
        <v>769</v>
      </c>
      <c r="U119" s="208">
        <v>0.39</v>
      </c>
      <c r="V119" s="208">
        <v>82000</v>
      </c>
      <c r="W119" s="208" t="s">
        <v>356</v>
      </c>
      <c r="X119" s="208" t="s">
        <v>769</v>
      </c>
      <c r="Y119" s="208" t="s">
        <v>769</v>
      </c>
      <c r="Z119" s="208" t="s">
        <v>769</v>
      </c>
      <c r="AA119" s="208" t="s">
        <v>769</v>
      </c>
      <c r="AB119" s="208">
        <v>12600</v>
      </c>
      <c r="AC119" s="208">
        <v>1.0000000000000001E-5</v>
      </c>
      <c r="AD119" s="208">
        <v>1.3</v>
      </c>
      <c r="AE119" s="208">
        <v>5.6000000000000001E-2</v>
      </c>
      <c r="AF119" s="208" t="s">
        <v>769</v>
      </c>
      <c r="AG119" s="208" t="s">
        <v>676</v>
      </c>
      <c r="AH119" s="208" t="s">
        <v>769</v>
      </c>
      <c r="AI119" s="208" t="s">
        <v>769</v>
      </c>
      <c r="AJ119" s="208">
        <v>3369.656386127841</v>
      </c>
      <c r="AK119" s="208">
        <v>11039.1827993264</v>
      </c>
      <c r="AL119" s="208">
        <v>30007.18383619994</v>
      </c>
      <c r="AM119" s="208">
        <v>232.93688179383324</v>
      </c>
    </row>
    <row r="120" spans="3:39" x14ac:dyDescent="0.2">
      <c r="C120" s="13" t="s">
        <v>134</v>
      </c>
      <c r="D120" s="22" t="s">
        <v>26</v>
      </c>
      <c r="E120" s="208" t="s">
        <v>769</v>
      </c>
      <c r="F120" s="208">
        <v>7.6744523429364803E-7</v>
      </c>
      <c r="G120" s="208">
        <v>5.1887941686914273E-7</v>
      </c>
      <c r="H120" s="208">
        <v>2.236402637972926E-8</v>
      </c>
      <c r="I120" s="208">
        <v>3.0269614717112111E-8</v>
      </c>
      <c r="J120" s="208">
        <v>6.4919590000000007E-4</v>
      </c>
      <c r="K120" s="208" t="s">
        <v>769</v>
      </c>
      <c r="L120" s="208">
        <v>1750000</v>
      </c>
      <c r="M120" s="208" t="s">
        <v>769</v>
      </c>
      <c r="N120" s="208" t="s">
        <v>769</v>
      </c>
      <c r="O120" s="208" t="s">
        <v>769</v>
      </c>
      <c r="P120" s="208" t="s">
        <v>769</v>
      </c>
      <c r="Q120" s="208" t="s">
        <v>769</v>
      </c>
      <c r="R120" s="208" t="s">
        <v>769</v>
      </c>
      <c r="S120" s="208" t="s">
        <v>769</v>
      </c>
      <c r="T120" s="208" t="s">
        <v>769</v>
      </c>
      <c r="U120" s="208">
        <v>1</v>
      </c>
      <c r="V120" s="208">
        <v>281000</v>
      </c>
      <c r="W120" s="208" t="s">
        <v>357</v>
      </c>
      <c r="X120" s="208" t="s">
        <v>769</v>
      </c>
      <c r="Y120" s="208" t="s">
        <v>769</v>
      </c>
      <c r="Z120" s="208" t="s">
        <v>769</v>
      </c>
      <c r="AA120" s="208" t="s">
        <v>769</v>
      </c>
      <c r="AB120" s="208">
        <v>58120</v>
      </c>
      <c r="AC120" s="208">
        <v>1.0000000000000001E-5</v>
      </c>
      <c r="AD120" s="208">
        <v>1.3</v>
      </c>
      <c r="AE120" s="208">
        <v>5.6000000000000001E-2</v>
      </c>
      <c r="AF120" s="208" t="s">
        <v>769</v>
      </c>
      <c r="AG120" s="208">
        <v>238.50246913580199</v>
      </c>
      <c r="AH120" s="208" t="s">
        <v>769</v>
      </c>
      <c r="AI120" s="208" t="s">
        <v>769</v>
      </c>
      <c r="AJ120" s="208">
        <v>3412.7396041491079</v>
      </c>
      <c r="AK120" s="208">
        <v>9642.4077257076497</v>
      </c>
      <c r="AL120" s="208">
        <v>26734.378127974269</v>
      </c>
      <c r="AM120" s="208">
        <v>352.20099385772852</v>
      </c>
    </row>
    <row r="121" spans="3:39" x14ac:dyDescent="0.2">
      <c r="C121" s="13" t="s">
        <v>135</v>
      </c>
      <c r="D121" s="22" t="s">
        <v>24</v>
      </c>
      <c r="E121" s="208" t="s">
        <v>769</v>
      </c>
      <c r="F121" s="208" t="s">
        <v>769</v>
      </c>
      <c r="G121" s="208" t="s">
        <v>769</v>
      </c>
      <c r="H121" s="208" t="s">
        <v>769</v>
      </c>
      <c r="I121" s="208" t="s">
        <v>769</v>
      </c>
      <c r="J121" s="208" t="s">
        <v>769</v>
      </c>
      <c r="K121" s="208" t="s">
        <v>769</v>
      </c>
      <c r="L121" s="208">
        <v>1113300</v>
      </c>
      <c r="M121" s="208" t="s">
        <v>769</v>
      </c>
      <c r="N121" s="208" t="s">
        <v>769</v>
      </c>
      <c r="O121" s="208" t="s">
        <v>769</v>
      </c>
      <c r="P121" s="208" t="s">
        <v>769</v>
      </c>
      <c r="Q121" s="208" t="s">
        <v>769</v>
      </c>
      <c r="R121" s="208" t="s">
        <v>769</v>
      </c>
      <c r="S121" s="208" t="s">
        <v>769</v>
      </c>
      <c r="T121" s="208" t="s">
        <v>769</v>
      </c>
      <c r="U121" s="208" t="s">
        <v>769</v>
      </c>
      <c r="V121" s="208" t="s">
        <v>769</v>
      </c>
      <c r="W121" s="208" t="s">
        <v>355</v>
      </c>
      <c r="X121" s="208" t="s">
        <v>769</v>
      </c>
      <c r="Y121" s="208" t="s">
        <v>769</v>
      </c>
      <c r="Z121" s="208" t="s">
        <v>769</v>
      </c>
      <c r="AA121" s="208" t="s">
        <v>769</v>
      </c>
      <c r="AB121" s="208">
        <v>5410</v>
      </c>
      <c r="AC121" s="208">
        <v>1.0000000000000001E-5</v>
      </c>
      <c r="AD121" s="208">
        <v>1.3</v>
      </c>
      <c r="AE121" s="208">
        <v>5.6000000000000001E-2</v>
      </c>
      <c r="AF121" s="208" t="s">
        <v>769</v>
      </c>
      <c r="AG121" s="208">
        <v>35.314911366006299</v>
      </c>
      <c r="AH121" s="208" t="s">
        <v>769</v>
      </c>
      <c r="AI121" s="208" t="s">
        <v>769</v>
      </c>
      <c r="AJ121" s="208">
        <v>4523.8290557245573</v>
      </c>
      <c r="AK121" s="208">
        <v>15520.128470262423</v>
      </c>
      <c r="AL121" s="208">
        <v>40692.711220543861</v>
      </c>
      <c r="AM121" s="208">
        <v>318.76144303225931</v>
      </c>
    </row>
    <row r="122" spans="3:39" x14ac:dyDescent="0.2">
      <c r="C122" s="13" t="s">
        <v>136</v>
      </c>
      <c r="D122" s="22" t="s">
        <v>28</v>
      </c>
      <c r="E122" s="208" t="s">
        <v>769</v>
      </c>
      <c r="F122" s="208" t="s">
        <v>769</v>
      </c>
      <c r="G122" s="208" t="s">
        <v>769</v>
      </c>
      <c r="H122" s="208" t="s">
        <v>769</v>
      </c>
      <c r="I122" s="208" t="s">
        <v>769</v>
      </c>
      <c r="J122" s="208" t="s">
        <v>769</v>
      </c>
      <c r="K122" s="208" t="s">
        <v>769</v>
      </c>
      <c r="L122" s="208">
        <v>351900</v>
      </c>
      <c r="M122" s="208" t="s">
        <v>769</v>
      </c>
      <c r="N122" s="208" t="s">
        <v>769</v>
      </c>
      <c r="O122" s="208" t="s">
        <v>769</v>
      </c>
      <c r="P122" s="208" t="s">
        <v>769</v>
      </c>
      <c r="Q122" s="208" t="s">
        <v>769</v>
      </c>
      <c r="R122" s="208" t="s">
        <v>769</v>
      </c>
      <c r="S122" s="208" t="s">
        <v>769</v>
      </c>
      <c r="T122" s="208" t="s">
        <v>769</v>
      </c>
      <c r="U122" s="208" t="s">
        <v>769</v>
      </c>
      <c r="V122" s="208" t="s">
        <v>769</v>
      </c>
      <c r="W122" s="208" t="s">
        <v>355</v>
      </c>
      <c r="X122" s="208" t="s">
        <v>769</v>
      </c>
      <c r="Y122" s="208" t="s">
        <v>769</v>
      </c>
      <c r="Z122" s="208" t="s">
        <v>769</v>
      </c>
      <c r="AA122" s="208" t="s">
        <v>769</v>
      </c>
      <c r="AB122" s="208">
        <v>7650</v>
      </c>
      <c r="AC122" s="208">
        <v>1.0000000000000001E-5</v>
      </c>
      <c r="AD122" s="208">
        <v>1.3</v>
      </c>
      <c r="AE122" s="208">
        <v>5.6000000000000001E-2</v>
      </c>
      <c r="AF122" s="208" t="s">
        <v>769</v>
      </c>
      <c r="AG122" s="208">
        <v>32.170957538994799</v>
      </c>
      <c r="AH122" s="208" t="s">
        <v>769</v>
      </c>
      <c r="AI122" s="208" t="s">
        <v>769</v>
      </c>
      <c r="AJ122" s="208">
        <v>2266.8813835935321</v>
      </c>
      <c r="AK122" s="208">
        <v>6995.61326904218</v>
      </c>
      <c r="AL122" s="208">
        <v>20657.020110292349</v>
      </c>
      <c r="AM122" s="208">
        <v>163.37133468632865</v>
      </c>
    </row>
    <row r="123" spans="3:39" x14ac:dyDescent="0.2">
      <c r="C123" s="13" t="s">
        <v>137</v>
      </c>
      <c r="D123" s="22" t="s">
        <v>24</v>
      </c>
      <c r="E123" s="208">
        <v>-3.5999999999999997E-2</v>
      </c>
      <c r="F123" s="208">
        <v>6.6105811623246479E-9</v>
      </c>
      <c r="G123" s="208">
        <v>1.9947174348697393E-7</v>
      </c>
      <c r="H123" s="208">
        <v>1.9831743486973948E-8</v>
      </c>
      <c r="I123" s="208">
        <v>2.2717515030060124E-8</v>
      </c>
      <c r="J123" s="208">
        <v>1.3627257E-4</v>
      </c>
      <c r="K123" s="208">
        <v>2.2599999999999998</v>
      </c>
      <c r="L123" s="208">
        <v>839714.375</v>
      </c>
      <c r="M123" s="208">
        <v>0.73290000000000011</v>
      </c>
      <c r="N123" s="208">
        <v>615426.66543750011</v>
      </c>
      <c r="O123" s="208">
        <v>3.4000000000000002E-2</v>
      </c>
      <c r="P123" s="208">
        <v>28550.288750000003</v>
      </c>
      <c r="Q123" s="208">
        <v>6</v>
      </c>
      <c r="R123" s="208">
        <v>0</v>
      </c>
      <c r="S123" s="208">
        <v>3.2799999999999996E-2</v>
      </c>
      <c r="T123" s="208" t="s">
        <v>769</v>
      </c>
      <c r="U123" s="208" t="s">
        <v>769</v>
      </c>
      <c r="V123" s="208">
        <v>107000</v>
      </c>
      <c r="W123" s="208" t="s">
        <v>356</v>
      </c>
      <c r="X123" s="208" t="s">
        <v>769</v>
      </c>
      <c r="Y123" s="208" t="s">
        <v>769</v>
      </c>
      <c r="Z123" s="208" t="s">
        <v>769</v>
      </c>
      <c r="AA123" s="208" t="s">
        <v>769</v>
      </c>
      <c r="AB123" s="208">
        <v>36090</v>
      </c>
      <c r="AC123" s="208">
        <v>1.0000000000000001E-5</v>
      </c>
      <c r="AD123" s="208">
        <v>1.3</v>
      </c>
      <c r="AE123" s="208">
        <v>5.6000000000000001E-2</v>
      </c>
      <c r="AF123" s="208" t="s">
        <v>255</v>
      </c>
      <c r="AG123" s="208">
        <v>30.282661095934401</v>
      </c>
      <c r="AH123" s="208">
        <v>9</v>
      </c>
      <c r="AI123" s="208">
        <v>28541.288750000003</v>
      </c>
      <c r="AJ123" s="208">
        <v>3811.8120211432906</v>
      </c>
      <c r="AK123" s="208">
        <v>13032.339490069206</v>
      </c>
      <c r="AL123" s="208">
        <v>33374.023191148866</v>
      </c>
      <c r="AM123" s="208">
        <v>249.75140489317539</v>
      </c>
    </row>
    <row r="124" spans="3:39" x14ac:dyDescent="0.2">
      <c r="C124" s="13" t="s">
        <v>138</v>
      </c>
      <c r="D124" s="22" t="s">
        <v>26</v>
      </c>
      <c r="E124" s="208" t="s">
        <v>769</v>
      </c>
      <c r="F124" s="208">
        <v>1.5810734328358212E-6</v>
      </c>
      <c r="G124" s="208">
        <v>7.0310328358208976E-7</v>
      </c>
      <c r="H124" s="208">
        <v>4.2730746268656721E-8</v>
      </c>
      <c r="I124" s="208">
        <v>5.9082985074626871E-8</v>
      </c>
      <c r="J124" s="208">
        <v>5.99005E-4</v>
      </c>
      <c r="K124" s="208" t="s">
        <v>769</v>
      </c>
      <c r="L124" s="208">
        <v>2040000</v>
      </c>
      <c r="M124" s="208" t="s">
        <v>769</v>
      </c>
      <c r="N124" s="208" t="s">
        <v>769</v>
      </c>
      <c r="O124" s="208" t="s">
        <v>769</v>
      </c>
      <c r="P124" s="208" t="s">
        <v>769</v>
      </c>
      <c r="Q124" s="208" t="s">
        <v>769</v>
      </c>
      <c r="R124" s="208" t="s">
        <v>769</v>
      </c>
      <c r="S124" s="208" t="s">
        <v>769</v>
      </c>
      <c r="T124" s="208" t="s">
        <v>769</v>
      </c>
      <c r="U124" s="208" t="s">
        <v>769</v>
      </c>
      <c r="V124" s="208" t="s">
        <v>769</v>
      </c>
      <c r="W124" s="208" t="s">
        <v>355</v>
      </c>
      <c r="X124" s="208" t="s">
        <v>769</v>
      </c>
      <c r="Y124" s="208" t="s">
        <v>769</v>
      </c>
      <c r="Z124" s="208" t="s">
        <v>769</v>
      </c>
      <c r="AA124" s="208" t="s">
        <v>769</v>
      </c>
      <c r="AB124" s="208">
        <v>11090</v>
      </c>
      <c r="AC124" s="208">
        <v>1.0000000000000001E-5</v>
      </c>
      <c r="AD124" s="208">
        <v>1.3</v>
      </c>
      <c r="AE124" s="208">
        <v>5.6000000000000001E-2</v>
      </c>
      <c r="AF124" s="208" t="s">
        <v>769</v>
      </c>
      <c r="AG124" s="208">
        <v>546.68924731182801</v>
      </c>
      <c r="AH124" s="208" t="s">
        <v>769</v>
      </c>
      <c r="AI124" s="208" t="s">
        <v>769</v>
      </c>
      <c r="AJ124" s="208">
        <v>4236.2513815901057</v>
      </c>
      <c r="AK124" s="208">
        <v>13120.593231585221</v>
      </c>
      <c r="AL124" s="208">
        <v>33236.144641727602</v>
      </c>
      <c r="AM124" s="208">
        <v>352.39598153085916</v>
      </c>
    </row>
    <row r="125" spans="3:39" x14ac:dyDescent="0.2">
      <c r="C125" s="13" t="s">
        <v>139</v>
      </c>
      <c r="D125" s="22" t="s">
        <v>31</v>
      </c>
      <c r="E125" s="208" t="s">
        <v>769</v>
      </c>
      <c r="F125" s="208">
        <v>0</v>
      </c>
      <c r="G125" s="208">
        <v>0</v>
      </c>
      <c r="H125" s="208">
        <v>0</v>
      </c>
      <c r="I125" s="208">
        <v>0</v>
      </c>
      <c r="J125" s="208">
        <v>2.0000000000000002E-5</v>
      </c>
      <c r="K125" s="208">
        <v>3.73</v>
      </c>
      <c r="L125" s="208">
        <v>73457</v>
      </c>
      <c r="M125" s="208" t="s">
        <v>769</v>
      </c>
      <c r="N125" s="208" t="s">
        <v>769</v>
      </c>
      <c r="O125" s="208" t="s">
        <v>769</v>
      </c>
      <c r="P125" s="208" t="s">
        <v>769</v>
      </c>
      <c r="Q125" s="208" t="s">
        <v>769</v>
      </c>
      <c r="R125" s="208" t="s">
        <v>769</v>
      </c>
      <c r="S125" s="208" t="s">
        <v>769</v>
      </c>
      <c r="T125" s="208" t="s">
        <v>769</v>
      </c>
      <c r="U125" s="208">
        <v>0.2</v>
      </c>
      <c r="V125" s="208" t="s">
        <v>769</v>
      </c>
      <c r="W125" s="208" t="s">
        <v>355</v>
      </c>
      <c r="X125" s="208" t="s">
        <v>769</v>
      </c>
      <c r="Y125" s="208" t="s">
        <v>769</v>
      </c>
      <c r="Z125" s="208" t="s">
        <v>769</v>
      </c>
      <c r="AA125" s="208" t="s">
        <v>769</v>
      </c>
      <c r="AB125" s="208">
        <v>2870</v>
      </c>
      <c r="AC125" s="208">
        <v>1.0000000000000001E-5</v>
      </c>
      <c r="AD125" s="208">
        <v>1.3</v>
      </c>
      <c r="AE125" s="208">
        <v>5.6000000000000001E-2</v>
      </c>
      <c r="AF125" s="208" t="s">
        <v>769</v>
      </c>
      <c r="AG125" s="208">
        <v>75.146706192358394</v>
      </c>
      <c r="AH125" s="208" t="s">
        <v>769</v>
      </c>
      <c r="AI125" s="208" t="s">
        <v>769</v>
      </c>
      <c r="AJ125" s="208">
        <v>1694.4597813882162</v>
      </c>
      <c r="AK125" s="208">
        <v>4880.5439433647516</v>
      </c>
      <c r="AL125" s="208">
        <v>13980.05585296656</v>
      </c>
      <c r="AM125" s="208">
        <v>74.158277794223466</v>
      </c>
    </row>
    <row r="126" spans="3:39" x14ac:dyDescent="0.2">
      <c r="C126" s="13" t="s">
        <v>140</v>
      </c>
      <c r="D126" s="22" t="s">
        <v>31</v>
      </c>
      <c r="E126" s="208" t="s">
        <v>769</v>
      </c>
      <c r="F126" s="208">
        <v>5.7463291139240519E-7</v>
      </c>
      <c r="G126" s="208">
        <v>2.5473417721518985E-7</v>
      </c>
      <c r="H126" s="208">
        <v>1.540253164556962E-8</v>
      </c>
      <c r="I126" s="208">
        <v>2.1326582278481009E-8</v>
      </c>
      <c r="J126" s="208">
        <v>2.2784811E-4</v>
      </c>
      <c r="K126" s="208">
        <v>4.58</v>
      </c>
      <c r="L126" s="208">
        <v>564466.69999999995</v>
      </c>
      <c r="M126" s="208" t="s">
        <v>769</v>
      </c>
      <c r="N126" s="208" t="s">
        <v>769</v>
      </c>
      <c r="O126" s="208" t="s">
        <v>769</v>
      </c>
      <c r="P126" s="208" t="s">
        <v>769</v>
      </c>
      <c r="Q126" s="208" t="s">
        <v>769</v>
      </c>
      <c r="R126" s="208" t="s">
        <v>769</v>
      </c>
      <c r="S126" s="208" t="s">
        <v>769</v>
      </c>
      <c r="T126" s="208" t="s">
        <v>769</v>
      </c>
      <c r="U126" s="208" t="s">
        <v>769</v>
      </c>
      <c r="V126" s="208" t="s">
        <v>769</v>
      </c>
      <c r="W126" s="208" t="s">
        <v>358</v>
      </c>
      <c r="X126" s="208" t="s">
        <v>769</v>
      </c>
      <c r="Y126" s="208" t="s">
        <v>769</v>
      </c>
      <c r="Z126" s="208" t="s">
        <v>769</v>
      </c>
      <c r="AA126" s="208" t="s">
        <v>769</v>
      </c>
      <c r="AB126" s="208">
        <v>1460</v>
      </c>
      <c r="AC126" s="208">
        <v>1.0000000000000001E-5</v>
      </c>
      <c r="AD126" s="208">
        <v>1.3</v>
      </c>
      <c r="AE126" s="208">
        <v>5.6000000000000001E-2</v>
      </c>
      <c r="AF126" s="208" t="s">
        <v>769</v>
      </c>
      <c r="AG126" s="208">
        <v>53.918355481727602</v>
      </c>
      <c r="AH126" s="208" t="s">
        <v>769</v>
      </c>
      <c r="AI126" s="208" t="s">
        <v>769</v>
      </c>
      <c r="AJ126" s="208">
        <v>3895.3925794286001</v>
      </c>
      <c r="AK126" s="208">
        <v>13155.659843491683</v>
      </c>
      <c r="AL126" s="208">
        <v>33876.706565485394</v>
      </c>
      <c r="AM126" s="208">
        <v>242.28259342013803</v>
      </c>
    </row>
    <row r="127" spans="3:39" x14ac:dyDescent="0.2">
      <c r="C127" s="13" t="s">
        <v>141</v>
      </c>
      <c r="D127" s="22" t="s">
        <v>26</v>
      </c>
      <c r="E127" s="208" t="s">
        <v>769</v>
      </c>
      <c r="F127" s="208">
        <v>5.0761355350066048E-7</v>
      </c>
      <c r="G127" s="208">
        <v>4.519700132100397E-7</v>
      </c>
      <c r="H127" s="208">
        <v>1.5883989431968296E-8</v>
      </c>
      <c r="I127" s="208">
        <v>2.1109220607661821E-8</v>
      </c>
      <c r="J127" s="208">
        <v>8.1869219999999995E-4</v>
      </c>
      <c r="K127" s="208" t="s">
        <v>769</v>
      </c>
      <c r="L127" s="208">
        <v>2147596.4720000001</v>
      </c>
      <c r="M127" s="208" t="s">
        <v>769</v>
      </c>
      <c r="N127" s="208" t="s">
        <v>769</v>
      </c>
      <c r="O127" s="208" t="s">
        <v>769</v>
      </c>
      <c r="P127" s="208" t="s">
        <v>769</v>
      </c>
      <c r="Q127" s="208" t="s">
        <v>769</v>
      </c>
      <c r="R127" s="208" t="s">
        <v>769</v>
      </c>
      <c r="S127" s="208" t="s">
        <v>769</v>
      </c>
      <c r="T127" s="208" t="s">
        <v>769</v>
      </c>
      <c r="U127" s="208" t="s">
        <v>769</v>
      </c>
      <c r="V127" s="208" t="s">
        <v>769</v>
      </c>
      <c r="W127" s="208" t="s">
        <v>357</v>
      </c>
      <c r="X127" s="208" t="s">
        <v>769</v>
      </c>
      <c r="Y127" s="208" t="s">
        <v>769</v>
      </c>
      <c r="Z127" s="208" t="s">
        <v>769</v>
      </c>
      <c r="AA127" s="208" t="s">
        <v>769</v>
      </c>
      <c r="AB127" s="208">
        <v>17930</v>
      </c>
      <c r="AC127" s="208">
        <v>1.0000000000000001E-5</v>
      </c>
      <c r="AD127" s="208">
        <v>1.3</v>
      </c>
      <c r="AE127" s="208">
        <v>5.6000000000000001E-2</v>
      </c>
      <c r="AF127" s="208" t="s">
        <v>769</v>
      </c>
      <c r="AG127" s="208">
        <v>3.8278623958534599</v>
      </c>
      <c r="AH127" s="208" t="s">
        <v>769</v>
      </c>
      <c r="AI127" s="208" t="s">
        <v>769</v>
      </c>
      <c r="AJ127" s="208">
        <v>2653.0380288888045</v>
      </c>
      <c r="AK127" s="208">
        <v>8563.7594513933764</v>
      </c>
      <c r="AL127" s="208">
        <v>23844.572775860015</v>
      </c>
      <c r="AM127" s="208">
        <v>225.66802826452209</v>
      </c>
    </row>
    <row r="128" spans="3:39" x14ac:dyDescent="0.2">
      <c r="C128" s="13" t="s">
        <v>142</v>
      </c>
      <c r="D128" s="22" t="s">
        <v>24</v>
      </c>
      <c r="E128" s="208" t="s">
        <v>769</v>
      </c>
      <c r="F128" s="208" t="s">
        <v>769</v>
      </c>
      <c r="G128" s="208" t="s">
        <v>769</v>
      </c>
      <c r="H128" s="208" t="s">
        <v>769</v>
      </c>
      <c r="I128" s="208" t="s">
        <v>769</v>
      </c>
      <c r="J128" s="208" t="s">
        <v>769</v>
      </c>
      <c r="K128" s="208">
        <v>2.2599999999999998</v>
      </c>
      <c r="L128" s="208">
        <v>32382</v>
      </c>
      <c r="M128" s="208" t="s">
        <v>769</v>
      </c>
      <c r="N128" s="208" t="s">
        <v>769</v>
      </c>
      <c r="O128" s="208" t="s">
        <v>769</v>
      </c>
      <c r="P128" s="208" t="s">
        <v>769</v>
      </c>
      <c r="Q128" s="208" t="s">
        <v>769</v>
      </c>
      <c r="R128" s="208" t="s">
        <v>769</v>
      </c>
      <c r="S128" s="208" t="s">
        <v>769</v>
      </c>
      <c r="T128" s="208" t="s">
        <v>769</v>
      </c>
      <c r="U128" s="208">
        <v>1</v>
      </c>
      <c r="V128" s="208" t="s">
        <v>769</v>
      </c>
      <c r="W128" s="208" t="s">
        <v>356</v>
      </c>
      <c r="X128" s="208" t="s">
        <v>769</v>
      </c>
      <c r="Y128" s="208" t="s">
        <v>769</v>
      </c>
      <c r="Z128" s="208" t="s">
        <v>769</v>
      </c>
      <c r="AA128" s="208" t="s">
        <v>769</v>
      </c>
      <c r="AB128" s="208" t="s">
        <v>676</v>
      </c>
      <c r="AC128" s="208">
        <v>1.0000000000000001E-5</v>
      </c>
      <c r="AD128" s="208">
        <v>1.3</v>
      </c>
      <c r="AE128" s="208">
        <v>5.6000000000000001E-2</v>
      </c>
      <c r="AF128" s="208" t="s">
        <v>769</v>
      </c>
      <c r="AG128" s="208">
        <v>243.99375000000001</v>
      </c>
      <c r="AH128" s="208" t="s">
        <v>769</v>
      </c>
      <c r="AI128" s="208" t="s">
        <v>769</v>
      </c>
      <c r="AJ128" s="208">
        <v>1095.2178617381194</v>
      </c>
      <c r="AK128" s="208">
        <v>2682.3413420087304</v>
      </c>
      <c r="AL128" s="208">
        <v>7706.0444767884092</v>
      </c>
      <c r="AM128" s="208">
        <v>86.14522732599454</v>
      </c>
    </row>
    <row r="129" spans="3:39" x14ac:dyDescent="0.2">
      <c r="C129" s="13" t="s">
        <v>143</v>
      </c>
      <c r="D129" s="22" t="s">
        <v>24</v>
      </c>
      <c r="E129" s="208">
        <v>-0.14599999999999999</v>
      </c>
      <c r="F129" s="208">
        <v>2.2308902912621362E-7</v>
      </c>
      <c r="G129" s="208">
        <v>2.66373786407767E-7</v>
      </c>
      <c r="H129" s="208">
        <v>2.6667087378640775E-8</v>
      </c>
      <c r="I129" s="208">
        <v>3.199718446601942E-8</v>
      </c>
      <c r="J129" s="208">
        <v>1.7718445999999999E-4</v>
      </c>
      <c r="K129" s="208">
        <v>2.38</v>
      </c>
      <c r="L129" s="208">
        <v>1315390.375</v>
      </c>
      <c r="M129" s="208">
        <v>0.55390000000000006</v>
      </c>
      <c r="N129" s="208">
        <v>728594.72871249996</v>
      </c>
      <c r="O129" s="208">
        <v>0.1154</v>
      </c>
      <c r="P129" s="208">
        <v>151796.049275</v>
      </c>
      <c r="Q129" s="208">
        <v>7</v>
      </c>
      <c r="R129" s="208">
        <v>1</v>
      </c>
      <c r="S129" s="208">
        <v>0.16776469999999999</v>
      </c>
      <c r="T129" s="208" t="s">
        <v>769</v>
      </c>
      <c r="U129" s="208" t="s">
        <v>769</v>
      </c>
      <c r="V129" s="208">
        <v>177000</v>
      </c>
      <c r="W129" s="208" t="s">
        <v>356</v>
      </c>
      <c r="X129" s="208" t="s">
        <v>769</v>
      </c>
      <c r="Y129" s="208" t="s">
        <v>769</v>
      </c>
      <c r="Z129" s="208" t="s">
        <v>769</v>
      </c>
      <c r="AA129" s="208" t="s">
        <v>769</v>
      </c>
      <c r="AB129" s="208">
        <v>44640</v>
      </c>
      <c r="AC129" s="208">
        <v>1.0000000000000001E-5</v>
      </c>
      <c r="AD129" s="208">
        <v>1.3</v>
      </c>
      <c r="AE129" s="208">
        <v>5.6000000000000001E-2</v>
      </c>
      <c r="AF129" s="208" t="s">
        <v>255</v>
      </c>
      <c r="AG129" s="208">
        <v>44.734690943938702</v>
      </c>
      <c r="AH129" s="208">
        <v>617</v>
      </c>
      <c r="AI129" s="208">
        <v>151179.049275</v>
      </c>
      <c r="AJ129" s="208">
        <v>3838.8674275631761</v>
      </c>
      <c r="AK129" s="208">
        <v>13003.01201915938</v>
      </c>
      <c r="AL129" s="208">
        <v>33137.251535107665</v>
      </c>
      <c r="AM129" s="208">
        <v>271.89997648787784</v>
      </c>
    </row>
    <row r="130" spans="3:39" x14ac:dyDescent="0.2">
      <c r="C130" s="13" t="s">
        <v>144</v>
      </c>
      <c r="D130" s="22" t="s">
        <v>24</v>
      </c>
      <c r="E130" s="208" t="s">
        <v>769</v>
      </c>
      <c r="F130" s="208">
        <v>1.1574915254237289E-7</v>
      </c>
      <c r="G130" s="208">
        <v>3.048101694915254E-7</v>
      </c>
      <c r="H130" s="208">
        <v>3.9294915254237288E-8</v>
      </c>
      <c r="I130" s="208">
        <v>4.5854237288135602E-8</v>
      </c>
      <c r="J130" s="208">
        <v>1.4406781000000002E-4</v>
      </c>
      <c r="K130" s="208">
        <v>2.41</v>
      </c>
      <c r="L130" s="208">
        <v>490337.75</v>
      </c>
      <c r="M130" s="208" t="s">
        <v>769</v>
      </c>
      <c r="N130" s="208" t="s">
        <v>769</v>
      </c>
      <c r="O130" s="208" t="s">
        <v>769</v>
      </c>
      <c r="P130" s="208" t="s">
        <v>769</v>
      </c>
      <c r="Q130" s="208" t="s">
        <v>769</v>
      </c>
      <c r="R130" s="208" t="s">
        <v>769</v>
      </c>
      <c r="S130" s="208" t="s">
        <v>769</v>
      </c>
      <c r="T130" s="208" t="s">
        <v>769</v>
      </c>
      <c r="U130" s="208" t="s">
        <v>769</v>
      </c>
      <c r="V130" s="208">
        <v>547000</v>
      </c>
      <c r="W130" s="208" t="s">
        <v>356</v>
      </c>
      <c r="X130" s="208" t="s">
        <v>769</v>
      </c>
      <c r="Y130" s="208" t="s">
        <v>769</v>
      </c>
      <c r="Z130" s="208" t="s">
        <v>769</v>
      </c>
      <c r="AA130" s="208" t="s">
        <v>769</v>
      </c>
      <c r="AB130" s="208">
        <v>94500</v>
      </c>
      <c r="AC130" s="208">
        <v>1.0000000000000001E-5</v>
      </c>
      <c r="AD130" s="208">
        <v>1.3</v>
      </c>
      <c r="AE130" s="208">
        <v>5.6000000000000001E-2</v>
      </c>
      <c r="AF130" s="208" t="s">
        <v>769</v>
      </c>
      <c r="AG130" s="208">
        <v>248.62068161867001</v>
      </c>
      <c r="AH130" s="208" t="s">
        <v>769</v>
      </c>
      <c r="AI130" s="208" t="s">
        <v>769</v>
      </c>
      <c r="AJ130" s="208">
        <v>1626.012545655846</v>
      </c>
      <c r="AK130" s="208">
        <v>4182.7763974000163</v>
      </c>
      <c r="AL130" s="208">
        <v>12429.829696303959</v>
      </c>
      <c r="AM130" s="208">
        <v>214.52217383719329</v>
      </c>
    </row>
    <row r="131" spans="3:39" x14ac:dyDescent="0.2">
      <c r="C131" s="13" t="s">
        <v>145</v>
      </c>
      <c r="D131" s="22" t="s">
        <v>28</v>
      </c>
      <c r="E131" s="208" t="s">
        <v>769</v>
      </c>
      <c r="F131" s="208" t="s">
        <v>769</v>
      </c>
      <c r="G131" s="208" t="s">
        <v>769</v>
      </c>
      <c r="H131" s="208" t="s">
        <v>769</v>
      </c>
      <c r="I131" s="208" t="s">
        <v>769</v>
      </c>
      <c r="J131" s="208" t="s">
        <v>769</v>
      </c>
      <c r="K131" s="208" t="s">
        <v>769</v>
      </c>
      <c r="L131" s="208">
        <v>377942</v>
      </c>
      <c r="M131" s="208" t="s">
        <v>769</v>
      </c>
      <c r="N131" s="208" t="s">
        <v>769</v>
      </c>
      <c r="O131" s="208" t="s">
        <v>769</v>
      </c>
      <c r="P131" s="208" t="s">
        <v>769</v>
      </c>
      <c r="Q131" s="208" t="s">
        <v>769</v>
      </c>
      <c r="R131" s="208" t="s">
        <v>769</v>
      </c>
      <c r="S131" s="208" t="s">
        <v>769</v>
      </c>
      <c r="T131" s="208" t="s">
        <v>769</v>
      </c>
      <c r="U131" s="208">
        <v>1</v>
      </c>
      <c r="V131" s="208" t="s">
        <v>769</v>
      </c>
      <c r="W131" s="208" t="s">
        <v>355</v>
      </c>
      <c r="X131" s="208" t="s">
        <v>769</v>
      </c>
      <c r="Y131" s="208" t="s">
        <v>769</v>
      </c>
      <c r="Z131" s="208" t="s">
        <v>769</v>
      </c>
      <c r="AA131" s="208" t="s">
        <v>769</v>
      </c>
      <c r="AB131" s="208">
        <v>73470</v>
      </c>
      <c r="AC131" s="208">
        <v>1.0000000000000001E-5</v>
      </c>
      <c r="AD131" s="208">
        <v>1.3</v>
      </c>
      <c r="AE131" s="208">
        <v>5.6000000000000001E-2</v>
      </c>
      <c r="AF131" s="208" t="s">
        <v>769</v>
      </c>
      <c r="AG131" s="208">
        <v>20806.272727272699</v>
      </c>
      <c r="AH131" s="208" t="s">
        <v>769</v>
      </c>
      <c r="AI131" s="208" t="s">
        <v>769</v>
      </c>
      <c r="AJ131" s="208">
        <v>5064.4581353055382</v>
      </c>
      <c r="AK131" s="208">
        <v>17267.537735962433</v>
      </c>
      <c r="AL131" s="208">
        <v>47433.076075207638</v>
      </c>
      <c r="AM131" s="208">
        <v>361.81315422834456</v>
      </c>
    </row>
    <row r="132" spans="3:39" x14ac:dyDescent="0.2">
      <c r="C132" s="13" t="s">
        <v>146</v>
      </c>
      <c r="D132" s="22" t="s">
        <v>31</v>
      </c>
      <c r="E132" s="208" t="s">
        <v>769</v>
      </c>
      <c r="F132" s="208">
        <v>1.1696186440677968E-6</v>
      </c>
      <c r="G132" s="208">
        <v>5.335169491525424E-7</v>
      </c>
      <c r="H132" s="208">
        <v>3.1271186440677972E-8</v>
      </c>
      <c r="I132" s="208">
        <v>4.4206779661016947E-8</v>
      </c>
      <c r="J132" s="208">
        <v>4.364406399999999E-4</v>
      </c>
      <c r="K132" s="208">
        <v>4.5</v>
      </c>
      <c r="L132" s="208">
        <v>3768759.16</v>
      </c>
      <c r="M132" s="208" t="s">
        <v>769</v>
      </c>
      <c r="N132" s="208" t="s">
        <v>769</v>
      </c>
      <c r="O132" s="208" t="s">
        <v>769</v>
      </c>
      <c r="P132" s="208" t="s">
        <v>769</v>
      </c>
      <c r="Q132" s="208" t="s">
        <v>769</v>
      </c>
      <c r="R132" s="208" t="s">
        <v>769</v>
      </c>
      <c r="S132" s="208" t="s">
        <v>769</v>
      </c>
      <c r="T132" s="208" t="s">
        <v>769</v>
      </c>
      <c r="U132" s="208">
        <v>0.17699999999999999</v>
      </c>
      <c r="V132" s="208" t="s">
        <v>769</v>
      </c>
      <c r="W132" s="208" t="s">
        <v>357</v>
      </c>
      <c r="X132" s="208" t="s">
        <v>769</v>
      </c>
      <c r="Y132" s="208" t="s">
        <v>769</v>
      </c>
      <c r="Z132" s="208" t="s">
        <v>769</v>
      </c>
      <c r="AA132" s="208" t="s">
        <v>769</v>
      </c>
      <c r="AB132" s="208">
        <v>1610</v>
      </c>
      <c r="AC132" s="208">
        <v>1.0000000000000001E-5</v>
      </c>
      <c r="AD132" s="208">
        <v>1.3</v>
      </c>
      <c r="AE132" s="208">
        <v>5.6000000000000001E-2</v>
      </c>
      <c r="AF132" s="208" t="s">
        <v>769</v>
      </c>
      <c r="AG132" s="208">
        <v>49.700331729116499</v>
      </c>
      <c r="AH132" s="208" t="s">
        <v>769</v>
      </c>
      <c r="AI132" s="208" t="s">
        <v>769</v>
      </c>
      <c r="AJ132" s="208">
        <v>3813.7985091030014</v>
      </c>
      <c r="AK132" s="208">
        <v>13133.362949098486</v>
      </c>
      <c r="AL132" s="208">
        <v>33827.554328411068</v>
      </c>
      <c r="AM132" s="208">
        <v>237.57596883567959</v>
      </c>
    </row>
    <row r="133" spans="3:39" x14ac:dyDescent="0.2">
      <c r="C133" s="13" t="s">
        <v>147</v>
      </c>
      <c r="D133" s="22" t="s">
        <v>31</v>
      </c>
      <c r="E133" s="208" t="s">
        <v>769</v>
      </c>
      <c r="F133" s="208">
        <v>1.0493333333333333E-7</v>
      </c>
      <c r="G133" s="208">
        <v>7.4000000000000001E-8</v>
      </c>
      <c r="H133" s="208">
        <v>7.1733333333333326E-9</v>
      </c>
      <c r="I133" s="208">
        <v>8.906666666666664E-9</v>
      </c>
      <c r="J133" s="208">
        <v>6.6666669999999994E-5</v>
      </c>
      <c r="K133" s="208">
        <v>4.28</v>
      </c>
      <c r="L133" s="208">
        <v>1297844.48</v>
      </c>
      <c r="M133" s="208" t="s">
        <v>769</v>
      </c>
      <c r="N133" s="208" t="s">
        <v>769</v>
      </c>
      <c r="O133" s="208" t="s">
        <v>769</v>
      </c>
      <c r="P133" s="208" t="s">
        <v>769</v>
      </c>
      <c r="Q133" s="208" t="s">
        <v>769</v>
      </c>
      <c r="R133" s="208" t="s">
        <v>769</v>
      </c>
      <c r="S133" s="208" t="s">
        <v>769</v>
      </c>
      <c r="T133" s="208" t="s">
        <v>769</v>
      </c>
      <c r="U133" s="208" t="s">
        <v>769</v>
      </c>
      <c r="V133" s="208" t="s">
        <v>769</v>
      </c>
      <c r="W133" s="208" t="s">
        <v>357</v>
      </c>
      <c r="X133" s="208" t="s">
        <v>769</v>
      </c>
      <c r="Y133" s="208" t="s">
        <v>769</v>
      </c>
      <c r="Z133" s="208" t="s">
        <v>769</v>
      </c>
      <c r="AA133" s="208" t="s">
        <v>769</v>
      </c>
      <c r="AB133" s="208">
        <v>1680</v>
      </c>
      <c r="AC133" s="208">
        <v>1.0000000000000001E-5</v>
      </c>
      <c r="AD133" s="208">
        <v>1.3</v>
      </c>
      <c r="AE133" s="208">
        <v>5.6000000000000001E-2</v>
      </c>
      <c r="AF133" s="208" t="s">
        <v>769</v>
      </c>
      <c r="AG133" s="208">
        <v>210.96459482392899</v>
      </c>
      <c r="AH133" s="208" t="s">
        <v>769</v>
      </c>
      <c r="AI133" s="208" t="s">
        <v>769</v>
      </c>
      <c r="AJ133" s="208">
        <v>3011.9070795368234</v>
      </c>
      <c r="AK133" s="208">
        <v>9035.4687828717724</v>
      </c>
      <c r="AL133" s="208">
        <v>25775.11386119288</v>
      </c>
      <c r="AM133" s="208">
        <v>191.94349895769577</v>
      </c>
    </row>
    <row r="134" spans="3:39" x14ac:dyDescent="0.2">
      <c r="C134" s="13" t="s">
        <v>148</v>
      </c>
      <c r="D134" s="22" t="s">
        <v>28</v>
      </c>
      <c r="E134" s="208">
        <v>-0.127</v>
      </c>
      <c r="F134" s="208">
        <v>1.2628836379700705E-6</v>
      </c>
      <c r="G134" s="208">
        <v>6.7997437738141265E-7</v>
      </c>
      <c r="H134" s="208">
        <v>1.6099607929758684E-8</v>
      </c>
      <c r="I134" s="208">
        <v>3.3093500469379871E-8</v>
      </c>
      <c r="J134" s="208">
        <v>6.0583136000000001E-4</v>
      </c>
      <c r="K134" s="208">
        <v>4.57</v>
      </c>
      <c r="L134" s="208">
        <v>12982685</v>
      </c>
      <c r="M134" s="208">
        <v>0.71499999999999997</v>
      </c>
      <c r="N134" s="208">
        <v>9282619.7750000004</v>
      </c>
      <c r="O134" s="208">
        <v>0.17</v>
      </c>
      <c r="P134" s="208">
        <v>2207056.4500000002</v>
      </c>
      <c r="Q134" s="208">
        <v>137</v>
      </c>
      <c r="R134" s="208">
        <v>14</v>
      </c>
      <c r="S134" s="208">
        <v>0.20247117809547724</v>
      </c>
      <c r="T134" s="208" t="s">
        <v>769</v>
      </c>
      <c r="U134" s="208" t="s">
        <v>769</v>
      </c>
      <c r="V134" s="208">
        <v>86000</v>
      </c>
      <c r="W134" s="208" t="s">
        <v>358</v>
      </c>
      <c r="X134" s="208">
        <v>0.1</v>
      </c>
      <c r="Y134" s="208">
        <v>0.1</v>
      </c>
      <c r="Z134" s="208">
        <v>0.1</v>
      </c>
      <c r="AA134" s="208">
        <v>0.1</v>
      </c>
      <c r="AB134" s="208">
        <v>29630</v>
      </c>
      <c r="AC134" s="208">
        <v>1.0000000000000001E-5</v>
      </c>
      <c r="AD134" s="208">
        <v>1.3</v>
      </c>
      <c r="AE134" s="208">
        <v>5.6000000000000001E-2</v>
      </c>
      <c r="AF134" s="208" t="s">
        <v>255</v>
      </c>
      <c r="AG134" s="208">
        <v>102.188020088267</v>
      </c>
      <c r="AH134" s="208">
        <v>64177.599999999999</v>
      </c>
      <c r="AI134" s="208">
        <v>2142878.85</v>
      </c>
      <c r="AJ134" s="208">
        <v>6495.3797789405362</v>
      </c>
      <c r="AK134" s="208">
        <v>22837.844763485144</v>
      </c>
      <c r="AL134" s="208">
        <v>63122.035452703945</v>
      </c>
      <c r="AM134" s="208">
        <v>406.76065651328435</v>
      </c>
    </row>
    <row r="135" spans="3:39" x14ac:dyDescent="0.2">
      <c r="C135" s="13" t="s">
        <v>149</v>
      </c>
      <c r="D135" s="22" t="s">
        <v>22</v>
      </c>
      <c r="E135" s="208" t="s">
        <v>769</v>
      </c>
      <c r="F135" s="208">
        <v>1.6227529411764704E-6</v>
      </c>
      <c r="G135" s="208">
        <v>7.1936470588235298E-7</v>
      </c>
      <c r="H135" s="208">
        <v>4.349647058823529E-8</v>
      </c>
      <c r="I135" s="208">
        <v>6.0225882352941167E-8</v>
      </c>
      <c r="J135" s="208">
        <v>6.1176469999999991E-4</v>
      </c>
      <c r="K135" s="208">
        <v>5.4</v>
      </c>
      <c r="L135" s="208">
        <v>211505.78</v>
      </c>
      <c r="M135" s="208" t="s">
        <v>769</v>
      </c>
      <c r="N135" s="208" t="s">
        <v>769</v>
      </c>
      <c r="O135" s="208" t="s">
        <v>769</v>
      </c>
      <c r="P135" s="208" t="s">
        <v>769</v>
      </c>
      <c r="Q135" s="208" t="s">
        <v>769</v>
      </c>
      <c r="R135" s="208" t="s">
        <v>769</v>
      </c>
      <c r="S135" s="208" t="s">
        <v>769</v>
      </c>
      <c r="T135" s="208" t="s">
        <v>769</v>
      </c>
      <c r="U135" s="208">
        <v>0.38200000000000001</v>
      </c>
      <c r="V135" s="208" t="s">
        <v>769</v>
      </c>
      <c r="W135" s="208" t="s">
        <v>358</v>
      </c>
      <c r="X135" s="208" t="s">
        <v>769</v>
      </c>
      <c r="Y135" s="208" t="s">
        <v>769</v>
      </c>
      <c r="Z135" s="208" t="s">
        <v>769</v>
      </c>
      <c r="AA135" s="208" t="s">
        <v>769</v>
      </c>
      <c r="AB135" s="208">
        <v>17110</v>
      </c>
      <c r="AC135" s="208">
        <v>1.0000000000000001E-5</v>
      </c>
      <c r="AD135" s="208">
        <v>1.3</v>
      </c>
      <c r="AE135" s="208">
        <v>5.6000000000000001E-2</v>
      </c>
      <c r="AF135" s="208" t="s">
        <v>769</v>
      </c>
      <c r="AG135" s="208">
        <v>1738.19</v>
      </c>
      <c r="AH135" s="208" t="s">
        <v>769</v>
      </c>
      <c r="AI135" s="208" t="s">
        <v>769</v>
      </c>
      <c r="AJ135" s="208">
        <v>3097.3888632320854</v>
      </c>
      <c r="AK135" s="208">
        <v>8741.3796605738335</v>
      </c>
      <c r="AL135" s="208">
        <v>20891.747259463067</v>
      </c>
      <c r="AM135" s="208">
        <v>272.89627121527172</v>
      </c>
    </row>
    <row r="136" spans="3:39" x14ac:dyDescent="0.2">
      <c r="C136" s="13" t="s">
        <v>150</v>
      </c>
      <c r="D136" s="22" t="s">
        <v>31</v>
      </c>
      <c r="E136" s="208" t="s">
        <v>769</v>
      </c>
      <c r="F136" s="208">
        <v>1.0528896000000001E-6</v>
      </c>
      <c r="G136" s="208">
        <v>4.7861760000000006E-7</v>
      </c>
      <c r="H136" s="208">
        <v>3.0105599999999997E-8</v>
      </c>
      <c r="I136" s="208">
        <v>4.1241599999999998E-8</v>
      </c>
      <c r="J136" s="208">
        <v>4.0799997000000001E-4</v>
      </c>
      <c r="K136" s="208">
        <v>5.81</v>
      </c>
      <c r="L136" s="208">
        <v>1937354.44</v>
      </c>
      <c r="M136" s="208" t="s">
        <v>769</v>
      </c>
      <c r="N136" s="208" t="s">
        <v>769</v>
      </c>
      <c r="O136" s="208" t="s">
        <v>769</v>
      </c>
      <c r="P136" s="208" t="s">
        <v>769</v>
      </c>
      <c r="Q136" s="208" t="s">
        <v>769</v>
      </c>
      <c r="R136" s="208" t="s">
        <v>769</v>
      </c>
      <c r="S136" s="208" t="s">
        <v>769</v>
      </c>
      <c r="T136" s="208" t="s">
        <v>769</v>
      </c>
      <c r="U136" s="208" t="s">
        <v>769</v>
      </c>
      <c r="V136" s="208" t="s">
        <v>769</v>
      </c>
      <c r="W136" s="208" t="s">
        <v>357</v>
      </c>
      <c r="X136" s="208" t="s">
        <v>769</v>
      </c>
      <c r="Y136" s="208" t="s">
        <v>769</v>
      </c>
      <c r="Z136" s="208" t="s">
        <v>769</v>
      </c>
      <c r="AA136" s="208" t="s">
        <v>769</v>
      </c>
      <c r="AB136" s="208">
        <v>2290</v>
      </c>
      <c r="AC136" s="208">
        <v>1.0000000000000001E-5</v>
      </c>
      <c r="AD136" s="208">
        <v>1.3</v>
      </c>
      <c r="AE136" s="208">
        <v>5.6000000000000001E-2</v>
      </c>
      <c r="AF136" s="208" t="s">
        <v>769</v>
      </c>
      <c r="AG136" s="208">
        <v>17.952108278219001</v>
      </c>
      <c r="AH136" s="208" t="s">
        <v>769</v>
      </c>
      <c r="AI136" s="208" t="s">
        <v>769</v>
      </c>
      <c r="AJ136" s="208">
        <v>3953.9946283444488</v>
      </c>
      <c r="AK136" s="208">
        <v>13649.688452701552</v>
      </c>
      <c r="AL136" s="208">
        <v>36064.823800470134</v>
      </c>
      <c r="AM136" s="208">
        <v>245.18633521081503</v>
      </c>
    </row>
    <row r="137" spans="3:39" x14ac:dyDescent="0.2">
      <c r="C137" s="13" t="s">
        <v>151</v>
      </c>
      <c r="D137" s="22" t="s">
        <v>26</v>
      </c>
      <c r="E137" s="208" t="s">
        <v>769</v>
      </c>
      <c r="F137" s="208">
        <v>4.6630956521739137E-8</v>
      </c>
      <c r="G137" s="208">
        <v>2.9374434782608701E-7</v>
      </c>
      <c r="H137" s="208">
        <v>4.4702608695652171E-9</v>
      </c>
      <c r="I137" s="208">
        <v>5.0180869565217387E-9</v>
      </c>
      <c r="J137" s="208">
        <v>4.9999997000000002E-4</v>
      </c>
      <c r="K137" s="208">
        <v>2.67</v>
      </c>
      <c r="L137" s="208">
        <v>348841.1875</v>
      </c>
      <c r="M137" s="208" t="s">
        <v>769</v>
      </c>
      <c r="N137" s="208" t="s">
        <v>769</v>
      </c>
      <c r="O137" s="208" t="s">
        <v>769</v>
      </c>
      <c r="P137" s="208" t="s">
        <v>769</v>
      </c>
      <c r="Q137" s="208" t="s">
        <v>769</v>
      </c>
      <c r="R137" s="208" t="s">
        <v>769</v>
      </c>
      <c r="S137" s="208" t="s">
        <v>769</v>
      </c>
      <c r="T137" s="208" t="s">
        <v>769</v>
      </c>
      <c r="U137" s="208" t="s">
        <v>769</v>
      </c>
      <c r="V137" s="208">
        <v>175000</v>
      </c>
      <c r="W137" s="208" t="s">
        <v>355</v>
      </c>
      <c r="X137" s="208">
        <v>0.89590000000000003</v>
      </c>
      <c r="Y137" s="208">
        <v>0.89590000000000003</v>
      </c>
      <c r="Z137" s="208">
        <v>0.89590000000000003</v>
      </c>
      <c r="AA137" s="208">
        <v>0.89590000000000003</v>
      </c>
      <c r="AB137" s="208">
        <v>48070</v>
      </c>
      <c r="AC137" s="208">
        <v>1.0000000000000001E-5</v>
      </c>
      <c r="AD137" s="208">
        <v>1.3</v>
      </c>
      <c r="AE137" s="208">
        <v>5.6000000000000001E-2</v>
      </c>
      <c r="AF137" s="208" t="s">
        <v>769</v>
      </c>
      <c r="AG137" s="208">
        <v>1620.425</v>
      </c>
      <c r="AH137" s="208" t="s">
        <v>769</v>
      </c>
      <c r="AI137" s="208" t="s">
        <v>769</v>
      </c>
      <c r="AJ137" s="208">
        <v>1992.5100637245175</v>
      </c>
      <c r="AK137" s="208">
        <v>4041.635903665016</v>
      </c>
      <c r="AL137" s="208">
        <v>11272.600946783738</v>
      </c>
      <c r="AM137" s="208">
        <v>188.92382678554279</v>
      </c>
    </row>
    <row r="138" spans="3:39" x14ac:dyDescent="0.2">
      <c r="C138" s="13" t="s">
        <v>152</v>
      </c>
      <c r="D138" s="22" t="s">
        <v>28</v>
      </c>
      <c r="E138" s="208" t="s">
        <v>769</v>
      </c>
      <c r="F138" s="208" t="s">
        <v>769</v>
      </c>
      <c r="G138" s="208" t="s">
        <v>769</v>
      </c>
      <c r="H138" s="208" t="s">
        <v>769</v>
      </c>
      <c r="I138" s="208" t="s">
        <v>769</v>
      </c>
      <c r="J138" s="208" t="s">
        <v>769</v>
      </c>
      <c r="K138" s="208" t="s">
        <v>769</v>
      </c>
      <c r="L138" s="208">
        <v>8614</v>
      </c>
      <c r="M138" s="208" t="s">
        <v>769</v>
      </c>
      <c r="N138" s="208" t="s">
        <v>769</v>
      </c>
      <c r="O138" s="208" t="s">
        <v>769</v>
      </c>
      <c r="P138" s="208" t="s">
        <v>769</v>
      </c>
      <c r="Q138" s="208" t="s">
        <v>769</v>
      </c>
      <c r="R138" s="208" t="s">
        <v>769</v>
      </c>
      <c r="S138" s="208" t="s">
        <v>769</v>
      </c>
      <c r="T138" s="208" t="s">
        <v>769</v>
      </c>
      <c r="U138" s="208">
        <v>0.49</v>
      </c>
      <c r="V138" s="208" t="s">
        <v>769</v>
      </c>
      <c r="W138" s="208" t="s">
        <v>358</v>
      </c>
      <c r="X138" s="208" t="s">
        <v>769</v>
      </c>
      <c r="Y138" s="208" t="s">
        <v>769</v>
      </c>
      <c r="Z138" s="208" t="s">
        <v>769</v>
      </c>
      <c r="AA138" s="208" t="s">
        <v>769</v>
      </c>
      <c r="AB138" s="208">
        <v>7210</v>
      </c>
      <c r="AC138" s="208">
        <v>1.0000000000000001E-5</v>
      </c>
      <c r="AD138" s="208">
        <v>1.3</v>
      </c>
      <c r="AE138" s="208">
        <v>5.6000000000000001E-2</v>
      </c>
      <c r="AF138" s="208" t="s">
        <v>769</v>
      </c>
      <c r="AG138" s="208">
        <v>233.611111111111</v>
      </c>
      <c r="AH138" s="208" t="s">
        <v>769</v>
      </c>
      <c r="AI138" s="208" t="s">
        <v>769</v>
      </c>
      <c r="AJ138" s="208">
        <v>953.00433134391858</v>
      </c>
      <c r="AK138" s="208">
        <v>2682.4248399601647</v>
      </c>
      <c r="AL138" s="208">
        <v>7791.2794697289901</v>
      </c>
      <c r="AM138" s="208">
        <v>76.950013487306407</v>
      </c>
    </row>
    <row r="139" spans="3:39" x14ac:dyDescent="0.2">
      <c r="C139" s="13" t="s">
        <v>153</v>
      </c>
      <c r="D139" s="22" t="s">
        <v>31</v>
      </c>
      <c r="E139" s="208" t="s">
        <v>769</v>
      </c>
      <c r="F139" s="208">
        <v>1.2221999999999999E-6</v>
      </c>
      <c r="G139" s="208">
        <v>5.4179999999999994E-7</v>
      </c>
      <c r="H139" s="208">
        <v>3.2759999999999997E-8</v>
      </c>
      <c r="I139" s="208">
        <v>4.5360000000000004E-8</v>
      </c>
      <c r="J139" s="208">
        <v>4.6470590000000003E-4</v>
      </c>
      <c r="K139" s="208">
        <v>5.77</v>
      </c>
      <c r="L139" s="208">
        <v>454000</v>
      </c>
      <c r="M139" s="208" t="s">
        <v>769</v>
      </c>
      <c r="N139" s="208" t="s">
        <v>769</v>
      </c>
      <c r="O139" s="208" t="s">
        <v>769</v>
      </c>
      <c r="P139" s="208" t="s">
        <v>769</v>
      </c>
      <c r="Q139" s="208" t="s">
        <v>769</v>
      </c>
      <c r="R139" s="208" t="s">
        <v>769</v>
      </c>
      <c r="S139" s="208" t="s">
        <v>769</v>
      </c>
      <c r="T139" s="208" t="s">
        <v>769</v>
      </c>
      <c r="U139" s="208" t="s">
        <v>769</v>
      </c>
      <c r="V139" s="208" t="s">
        <v>769</v>
      </c>
      <c r="W139" s="208" t="s">
        <v>357</v>
      </c>
      <c r="X139" s="208" t="s">
        <v>769</v>
      </c>
      <c r="Y139" s="208" t="s">
        <v>769</v>
      </c>
      <c r="Z139" s="208" t="s">
        <v>769</v>
      </c>
      <c r="AA139" s="208" t="s">
        <v>769</v>
      </c>
      <c r="AB139" s="208">
        <v>5890</v>
      </c>
      <c r="AC139" s="208">
        <v>1.0000000000000001E-5</v>
      </c>
      <c r="AD139" s="208">
        <v>1.3</v>
      </c>
      <c r="AE139" s="208">
        <v>5.6000000000000001E-2</v>
      </c>
      <c r="AF139" s="208" t="s">
        <v>769</v>
      </c>
      <c r="AG139" s="208">
        <v>4.4775143106626603</v>
      </c>
      <c r="AH139" s="208" t="s">
        <v>769</v>
      </c>
      <c r="AI139" s="208" t="s">
        <v>769</v>
      </c>
      <c r="AJ139" s="208">
        <v>3731.9298077976168</v>
      </c>
      <c r="AK139" s="208">
        <v>13157.467054122128</v>
      </c>
      <c r="AL139" s="208">
        <v>33822.951633387049</v>
      </c>
      <c r="AM139" s="208">
        <v>243.0170677616548</v>
      </c>
    </row>
    <row r="140" spans="3:39" x14ac:dyDescent="0.2">
      <c r="C140" s="13" t="s">
        <v>154</v>
      </c>
      <c r="D140" s="22" t="s">
        <v>31</v>
      </c>
      <c r="E140" s="208">
        <v>-0.28999999999999998</v>
      </c>
      <c r="F140" s="208">
        <v>1.8585846153846155E-6</v>
      </c>
      <c r="G140" s="208">
        <v>8.9745641025641047E-7</v>
      </c>
      <c r="H140" s="208">
        <v>4.4923076923076927E-8</v>
      </c>
      <c r="I140" s="208">
        <v>6.9333333333333345E-8</v>
      </c>
      <c r="J140" s="208">
        <v>6.3247864000000006E-4</v>
      </c>
      <c r="K140" s="208">
        <v>3.48</v>
      </c>
      <c r="L140" s="208">
        <v>438000</v>
      </c>
      <c r="M140" s="208">
        <v>0.83</v>
      </c>
      <c r="N140" s="208">
        <v>363540</v>
      </c>
      <c r="O140" s="208">
        <v>0</v>
      </c>
      <c r="P140" s="208">
        <v>0</v>
      </c>
      <c r="Q140" s="208">
        <v>3</v>
      </c>
      <c r="R140" s="208">
        <v>0</v>
      </c>
      <c r="S140" s="208">
        <v>0</v>
      </c>
      <c r="T140" s="208" t="s">
        <v>769</v>
      </c>
      <c r="U140" s="208">
        <v>0.98</v>
      </c>
      <c r="V140" s="208">
        <v>62000</v>
      </c>
      <c r="W140" s="208" t="s">
        <v>358</v>
      </c>
      <c r="X140" s="208">
        <v>0.91</v>
      </c>
      <c r="Y140" s="208">
        <v>0.91</v>
      </c>
      <c r="Z140" s="208">
        <v>0.91</v>
      </c>
      <c r="AA140" s="208">
        <v>0.91</v>
      </c>
      <c r="AB140" s="208">
        <v>23970</v>
      </c>
      <c r="AC140" s="208">
        <v>1.0000000000000001E-5</v>
      </c>
      <c r="AD140" s="208">
        <v>1.3</v>
      </c>
      <c r="AE140" s="208">
        <v>5.6000000000000001E-2</v>
      </c>
      <c r="AF140" s="208" t="s">
        <v>255</v>
      </c>
      <c r="AG140" s="208">
        <v>634.11817726589902</v>
      </c>
      <c r="AH140" s="208">
        <v>0</v>
      </c>
      <c r="AI140" s="208">
        <v>0</v>
      </c>
      <c r="AJ140" s="208">
        <v>1485.520737971262</v>
      </c>
      <c r="AK140" s="208">
        <v>3851.9146179343375</v>
      </c>
      <c r="AL140" s="208">
        <v>11421.4077897882</v>
      </c>
      <c r="AM140" s="208">
        <v>83.787041175034332</v>
      </c>
    </row>
    <row r="141" spans="3:39" x14ac:dyDescent="0.2">
      <c r="C141" s="13" t="s">
        <v>155</v>
      </c>
      <c r="D141" s="22" t="s">
        <v>33</v>
      </c>
      <c r="E141" s="208">
        <v>-0.60199999999999998</v>
      </c>
      <c r="F141" s="208">
        <v>3.6635233203205261E-7</v>
      </c>
      <c r="G141" s="208">
        <v>3.5612008570841524E-7</v>
      </c>
      <c r="H141" s="208">
        <v>1.0915812028530336E-8</v>
      </c>
      <c r="I141" s="208">
        <v>1.5616660307023977E-8</v>
      </c>
      <c r="J141" s="208">
        <v>4.753588E-4</v>
      </c>
      <c r="K141" s="208">
        <v>3.74</v>
      </c>
      <c r="L141" s="208">
        <v>53100000</v>
      </c>
      <c r="M141" s="208">
        <v>0.72</v>
      </c>
      <c r="N141" s="208">
        <v>38232000</v>
      </c>
      <c r="O141" s="208">
        <v>0.05</v>
      </c>
      <c r="P141" s="208">
        <v>2655000</v>
      </c>
      <c r="Q141" s="208">
        <v>363</v>
      </c>
      <c r="R141" s="208">
        <v>17</v>
      </c>
      <c r="S141" s="208">
        <v>7.9045867296149375E-2</v>
      </c>
      <c r="T141" s="208" t="s">
        <v>769</v>
      </c>
      <c r="U141" s="208" t="s">
        <v>769</v>
      </c>
      <c r="V141" s="208">
        <v>73000</v>
      </c>
      <c r="W141" s="208" t="s">
        <v>357</v>
      </c>
      <c r="X141" s="208">
        <v>0.745</v>
      </c>
      <c r="Y141" s="208">
        <v>0.745</v>
      </c>
      <c r="Z141" s="208">
        <v>0.745</v>
      </c>
      <c r="AA141" s="208">
        <v>0.745</v>
      </c>
      <c r="AB141" s="208">
        <v>20590</v>
      </c>
      <c r="AC141" s="208">
        <v>1.0000000000000001E-5</v>
      </c>
      <c r="AD141" s="208">
        <v>1.3</v>
      </c>
      <c r="AE141" s="208">
        <v>5.6000000000000001E-2</v>
      </c>
      <c r="AF141" s="208" t="s">
        <v>255</v>
      </c>
      <c r="AG141" s="208">
        <v>65.179216543635405</v>
      </c>
      <c r="AH141" s="208" t="s">
        <v>769</v>
      </c>
      <c r="AI141" s="208" t="s">
        <v>769</v>
      </c>
      <c r="AJ141" s="208">
        <v>4145.7635283578957</v>
      </c>
      <c r="AK141" s="208">
        <v>13842.951332854016</v>
      </c>
      <c r="AL141" s="208">
        <v>36715.301450655636</v>
      </c>
      <c r="AM141" s="208">
        <v>277.86486423475782</v>
      </c>
    </row>
    <row r="142" spans="3:39" x14ac:dyDescent="0.2">
      <c r="C142" s="13" t="s">
        <v>156</v>
      </c>
      <c r="D142" s="22" t="s">
        <v>28</v>
      </c>
      <c r="E142" s="208" t="s">
        <v>769</v>
      </c>
      <c r="F142" s="208" t="s">
        <v>769</v>
      </c>
      <c r="G142" s="208" t="s">
        <v>769</v>
      </c>
      <c r="H142" s="208" t="s">
        <v>769</v>
      </c>
      <c r="I142" s="208" t="s">
        <v>769</v>
      </c>
      <c r="J142" s="208" t="s">
        <v>769</v>
      </c>
      <c r="K142" s="208" t="s">
        <v>769</v>
      </c>
      <c r="L142" s="208">
        <v>26039.57</v>
      </c>
      <c r="M142" s="208" t="s">
        <v>769</v>
      </c>
      <c r="N142" s="208" t="s">
        <v>769</v>
      </c>
      <c r="O142" s="208" t="s">
        <v>769</v>
      </c>
      <c r="P142" s="208" t="s">
        <v>769</v>
      </c>
      <c r="Q142" s="208" t="s">
        <v>769</v>
      </c>
      <c r="R142" s="208" t="s">
        <v>769</v>
      </c>
      <c r="S142" s="208" t="s">
        <v>769</v>
      </c>
      <c r="T142" s="208" t="s">
        <v>769</v>
      </c>
      <c r="U142" s="208">
        <v>0.08</v>
      </c>
      <c r="V142" s="208" t="s">
        <v>769</v>
      </c>
      <c r="W142" s="208" t="s">
        <v>358</v>
      </c>
      <c r="X142" s="208" t="s">
        <v>769</v>
      </c>
      <c r="Y142" s="208" t="s">
        <v>769</v>
      </c>
      <c r="Z142" s="208" t="s">
        <v>769</v>
      </c>
      <c r="AA142" s="208" t="s">
        <v>769</v>
      </c>
      <c r="AB142" s="208">
        <v>4320</v>
      </c>
      <c r="AC142" s="208">
        <v>1.0000000000000001E-5</v>
      </c>
      <c r="AD142" s="208">
        <v>1.3</v>
      </c>
      <c r="AE142" s="208">
        <v>5.6000000000000001E-2</v>
      </c>
      <c r="AF142" s="208" t="s">
        <v>769</v>
      </c>
      <c r="AG142" s="208">
        <v>161.61571428571401</v>
      </c>
      <c r="AH142" s="208" t="s">
        <v>769</v>
      </c>
      <c r="AI142" s="208" t="s">
        <v>769</v>
      </c>
      <c r="AJ142" s="208">
        <v>900.30627015746677</v>
      </c>
      <c r="AK142" s="208">
        <v>2386.4438705040384</v>
      </c>
      <c r="AL142" s="208">
        <v>6907.7508993984447</v>
      </c>
      <c r="AM142" s="208">
        <v>71.320310425550375</v>
      </c>
    </row>
    <row r="143" spans="3:39" x14ac:dyDescent="0.2">
      <c r="C143" s="13" t="s">
        <v>157</v>
      </c>
      <c r="D143" s="22" t="s">
        <v>24</v>
      </c>
      <c r="E143" s="208" t="s">
        <v>769</v>
      </c>
      <c r="F143" s="208">
        <v>6.6802330827067664E-8</v>
      </c>
      <c r="G143" s="208">
        <v>3.1222556390977451E-7</v>
      </c>
      <c r="H143" s="208">
        <v>5.2490977443609014E-9</v>
      </c>
      <c r="I143" s="208">
        <v>6.0272932330827047E-9</v>
      </c>
      <c r="J143" s="208">
        <v>6.4849630000000003E-4</v>
      </c>
      <c r="K143" s="208" t="s">
        <v>769</v>
      </c>
      <c r="L143" s="208">
        <v>3981200</v>
      </c>
      <c r="M143" s="208" t="s">
        <v>769</v>
      </c>
      <c r="N143" s="208" t="s">
        <v>769</v>
      </c>
      <c r="O143" s="208" t="s">
        <v>769</v>
      </c>
      <c r="P143" s="208" t="s">
        <v>769</v>
      </c>
      <c r="Q143" s="208" t="s">
        <v>769</v>
      </c>
      <c r="R143" s="208" t="s">
        <v>769</v>
      </c>
      <c r="S143" s="208" t="s">
        <v>769</v>
      </c>
      <c r="T143" s="208" t="s">
        <v>769</v>
      </c>
      <c r="U143" s="208" t="s">
        <v>769</v>
      </c>
      <c r="V143" s="208" t="s">
        <v>769</v>
      </c>
      <c r="W143" s="208" t="s">
        <v>356</v>
      </c>
      <c r="X143" s="208" t="s">
        <v>769</v>
      </c>
      <c r="Y143" s="208" t="s">
        <v>769</v>
      </c>
      <c r="Z143" s="208" t="s">
        <v>769</v>
      </c>
      <c r="AA143" s="208" t="s">
        <v>769</v>
      </c>
      <c r="AB143" s="208">
        <v>15990</v>
      </c>
      <c r="AC143" s="208">
        <v>1.0000000000000001E-5</v>
      </c>
      <c r="AD143" s="208">
        <v>1.3</v>
      </c>
      <c r="AE143" s="208">
        <v>5.6000000000000001E-2</v>
      </c>
      <c r="AF143" s="208" t="s">
        <v>769</v>
      </c>
      <c r="AG143" s="208">
        <v>90.110355122019001</v>
      </c>
      <c r="AH143" s="208" t="s">
        <v>769</v>
      </c>
      <c r="AI143" s="208" t="s">
        <v>769</v>
      </c>
      <c r="AJ143" s="208">
        <v>3881.6956030833862</v>
      </c>
      <c r="AK143" s="208">
        <v>12904.823764006132</v>
      </c>
      <c r="AL143" s="208">
        <v>32682.971023819333</v>
      </c>
      <c r="AM143" s="208">
        <v>148.17783042763165</v>
      </c>
    </row>
    <row r="144" spans="3:39" x14ac:dyDescent="0.2">
      <c r="C144" s="13" t="s">
        <v>158</v>
      </c>
      <c r="D144" s="22" t="s">
        <v>24</v>
      </c>
      <c r="E144" s="208" t="s">
        <v>769</v>
      </c>
      <c r="F144" s="208" t="s">
        <v>769</v>
      </c>
      <c r="G144" s="208" t="s">
        <v>769</v>
      </c>
      <c r="H144" s="208" t="s">
        <v>769</v>
      </c>
      <c r="I144" s="208" t="s">
        <v>769</v>
      </c>
      <c r="J144" s="208" t="s">
        <v>769</v>
      </c>
      <c r="K144" s="208">
        <v>2.13</v>
      </c>
      <c r="L144" s="208">
        <v>46000</v>
      </c>
      <c r="M144" s="208" t="s">
        <v>769</v>
      </c>
      <c r="N144" s="208" t="s">
        <v>769</v>
      </c>
      <c r="O144" s="208" t="s">
        <v>769</v>
      </c>
      <c r="P144" s="208" t="s">
        <v>769</v>
      </c>
      <c r="Q144" s="208" t="s">
        <v>769</v>
      </c>
      <c r="R144" s="208" t="s">
        <v>769</v>
      </c>
      <c r="S144" s="208" t="s">
        <v>769</v>
      </c>
      <c r="T144" s="208" t="s">
        <v>769</v>
      </c>
      <c r="U144" s="208">
        <v>1</v>
      </c>
      <c r="V144" s="208" t="s">
        <v>769</v>
      </c>
      <c r="W144" s="208" t="s">
        <v>355</v>
      </c>
      <c r="X144" s="208" t="s">
        <v>769</v>
      </c>
      <c r="Y144" s="208" t="s">
        <v>769</v>
      </c>
      <c r="Z144" s="208" t="s">
        <v>769</v>
      </c>
      <c r="AA144" s="208" t="s">
        <v>769</v>
      </c>
      <c r="AB144" s="208" t="s">
        <v>676</v>
      </c>
      <c r="AC144" s="208">
        <v>1.0000000000000001E-5</v>
      </c>
      <c r="AD144" s="208">
        <v>1.3</v>
      </c>
      <c r="AE144" s="208">
        <v>5.6000000000000001E-2</v>
      </c>
      <c r="AF144" s="208" t="s">
        <v>769</v>
      </c>
      <c r="AG144" s="208">
        <v>17603.646833013401</v>
      </c>
      <c r="AH144" s="208" t="s">
        <v>769</v>
      </c>
      <c r="AI144" s="208" t="s">
        <v>769</v>
      </c>
      <c r="AJ144" s="208">
        <v>1056.6321617533713</v>
      </c>
      <c r="AK144" s="208">
        <v>2555.5164016862777</v>
      </c>
      <c r="AL144" s="208">
        <v>7275.4700105684396</v>
      </c>
      <c r="AM144" s="208">
        <v>130.65063602232959</v>
      </c>
    </row>
    <row r="145" spans="3:39" x14ac:dyDescent="0.2">
      <c r="C145" s="13" t="s">
        <v>159</v>
      </c>
      <c r="D145" s="22" t="s">
        <v>28</v>
      </c>
      <c r="E145" s="208" t="s">
        <v>769</v>
      </c>
      <c r="F145" s="208">
        <v>2.5708615384615384E-6</v>
      </c>
      <c r="G145" s="208">
        <v>1.1290153846153847E-6</v>
      </c>
      <c r="H145" s="208">
        <v>2.9492307692307691E-8</v>
      </c>
      <c r="I145" s="208">
        <v>6.3729230769230762E-8</v>
      </c>
      <c r="J145" s="208">
        <v>7.7179486000000005E-4</v>
      </c>
      <c r="K145" s="208">
        <v>3.63</v>
      </c>
      <c r="L145" s="208">
        <v>2900000</v>
      </c>
      <c r="M145" s="208" t="s">
        <v>769</v>
      </c>
      <c r="N145" s="208" t="s">
        <v>769</v>
      </c>
      <c r="O145" s="208" t="s">
        <v>769</v>
      </c>
      <c r="P145" s="208" t="s">
        <v>769</v>
      </c>
      <c r="Q145" s="208" t="s">
        <v>769</v>
      </c>
      <c r="R145" s="208" t="s">
        <v>769</v>
      </c>
      <c r="S145" s="208" t="s">
        <v>769</v>
      </c>
      <c r="T145" s="208" t="s">
        <v>769</v>
      </c>
      <c r="U145" s="208" t="s">
        <v>769</v>
      </c>
      <c r="V145" s="208" t="s">
        <v>769</v>
      </c>
      <c r="W145" s="208" t="s">
        <v>357</v>
      </c>
      <c r="X145" s="208" t="s">
        <v>769</v>
      </c>
      <c r="Y145" s="208" t="s">
        <v>769</v>
      </c>
      <c r="Z145" s="208" t="s">
        <v>769</v>
      </c>
      <c r="AA145" s="208" t="s">
        <v>769</v>
      </c>
      <c r="AB145" s="208">
        <v>12770</v>
      </c>
      <c r="AC145" s="208">
        <v>1.0000000000000001E-5</v>
      </c>
      <c r="AD145" s="208">
        <v>1.3</v>
      </c>
      <c r="AE145" s="208">
        <v>5.6000000000000001E-2</v>
      </c>
      <c r="AF145" s="208" t="s">
        <v>769</v>
      </c>
      <c r="AG145" s="208">
        <v>2.1494490875482399</v>
      </c>
      <c r="AH145" s="208" t="s">
        <v>769</v>
      </c>
      <c r="AI145" s="208" t="s">
        <v>769</v>
      </c>
      <c r="AJ145" s="208">
        <v>4009.6455263855946</v>
      </c>
      <c r="AK145" s="208">
        <v>14167.882495953296</v>
      </c>
      <c r="AL145" s="208">
        <v>37555.119345702595</v>
      </c>
      <c r="AM145" s="208">
        <v>291.47162385897553</v>
      </c>
    </row>
    <row r="146" spans="3:39" x14ac:dyDescent="0.2">
      <c r="C146" s="13" t="s">
        <v>160</v>
      </c>
      <c r="D146" s="22" t="s">
        <v>24</v>
      </c>
      <c r="E146" s="208" t="s">
        <v>769</v>
      </c>
      <c r="F146" s="208">
        <v>1.3823564954682781E-6</v>
      </c>
      <c r="G146" s="208">
        <v>6.068882175226586E-7</v>
      </c>
      <c r="H146" s="208">
        <v>1.5172205438066466E-8</v>
      </c>
      <c r="I146" s="208">
        <v>3.3716012084592141E-8</v>
      </c>
      <c r="J146" s="208">
        <v>4.8338370000000001E-4</v>
      </c>
      <c r="K146" s="208">
        <v>3.29</v>
      </c>
      <c r="L146" s="208">
        <v>329780.3125</v>
      </c>
      <c r="M146" s="208" t="s">
        <v>769</v>
      </c>
      <c r="N146" s="208" t="s">
        <v>769</v>
      </c>
      <c r="O146" s="208" t="s">
        <v>769</v>
      </c>
      <c r="P146" s="208" t="s">
        <v>769</v>
      </c>
      <c r="Q146" s="208" t="s">
        <v>769</v>
      </c>
      <c r="R146" s="208" t="s">
        <v>769</v>
      </c>
      <c r="S146" s="208" t="s">
        <v>769</v>
      </c>
      <c r="T146" s="208" t="s">
        <v>769</v>
      </c>
      <c r="U146" s="208">
        <v>0.75900000000000001</v>
      </c>
      <c r="V146" s="208">
        <v>102000</v>
      </c>
      <c r="W146" s="208" t="s">
        <v>356</v>
      </c>
      <c r="X146" s="208" t="s">
        <v>769</v>
      </c>
      <c r="Y146" s="208" t="s">
        <v>769</v>
      </c>
      <c r="Z146" s="208" t="s">
        <v>769</v>
      </c>
      <c r="AA146" s="208" t="s">
        <v>769</v>
      </c>
      <c r="AB146" s="208">
        <v>25020</v>
      </c>
      <c r="AC146" s="208">
        <v>1.0000000000000001E-5</v>
      </c>
      <c r="AD146" s="208">
        <v>1.3</v>
      </c>
      <c r="AE146" s="208">
        <v>5.6000000000000001E-2</v>
      </c>
      <c r="AF146" s="208" t="s">
        <v>769</v>
      </c>
      <c r="AG146" s="208">
        <v>46.037992565055802</v>
      </c>
      <c r="AH146" s="208" t="s">
        <v>769</v>
      </c>
      <c r="AI146" s="208" t="s">
        <v>769</v>
      </c>
      <c r="AJ146" s="208">
        <v>3174.8115361112441</v>
      </c>
      <c r="AK146" s="208">
        <v>10155.566910014571</v>
      </c>
      <c r="AL146" s="208">
        <v>27026.378685883767</v>
      </c>
      <c r="AM146" s="208">
        <v>152.66481205984604</v>
      </c>
    </row>
    <row r="147" spans="3:39" x14ac:dyDescent="0.2">
      <c r="C147" s="13" t="s">
        <v>161</v>
      </c>
      <c r="D147" s="22" t="s">
        <v>26</v>
      </c>
      <c r="E147" s="208" t="s">
        <v>769</v>
      </c>
      <c r="F147" s="208">
        <v>2.2440490026563634E-6</v>
      </c>
      <c r="G147" s="208">
        <v>9.9199517024873233E-7</v>
      </c>
      <c r="H147" s="208">
        <v>2.7594291234001453E-8</v>
      </c>
      <c r="I147" s="208">
        <v>5.7165409321419957E-8</v>
      </c>
      <c r="J147" s="208">
        <v>6.6264189999999993E-4</v>
      </c>
      <c r="K147" s="208">
        <v>4.58</v>
      </c>
      <c r="L147" s="208">
        <v>6852000</v>
      </c>
      <c r="M147" s="208" t="s">
        <v>769</v>
      </c>
      <c r="N147" s="208" t="s">
        <v>769</v>
      </c>
      <c r="O147" s="208" t="s">
        <v>769</v>
      </c>
      <c r="P147" s="208" t="s">
        <v>769</v>
      </c>
      <c r="Q147" s="208">
        <v>14</v>
      </c>
      <c r="R147" s="208" t="s">
        <v>769</v>
      </c>
      <c r="S147" s="208" t="s">
        <v>769</v>
      </c>
      <c r="T147" s="208">
        <v>0.32</v>
      </c>
      <c r="U147" s="208" t="s">
        <v>769</v>
      </c>
      <c r="V147" s="208">
        <v>69000</v>
      </c>
      <c r="W147" s="208" t="s">
        <v>357</v>
      </c>
      <c r="X147" s="208">
        <v>0.37</v>
      </c>
      <c r="Y147" s="208">
        <v>0.37</v>
      </c>
      <c r="Z147" s="208">
        <v>0.37</v>
      </c>
      <c r="AA147" s="208">
        <v>0.37</v>
      </c>
      <c r="AB147" s="208">
        <v>8460</v>
      </c>
      <c r="AC147" s="208">
        <v>1.0000000000000001E-5</v>
      </c>
      <c r="AD147" s="208">
        <v>1.3</v>
      </c>
      <c r="AE147" s="208">
        <v>5.6000000000000001E-2</v>
      </c>
      <c r="AF147" s="208" t="s">
        <v>769</v>
      </c>
      <c r="AG147" s="208">
        <v>83.075473896482194</v>
      </c>
      <c r="AH147" s="208" t="s">
        <v>769</v>
      </c>
      <c r="AI147" s="208" t="s">
        <v>769</v>
      </c>
      <c r="AJ147" s="208">
        <v>3879.5849413541946</v>
      </c>
      <c r="AK147" s="208">
        <v>12943.911436675662</v>
      </c>
      <c r="AL147" s="208">
        <v>32789.834136232581</v>
      </c>
      <c r="AM147" s="208">
        <v>246.66391448591253</v>
      </c>
    </row>
    <row r="148" spans="3:39" x14ac:dyDescent="0.2">
      <c r="C148" s="13" t="s">
        <v>162</v>
      </c>
      <c r="D148" s="22" t="s">
        <v>31</v>
      </c>
      <c r="E148" s="208" t="s">
        <v>769</v>
      </c>
      <c r="F148" s="208">
        <v>1.6932681388012619E-8</v>
      </c>
      <c r="G148" s="208">
        <v>6.51179810725552E-8</v>
      </c>
      <c r="H148" s="208">
        <v>1.669968454258675E-9</v>
      </c>
      <c r="I148" s="208">
        <v>1.944416403785489E-9</v>
      </c>
      <c r="J148" s="208">
        <v>1.3564668E-4</v>
      </c>
      <c r="K148" s="208">
        <v>4.5199999999999996</v>
      </c>
      <c r="L148" s="208">
        <v>2500000</v>
      </c>
      <c r="M148" s="208" t="s">
        <v>769</v>
      </c>
      <c r="N148" s="208" t="s">
        <v>769</v>
      </c>
      <c r="O148" s="208" t="s">
        <v>769</v>
      </c>
      <c r="P148" s="208" t="s">
        <v>769</v>
      </c>
      <c r="Q148" s="208" t="s">
        <v>769</v>
      </c>
      <c r="R148" s="208" t="s">
        <v>769</v>
      </c>
      <c r="S148" s="208" t="s">
        <v>769</v>
      </c>
      <c r="T148" s="208" t="s">
        <v>769</v>
      </c>
      <c r="U148" s="208" t="s">
        <v>769</v>
      </c>
      <c r="V148" s="208" t="s">
        <v>769</v>
      </c>
      <c r="W148" s="208" t="s">
        <v>357</v>
      </c>
      <c r="X148" s="208" t="s">
        <v>769</v>
      </c>
      <c r="Y148" s="208" t="s">
        <v>769</v>
      </c>
      <c r="Z148" s="208" t="s">
        <v>769</v>
      </c>
      <c r="AA148" s="208" t="s">
        <v>769</v>
      </c>
      <c r="AB148" s="208">
        <v>1410</v>
      </c>
      <c r="AC148" s="208">
        <v>1.0000000000000001E-5</v>
      </c>
      <c r="AD148" s="208">
        <v>1.3</v>
      </c>
      <c r="AE148" s="208">
        <v>5.6000000000000001E-2</v>
      </c>
      <c r="AF148" s="208" t="s">
        <v>769</v>
      </c>
      <c r="AG148" s="208">
        <v>40.790803428368001</v>
      </c>
      <c r="AH148" s="208" t="s">
        <v>769</v>
      </c>
      <c r="AI148" s="208" t="s">
        <v>769</v>
      </c>
      <c r="AJ148" s="208">
        <v>3150.3326232838144</v>
      </c>
      <c r="AK148" s="208">
        <v>10210.121633581182</v>
      </c>
      <c r="AL148" s="208">
        <v>28470.284128576051</v>
      </c>
      <c r="AM148" s="208">
        <v>181.38102681741475</v>
      </c>
    </row>
    <row r="149" spans="3:39" x14ac:dyDescent="0.2">
      <c r="C149" s="13" t="s">
        <v>163</v>
      </c>
      <c r="D149" s="22" t="s">
        <v>28</v>
      </c>
      <c r="E149" s="208" t="s">
        <v>769</v>
      </c>
      <c r="F149" s="208">
        <v>3.253910936733693E-7</v>
      </c>
      <c r="G149" s="208">
        <v>2.7872015693967626E-7</v>
      </c>
      <c r="H149" s="208">
        <v>6.5726924963217255E-9</v>
      </c>
      <c r="I149" s="208">
        <v>1.1131397743992152E-8</v>
      </c>
      <c r="J149" s="208">
        <v>4.835703700000001E-4</v>
      </c>
      <c r="K149" s="208">
        <v>4.22</v>
      </c>
      <c r="L149" s="208">
        <v>4677306.5290000001</v>
      </c>
      <c r="M149" s="208" t="s">
        <v>769</v>
      </c>
      <c r="N149" s="208" t="s">
        <v>769</v>
      </c>
      <c r="O149" s="208" t="s">
        <v>769</v>
      </c>
      <c r="P149" s="208" t="s">
        <v>769</v>
      </c>
      <c r="Q149" s="208" t="s">
        <v>769</v>
      </c>
      <c r="R149" s="208" t="s">
        <v>769</v>
      </c>
      <c r="S149" s="208" t="s">
        <v>769</v>
      </c>
      <c r="T149" s="208" t="s">
        <v>769</v>
      </c>
      <c r="U149" s="208">
        <v>0.6</v>
      </c>
      <c r="V149" s="208" t="s">
        <v>769</v>
      </c>
      <c r="W149" s="208" t="s">
        <v>355</v>
      </c>
      <c r="X149" s="208" t="s">
        <v>769</v>
      </c>
      <c r="Y149" s="208" t="s">
        <v>769</v>
      </c>
      <c r="Z149" s="208" t="s">
        <v>769</v>
      </c>
      <c r="AA149" s="208" t="s">
        <v>769</v>
      </c>
      <c r="AB149" s="208">
        <v>5060</v>
      </c>
      <c r="AC149" s="208">
        <v>1.0000000000000001E-5</v>
      </c>
      <c r="AD149" s="208">
        <v>1.3</v>
      </c>
      <c r="AE149" s="208">
        <v>5.6000000000000001E-2</v>
      </c>
      <c r="AF149" s="208" t="s">
        <v>769</v>
      </c>
      <c r="AG149" s="208">
        <v>82.427695466315299</v>
      </c>
      <c r="AH149" s="208" t="s">
        <v>769</v>
      </c>
      <c r="AI149" s="208" t="s">
        <v>769</v>
      </c>
      <c r="AJ149" s="208">
        <v>3985.0415072498881</v>
      </c>
      <c r="AK149" s="208">
        <v>12904.120329896004</v>
      </c>
      <c r="AL149" s="208">
        <v>32700.996206839551</v>
      </c>
      <c r="AM149" s="208">
        <v>235.68110472086084</v>
      </c>
    </row>
    <row r="150" spans="3:39" x14ac:dyDescent="0.2">
      <c r="C150" s="13" t="s">
        <v>164</v>
      </c>
      <c r="D150" s="22" t="s">
        <v>31</v>
      </c>
      <c r="E150" s="208" t="s">
        <v>769</v>
      </c>
      <c r="F150" s="208">
        <v>1.0933333333333333E-7</v>
      </c>
      <c r="G150" s="208">
        <v>4.7999999999999993E-8</v>
      </c>
      <c r="H150" s="208">
        <v>1.2E-9</v>
      </c>
      <c r="I150" s="208">
        <v>2.6666666666666661E-9</v>
      </c>
      <c r="J150" s="208">
        <v>5.9259260000000001E-5</v>
      </c>
      <c r="K150" s="208">
        <v>4.24</v>
      </c>
      <c r="L150" s="208">
        <v>256729</v>
      </c>
      <c r="M150" s="208" t="s">
        <v>769</v>
      </c>
      <c r="N150" s="208" t="s">
        <v>769</v>
      </c>
      <c r="O150" s="208" t="s">
        <v>769</v>
      </c>
      <c r="P150" s="208" t="s">
        <v>769</v>
      </c>
      <c r="Q150" s="208" t="s">
        <v>769</v>
      </c>
      <c r="R150" s="208" t="s">
        <v>769</v>
      </c>
      <c r="S150" s="208" t="s">
        <v>769</v>
      </c>
      <c r="T150" s="208" t="s">
        <v>769</v>
      </c>
      <c r="U150" s="208" t="s">
        <v>769</v>
      </c>
      <c r="V150" s="208" t="s">
        <v>769</v>
      </c>
      <c r="W150" s="208" t="s">
        <v>357</v>
      </c>
      <c r="X150" s="208" t="s">
        <v>769</v>
      </c>
      <c r="Y150" s="208" t="s">
        <v>769</v>
      </c>
      <c r="Z150" s="208" t="s">
        <v>769</v>
      </c>
      <c r="AA150" s="208" t="s">
        <v>769</v>
      </c>
      <c r="AB150" s="208">
        <v>10380</v>
      </c>
      <c r="AC150" s="208">
        <v>1.0000000000000001E-5</v>
      </c>
      <c r="AD150" s="208">
        <v>1.3</v>
      </c>
      <c r="AE150" s="208">
        <v>5.6000000000000001E-2</v>
      </c>
      <c r="AF150" s="208" t="s">
        <v>769</v>
      </c>
      <c r="AG150" s="208">
        <v>3.0732196431391099</v>
      </c>
      <c r="AH150" s="208" t="s">
        <v>769</v>
      </c>
      <c r="AI150" s="208" t="s">
        <v>769</v>
      </c>
      <c r="AJ150" s="208">
        <v>952.19439278119808</v>
      </c>
      <c r="AK150" s="208">
        <v>2916.3674896218604</v>
      </c>
      <c r="AL150" s="208">
        <v>8349.2581630012264</v>
      </c>
      <c r="AM150" s="208">
        <v>54.300146932521699</v>
      </c>
    </row>
    <row r="151" spans="3:39" x14ac:dyDescent="0.2">
      <c r="C151" s="13" t="s">
        <v>165</v>
      </c>
      <c r="D151" s="22" t="s">
        <v>28</v>
      </c>
      <c r="E151" s="208" t="s">
        <v>769</v>
      </c>
      <c r="F151" s="208">
        <v>1.7460000000000001E-6</v>
      </c>
      <c r="G151" s="208">
        <v>7.7400000000000002E-7</v>
      </c>
      <c r="H151" s="208">
        <v>4.6800000000000002E-8</v>
      </c>
      <c r="I151" s="208">
        <v>6.4799999999999998E-8</v>
      </c>
      <c r="J151" s="208">
        <v>7.5000000000000002E-4</v>
      </c>
      <c r="K151" s="208" t="s">
        <v>769</v>
      </c>
      <c r="L151" s="208">
        <v>6191.7505000000001</v>
      </c>
      <c r="M151" s="208" t="s">
        <v>769</v>
      </c>
      <c r="N151" s="208" t="s">
        <v>769</v>
      </c>
      <c r="O151" s="208" t="s">
        <v>769</v>
      </c>
      <c r="P151" s="208" t="s">
        <v>769</v>
      </c>
      <c r="Q151" s="208" t="s">
        <v>769</v>
      </c>
      <c r="R151" s="208" t="s">
        <v>769</v>
      </c>
      <c r="S151" s="208" t="s">
        <v>769</v>
      </c>
      <c r="T151" s="208" t="s">
        <v>769</v>
      </c>
      <c r="U151" s="208">
        <v>1</v>
      </c>
      <c r="V151" s="208" t="s">
        <v>769</v>
      </c>
      <c r="W151" s="208" t="s">
        <v>358</v>
      </c>
      <c r="X151" s="208" t="s">
        <v>769</v>
      </c>
      <c r="Y151" s="208" t="s">
        <v>769</v>
      </c>
      <c r="Z151" s="208" t="s">
        <v>769</v>
      </c>
      <c r="AA151" s="208" t="s">
        <v>769</v>
      </c>
      <c r="AB151" s="208">
        <v>17050</v>
      </c>
      <c r="AC151" s="208">
        <v>1.0000000000000001E-5</v>
      </c>
      <c r="AD151" s="208">
        <v>1.3</v>
      </c>
      <c r="AE151" s="208">
        <v>5.6000000000000001E-2</v>
      </c>
      <c r="AF151" s="208" t="s">
        <v>769</v>
      </c>
      <c r="AG151" s="208">
        <v>625.54999999999995</v>
      </c>
      <c r="AH151" s="208" t="s">
        <v>769</v>
      </c>
      <c r="AI151" s="208" t="s">
        <v>769</v>
      </c>
      <c r="AJ151" s="208">
        <v>1012.8618648583266</v>
      </c>
      <c r="AK151" s="208">
        <v>2480.3079324652581</v>
      </c>
      <c r="AL151" s="208">
        <v>7185.929368392488</v>
      </c>
      <c r="AM151" s="208">
        <v>73.431539433594523</v>
      </c>
    </row>
    <row r="152" spans="3:39" x14ac:dyDescent="0.2">
      <c r="C152" s="13" t="s">
        <v>166</v>
      </c>
      <c r="D152" s="22" t="s">
        <v>22</v>
      </c>
      <c r="E152" s="208" t="s">
        <v>769</v>
      </c>
      <c r="F152" s="208">
        <v>0</v>
      </c>
      <c r="G152" s="208">
        <v>0</v>
      </c>
      <c r="H152" s="208">
        <v>0</v>
      </c>
      <c r="I152" s="208">
        <v>0</v>
      </c>
      <c r="J152" s="208">
        <v>2.4439920000000001E-5</v>
      </c>
      <c r="K152" s="208">
        <v>4.25</v>
      </c>
      <c r="L152" s="208">
        <v>1768977.49</v>
      </c>
      <c r="M152" s="208" t="s">
        <v>769</v>
      </c>
      <c r="N152" s="208" t="s">
        <v>769</v>
      </c>
      <c r="O152" s="208" t="s">
        <v>769</v>
      </c>
      <c r="P152" s="208" t="s">
        <v>769</v>
      </c>
      <c r="Q152" s="208" t="s">
        <v>769</v>
      </c>
      <c r="R152" s="208" t="s">
        <v>769</v>
      </c>
      <c r="S152" s="208" t="s">
        <v>769</v>
      </c>
      <c r="T152" s="208" t="s">
        <v>769</v>
      </c>
      <c r="U152" s="208" t="s">
        <v>769</v>
      </c>
      <c r="V152" s="208">
        <v>90000</v>
      </c>
      <c r="W152" s="208" t="s">
        <v>355</v>
      </c>
      <c r="X152" s="208" t="s">
        <v>769</v>
      </c>
      <c r="Y152" s="208" t="s">
        <v>769</v>
      </c>
      <c r="Z152" s="208" t="s">
        <v>769</v>
      </c>
      <c r="AA152" s="208" t="s">
        <v>769</v>
      </c>
      <c r="AB152" s="208">
        <v>4490</v>
      </c>
      <c r="AC152" s="208">
        <v>1.0000000000000001E-5</v>
      </c>
      <c r="AD152" s="208">
        <v>1.3</v>
      </c>
      <c r="AE152" s="208">
        <v>5.6000000000000001E-2</v>
      </c>
      <c r="AF152" s="208" t="s">
        <v>769</v>
      </c>
      <c r="AG152" s="208">
        <v>209.52207185211</v>
      </c>
      <c r="AH152" s="208" t="s">
        <v>769</v>
      </c>
      <c r="AI152" s="208" t="s">
        <v>769</v>
      </c>
      <c r="AJ152" s="208">
        <v>13501.959247524184</v>
      </c>
      <c r="AK152" s="208">
        <v>47532.131778384995</v>
      </c>
      <c r="AL152" s="208">
        <v>112235.17189471252</v>
      </c>
      <c r="AM152" s="208">
        <v>578.82474325817702</v>
      </c>
    </row>
    <row r="153" spans="3:39" x14ac:dyDescent="0.2">
      <c r="C153" s="13" t="s">
        <v>167</v>
      </c>
      <c r="D153" s="22" t="s">
        <v>24</v>
      </c>
      <c r="E153" s="208">
        <v>1.7470000000000001</v>
      </c>
      <c r="F153" s="208">
        <v>4.4178761223811113E-7</v>
      </c>
      <c r="G153" s="208">
        <v>3.8169457931493189E-7</v>
      </c>
      <c r="H153" s="208">
        <v>1.6950199534419689E-8</v>
      </c>
      <c r="I153" s="208">
        <v>2.4060109743930833E-8</v>
      </c>
      <c r="J153" s="208">
        <v>3.2499166999999999E-4</v>
      </c>
      <c r="K153" s="208">
        <v>2.23</v>
      </c>
      <c r="L153" s="208">
        <v>8805088</v>
      </c>
      <c r="M153" s="208">
        <v>1.4120000000000001E-2</v>
      </c>
      <c r="N153" s="208">
        <v>124327.84256</v>
      </c>
      <c r="O153" s="208">
        <v>0.47369</v>
      </c>
      <c r="P153" s="208">
        <v>4170882.13472</v>
      </c>
      <c r="Q153" s="208">
        <v>19</v>
      </c>
      <c r="R153" s="208">
        <v>27</v>
      </c>
      <c r="S153" s="208">
        <v>0.40620030000000001</v>
      </c>
      <c r="T153" s="208" t="s">
        <v>769</v>
      </c>
      <c r="U153" s="208" t="s">
        <v>769</v>
      </c>
      <c r="V153" s="208">
        <v>257000</v>
      </c>
      <c r="W153" s="208" t="s">
        <v>356</v>
      </c>
      <c r="X153" s="208" t="s">
        <v>769</v>
      </c>
      <c r="Y153" s="208" t="s">
        <v>769</v>
      </c>
      <c r="Z153" s="208" t="s">
        <v>769</v>
      </c>
      <c r="AA153" s="208" t="s">
        <v>769</v>
      </c>
      <c r="AB153" s="208">
        <v>68780</v>
      </c>
      <c r="AC153" s="208">
        <v>1.0000000000000001E-5</v>
      </c>
      <c r="AD153" s="208">
        <v>1.3</v>
      </c>
      <c r="AE153" s="208">
        <v>5.6000000000000001E-2</v>
      </c>
      <c r="AF153" s="208" t="s">
        <v>255</v>
      </c>
      <c r="AG153" s="208">
        <v>520.73192753192802</v>
      </c>
      <c r="AH153" s="208">
        <v>330102</v>
      </c>
      <c r="AI153" s="208">
        <v>3840780.13472</v>
      </c>
      <c r="AJ153" s="208">
        <v>4065.1514930928602</v>
      </c>
      <c r="AK153" s="208">
        <v>12941.922060503761</v>
      </c>
      <c r="AL153" s="208">
        <v>32806.132182913097</v>
      </c>
      <c r="AM153" s="208">
        <v>299.82115888271881</v>
      </c>
    </row>
    <row r="154" spans="3:39" x14ac:dyDescent="0.2">
      <c r="C154" s="13" t="s">
        <v>168</v>
      </c>
      <c r="D154" s="22" t="s">
        <v>28</v>
      </c>
      <c r="E154" s="208" t="s">
        <v>769</v>
      </c>
      <c r="F154" s="208">
        <v>1.9546423357664232E-6</v>
      </c>
      <c r="G154" s="208">
        <v>8.612408759124087E-7</v>
      </c>
      <c r="H154" s="208">
        <v>3.2951824817518249E-8</v>
      </c>
      <c r="I154" s="208">
        <v>5.6916788321167879E-8</v>
      </c>
      <c r="J154" s="208">
        <v>6.6058389999999994E-4</v>
      </c>
      <c r="K154" s="208"/>
      <c r="L154" s="208">
        <v>108157.38400000001</v>
      </c>
      <c r="M154" s="208" t="s">
        <v>769</v>
      </c>
      <c r="N154" s="208" t="s">
        <v>769</v>
      </c>
      <c r="O154" s="208" t="s">
        <v>769</v>
      </c>
      <c r="P154" s="208" t="s">
        <v>769</v>
      </c>
      <c r="Q154" s="208" t="s">
        <v>769</v>
      </c>
      <c r="R154" s="208" t="s">
        <v>769</v>
      </c>
      <c r="S154" s="208" t="s">
        <v>769</v>
      </c>
      <c r="T154" s="208" t="s">
        <v>769</v>
      </c>
      <c r="U154" s="208">
        <v>0.67</v>
      </c>
      <c r="V154" s="208" t="s">
        <v>769</v>
      </c>
      <c r="W154" s="208" t="s">
        <v>358</v>
      </c>
      <c r="X154" s="208" t="s">
        <v>769</v>
      </c>
      <c r="Y154" s="208" t="s">
        <v>769</v>
      </c>
      <c r="Z154" s="208" t="s">
        <v>769</v>
      </c>
      <c r="AA154" s="208" t="s">
        <v>769</v>
      </c>
      <c r="AB154" s="208" t="s">
        <v>676</v>
      </c>
      <c r="AC154" s="208">
        <v>1.0000000000000001E-5</v>
      </c>
      <c r="AD154" s="208">
        <v>1.3</v>
      </c>
      <c r="AE154" s="208">
        <v>5.6000000000000001E-2</v>
      </c>
      <c r="AF154" s="208" t="s">
        <v>769</v>
      </c>
      <c r="AG154" s="208">
        <v>14.7915754923414</v>
      </c>
      <c r="AH154" s="208" t="s">
        <v>769</v>
      </c>
      <c r="AI154" s="208" t="s">
        <v>769</v>
      </c>
      <c r="AJ154" s="208">
        <v>981.48240919334364</v>
      </c>
      <c r="AK154" s="208">
        <v>2359.8410837188903</v>
      </c>
      <c r="AL154" s="208">
        <v>6830.919215650254</v>
      </c>
      <c r="AM154" s="208">
        <v>70.675187393453783</v>
      </c>
    </row>
    <row r="155" spans="3:39" x14ac:dyDescent="0.2">
      <c r="C155" s="13" t="s">
        <v>169</v>
      </c>
      <c r="D155" s="22" t="s">
        <v>28</v>
      </c>
      <c r="E155" s="208">
        <v>1.2989999999999999</v>
      </c>
      <c r="F155" s="208">
        <v>1.0215837067209777E-7</v>
      </c>
      <c r="G155" s="208">
        <v>1.0086272912423625E-7</v>
      </c>
      <c r="H155" s="208">
        <v>6.0123828920570263E-9</v>
      </c>
      <c r="I155" s="208">
        <v>7.9260285132382896E-9</v>
      </c>
      <c r="J155" s="208">
        <v>1.1088481000000001E-4</v>
      </c>
      <c r="K155" s="208">
        <v>2.6</v>
      </c>
      <c r="L155" s="208">
        <v>3405000</v>
      </c>
      <c r="M155" s="208">
        <v>1</v>
      </c>
      <c r="N155" s="208">
        <v>3405000</v>
      </c>
      <c r="O155" s="208">
        <v>0</v>
      </c>
      <c r="P155" s="208">
        <v>0</v>
      </c>
      <c r="Q155" s="208">
        <v>32</v>
      </c>
      <c r="R155" s="208">
        <v>0</v>
      </c>
      <c r="S155" s="208">
        <v>0</v>
      </c>
      <c r="T155" s="208" t="s">
        <v>769</v>
      </c>
      <c r="U155" s="208">
        <v>0.97</v>
      </c>
      <c r="V155" s="208">
        <v>307000</v>
      </c>
      <c r="W155" s="208" t="s">
        <v>356</v>
      </c>
      <c r="X155" s="208" t="s">
        <v>769</v>
      </c>
      <c r="Y155" s="208" t="s">
        <v>769</v>
      </c>
      <c r="Z155" s="208" t="s">
        <v>769</v>
      </c>
      <c r="AA155" s="208" t="s">
        <v>769</v>
      </c>
      <c r="AB155" s="208">
        <v>46920</v>
      </c>
      <c r="AC155" s="208">
        <v>1.0000000000000001E-5</v>
      </c>
      <c r="AD155" s="208">
        <v>1.3</v>
      </c>
      <c r="AE155" s="208">
        <v>5.6000000000000001E-2</v>
      </c>
      <c r="AF155" s="208" t="s">
        <v>255</v>
      </c>
      <c r="AG155" s="208">
        <v>19.411720025825101</v>
      </c>
      <c r="AH155" s="208" t="s">
        <v>769</v>
      </c>
      <c r="AI155" s="208" t="s">
        <v>769</v>
      </c>
      <c r="AJ155" s="208">
        <v>1019.3819563813404</v>
      </c>
      <c r="AK155" s="208">
        <v>3057.6228623319516</v>
      </c>
      <c r="AL155" s="208">
        <v>8936.2735704408842</v>
      </c>
      <c r="AM155" s="208">
        <v>79.577101111163358</v>
      </c>
    </row>
    <row r="156" spans="3:39" x14ac:dyDescent="0.2">
      <c r="C156" s="13" t="s">
        <v>170</v>
      </c>
      <c r="D156" s="22" t="s">
        <v>33</v>
      </c>
      <c r="E156" s="208">
        <v>-1.1639999999999999</v>
      </c>
      <c r="F156" s="208">
        <v>5.5672744186046521E-7</v>
      </c>
      <c r="G156" s="208">
        <v>4.0728558139534882E-7</v>
      </c>
      <c r="H156" s="208">
        <v>4.0386976744186043E-8</v>
      </c>
      <c r="I156" s="208">
        <v>4.9931162790697664E-8</v>
      </c>
      <c r="J156" s="208">
        <v>2.6511626999999998E-4</v>
      </c>
      <c r="K156" s="208">
        <v>4.92</v>
      </c>
      <c r="L156" s="208">
        <v>1528816.2930000001</v>
      </c>
      <c r="M156" s="208" t="s">
        <v>769</v>
      </c>
      <c r="N156" s="208" t="s">
        <v>769</v>
      </c>
      <c r="O156" s="208" t="s">
        <v>769</v>
      </c>
      <c r="P156" s="208" t="s">
        <v>769</v>
      </c>
      <c r="Q156" s="208" t="s">
        <v>769</v>
      </c>
      <c r="R156" s="208" t="s">
        <v>769</v>
      </c>
      <c r="S156" s="208" t="s">
        <v>769</v>
      </c>
      <c r="T156" s="208" t="s">
        <v>769</v>
      </c>
      <c r="U156" s="208">
        <v>0.92300000000000004</v>
      </c>
      <c r="V156" s="208" t="s">
        <v>769</v>
      </c>
      <c r="W156" s="208" t="s">
        <v>358</v>
      </c>
      <c r="X156" s="208" t="s">
        <v>769</v>
      </c>
      <c r="Y156" s="208" t="s">
        <v>769</v>
      </c>
      <c r="Z156" s="208" t="s">
        <v>769</v>
      </c>
      <c r="AA156" s="208" t="s">
        <v>769</v>
      </c>
      <c r="AB156" s="208">
        <v>6440</v>
      </c>
      <c r="AC156" s="208">
        <v>1.0000000000000001E-5</v>
      </c>
      <c r="AD156" s="208">
        <v>1.3</v>
      </c>
      <c r="AE156" s="208">
        <v>5.6000000000000001E-2</v>
      </c>
      <c r="AF156" s="208" t="s">
        <v>769</v>
      </c>
      <c r="AG156" s="208">
        <v>56.926541465846803</v>
      </c>
      <c r="AH156" s="208" t="s">
        <v>769</v>
      </c>
      <c r="AI156" s="208" t="s">
        <v>769</v>
      </c>
      <c r="AJ156" s="208">
        <v>2389.7992639085855</v>
      </c>
      <c r="AK156" s="208">
        <v>7623.1632409570047</v>
      </c>
      <c r="AL156" s="208">
        <v>22679.775732328129</v>
      </c>
      <c r="AM156" s="208">
        <v>220.98056740167533</v>
      </c>
    </row>
    <row r="157" spans="3:39" x14ac:dyDescent="0.2">
      <c r="C157" s="13" t="s">
        <v>171</v>
      </c>
      <c r="D157" s="22" t="s">
        <v>31</v>
      </c>
      <c r="E157" s="208" t="s">
        <v>769</v>
      </c>
      <c r="F157" s="208">
        <v>1.8235503797468352E-6</v>
      </c>
      <c r="G157" s="208">
        <v>8.293215189873418E-7</v>
      </c>
      <c r="H157" s="208">
        <v>3.6701772151898736E-8</v>
      </c>
      <c r="I157" s="208">
        <v>5.7937215189873417E-8</v>
      </c>
      <c r="J157" s="208">
        <v>6.7088605E-4</v>
      </c>
      <c r="K157" s="208">
        <v>5.92</v>
      </c>
      <c r="L157" s="208">
        <v>1865645.67</v>
      </c>
      <c r="M157" s="208" t="s">
        <v>769</v>
      </c>
      <c r="N157" s="208" t="s">
        <v>769</v>
      </c>
      <c r="O157" s="208" t="s">
        <v>769</v>
      </c>
      <c r="P157" s="208" t="s">
        <v>769</v>
      </c>
      <c r="Q157" s="208" t="s">
        <v>769</v>
      </c>
      <c r="R157" s="208" t="s">
        <v>769</v>
      </c>
      <c r="S157" s="208" t="s">
        <v>769</v>
      </c>
      <c r="T157" s="208" t="s">
        <v>769</v>
      </c>
      <c r="U157" s="208" t="s">
        <v>769</v>
      </c>
      <c r="V157" s="208" t="s">
        <v>769</v>
      </c>
      <c r="W157" s="208" t="s">
        <v>357</v>
      </c>
      <c r="X157" s="208" t="s">
        <v>769</v>
      </c>
      <c r="Y157" s="208" t="s">
        <v>769</v>
      </c>
      <c r="Z157" s="208" t="s">
        <v>769</v>
      </c>
      <c r="AA157" s="208" t="s">
        <v>769</v>
      </c>
      <c r="AB157" s="208">
        <v>1570</v>
      </c>
      <c r="AC157" s="208">
        <v>1.0000000000000001E-5</v>
      </c>
      <c r="AD157" s="208">
        <v>1.3</v>
      </c>
      <c r="AE157" s="208">
        <v>5.6000000000000001E-2</v>
      </c>
      <c r="AF157" s="208" t="s">
        <v>769</v>
      </c>
      <c r="AG157" s="208">
        <v>19.935834846451399</v>
      </c>
      <c r="AH157" s="208" t="s">
        <v>769</v>
      </c>
      <c r="AI157" s="208" t="s">
        <v>769</v>
      </c>
      <c r="AJ157" s="208">
        <v>3742.4258873916506</v>
      </c>
      <c r="AK157" s="208">
        <v>12906.65018254409</v>
      </c>
      <c r="AL157" s="208">
        <v>32661.843142822101</v>
      </c>
      <c r="AM157" s="208">
        <v>234.33612717426161</v>
      </c>
    </row>
    <row r="158" spans="3:39" x14ac:dyDescent="0.2">
      <c r="C158" s="13" t="s">
        <v>172</v>
      </c>
      <c r="D158" s="22" t="s">
        <v>31</v>
      </c>
      <c r="E158" s="208">
        <v>-1.3140000000000001</v>
      </c>
      <c r="F158" s="208">
        <v>8.6748512709572729E-10</v>
      </c>
      <c r="G158" s="208">
        <v>2.5141103299080592E-7</v>
      </c>
      <c r="H158" s="208">
        <v>2.6024553812871822E-9</v>
      </c>
      <c r="I158" s="208">
        <v>2.612190373174689E-9</v>
      </c>
      <c r="J158" s="208">
        <v>5.1622500000000004E-4</v>
      </c>
      <c r="K158" s="208">
        <v>4.66</v>
      </c>
      <c r="L158" s="208">
        <v>27614830.07</v>
      </c>
      <c r="M158" s="208" t="s">
        <v>769</v>
      </c>
      <c r="N158" s="208" t="s">
        <v>769</v>
      </c>
      <c r="O158" s="208" t="s">
        <v>769</v>
      </c>
      <c r="P158" s="208" t="s">
        <v>769</v>
      </c>
      <c r="Q158" s="208" t="s">
        <v>769</v>
      </c>
      <c r="R158" s="208" t="s">
        <v>769</v>
      </c>
      <c r="S158" s="208" t="s">
        <v>769</v>
      </c>
      <c r="T158" s="208" t="s">
        <v>769</v>
      </c>
      <c r="U158" s="208" t="s">
        <v>769</v>
      </c>
      <c r="V158" s="208" t="s">
        <v>769</v>
      </c>
      <c r="W158" s="208" t="s">
        <v>357</v>
      </c>
      <c r="X158" s="208" t="s">
        <v>769</v>
      </c>
      <c r="Y158" s="208" t="s">
        <v>769</v>
      </c>
      <c r="Z158" s="208" t="s">
        <v>769</v>
      </c>
      <c r="AA158" s="208" t="s">
        <v>769</v>
      </c>
      <c r="AB158" s="208">
        <v>5510</v>
      </c>
      <c r="AC158" s="208">
        <v>1.0000000000000001E-5</v>
      </c>
      <c r="AD158" s="208">
        <v>1.3</v>
      </c>
      <c r="AE158" s="208">
        <v>5.6000000000000001E-2</v>
      </c>
      <c r="AF158" s="208" t="s">
        <v>769</v>
      </c>
      <c r="AG158" s="208">
        <v>234.30868715482501</v>
      </c>
      <c r="AH158" s="208" t="s">
        <v>769</v>
      </c>
      <c r="AI158" s="208" t="s">
        <v>769</v>
      </c>
      <c r="AJ158" s="208">
        <v>4089.9754189606574</v>
      </c>
      <c r="AK158" s="208">
        <v>13104.832998656586</v>
      </c>
      <c r="AL158" s="208">
        <v>33634.046650236167</v>
      </c>
      <c r="AM158" s="208">
        <v>243.48347389035123</v>
      </c>
    </row>
    <row r="159" spans="3:39" x14ac:dyDescent="0.2">
      <c r="C159" s="13" t="s">
        <v>173</v>
      </c>
      <c r="D159" s="22" t="s">
        <v>24</v>
      </c>
      <c r="E159" s="208" t="s">
        <v>769</v>
      </c>
      <c r="F159" s="208">
        <v>1.6007953846153844E-6</v>
      </c>
      <c r="G159" s="208">
        <v>7.625391608391607E-7</v>
      </c>
      <c r="H159" s="208">
        <v>2.1214825174825177E-8</v>
      </c>
      <c r="I159" s="208">
        <v>4.2500139860139854E-8</v>
      </c>
      <c r="J159" s="208">
        <v>6.3986016999999999E-4</v>
      </c>
      <c r="K159" s="208" t="s">
        <v>769</v>
      </c>
      <c r="L159" s="208" t="s">
        <v>769</v>
      </c>
      <c r="M159" s="208" t="s">
        <v>769</v>
      </c>
      <c r="N159" s="208" t="s">
        <v>769</v>
      </c>
      <c r="O159" s="208" t="s">
        <v>769</v>
      </c>
      <c r="P159" s="208" t="s">
        <v>769</v>
      </c>
      <c r="Q159" s="208" t="s">
        <v>769</v>
      </c>
      <c r="R159" s="208" t="s">
        <v>769</v>
      </c>
      <c r="S159" s="208" t="s">
        <v>769</v>
      </c>
      <c r="T159" s="208" t="s">
        <v>769</v>
      </c>
      <c r="U159" s="208"/>
      <c r="V159" s="208">
        <v>69000</v>
      </c>
      <c r="W159" s="208" t="s">
        <v>356</v>
      </c>
      <c r="X159" s="208"/>
      <c r="Y159" s="208"/>
      <c r="Z159" s="208"/>
      <c r="AA159" s="208"/>
      <c r="AB159" s="208">
        <v>21390</v>
      </c>
      <c r="AC159" s="208">
        <v>1.0000000000000001E-5</v>
      </c>
      <c r="AD159" s="208">
        <v>1.3</v>
      </c>
      <c r="AE159" s="208">
        <v>5.6000000000000001E-2</v>
      </c>
      <c r="AF159" s="208" t="s">
        <v>769</v>
      </c>
      <c r="AG159" s="208">
        <v>72.843536875495602</v>
      </c>
      <c r="AH159" s="208" t="s">
        <v>769</v>
      </c>
      <c r="AI159" s="208" t="s">
        <v>769</v>
      </c>
      <c r="AJ159" s="208">
        <v>4180.663121763132</v>
      </c>
      <c r="AK159" s="208">
        <v>13919.80609097374</v>
      </c>
      <c r="AL159" s="208">
        <v>37015.867631262299</v>
      </c>
      <c r="AM159" s="208">
        <v>280.73006348788562</v>
      </c>
    </row>
    <row r="160" spans="3:39" x14ac:dyDescent="0.2">
      <c r="C160" s="13" t="s">
        <v>174</v>
      </c>
      <c r="D160" s="22" t="s">
        <v>28</v>
      </c>
      <c r="E160" s="208" t="s">
        <v>769</v>
      </c>
      <c r="F160" s="208" t="s">
        <v>769</v>
      </c>
      <c r="G160" s="208" t="s">
        <v>769</v>
      </c>
      <c r="H160" s="208" t="s">
        <v>769</v>
      </c>
      <c r="I160" s="208" t="s">
        <v>769</v>
      </c>
      <c r="J160" s="208" t="s">
        <v>769</v>
      </c>
      <c r="K160" s="208" t="s">
        <v>769</v>
      </c>
      <c r="L160" s="208">
        <v>32761.414499999999</v>
      </c>
      <c r="M160" s="208" t="s">
        <v>769</v>
      </c>
      <c r="N160" s="208" t="s">
        <v>769</v>
      </c>
      <c r="O160" s="208" t="s">
        <v>769</v>
      </c>
      <c r="P160" s="208" t="s">
        <v>769</v>
      </c>
      <c r="Q160" s="208" t="s">
        <v>769</v>
      </c>
      <c r="R160" s="208" t="s">
        <v>769</v>
      </c>
      <c r="S160" s="208" t="s">
        <v>769</v>
      </c>
      <c r="T160" s="208" t="s">
        <v>769</v>
      </c>
      <c r="U160" s="208" t="s">
        <v>769</v>
      </c>
      <c r="V160" s="208" t="s">
        <v>769</v>
      </c>
      <c r="W160" s="208" t="s">
        <v>358</v>
      </c>
      <c r="X160" s="208" t="s">
        <v>769</v>
      </c>
      <c r="Y160" s="208" t="s">
        <v>769</v>
      </c>
      <c r="Z160" s="208" t="s">
        <v>769</v>
      </c>
      <c r="AA160" s="208" t="s">
        <v>769</v>
      </c>
      <c r="AB160" s="208" t="s">
        <v>676</v>
      </c>
      <c r="AC160" s="208">
        <v>1.0000000000000001E-5</v>
      </c>
      <c r="AD160" s="208">
        <v>1.3</v>
      </c>
      <c r="AE160" s="208">
        <v>5.6000000000000001E-2</v>
      </c>
      <c r="AF160" s="208" t="s">
        <v>769</v>
      </c>
      <c r="AG160" s="208">
        <v>107.56739130434801</v>
      </c>
      <c r="AH160" s="208" t="s">
        <v>769</v>
      </c>
      <c r="AI160" s="208" t="s">
        <v>769</v>
      </c>
      <c r="AJ160" s="208">
        <v>997.18040747701889</v>
      </c>
      <c r="AK160" s="208">
        <v>2410.9073624098628</v>
      </c>
      <c r="AL160" s="208">
        <v>6980.8623724896679</v>
      </c>
      <c r="AM160" s="208">
        <v>90.710004563727367</v>
      </c>
    </row>
    <row r="161" spans="3:39" x14ac:dyDescent="0.2">
      <c r="C161" s="13" t="s">
        <v>175</v>
      </c>
      <c r="D161" s="22" t="s">
        <v>24</v>
      </c>
      <c r="E161" s="208">
        <v>1.0449999999999999</v>
      </c>
      <c r="F161" s="208">
        <v>1.0174078624078625E-8</v>
      </c>
      <c r="G161" s="208">
        <v>8.2331695331695301E-9</v>
      </c>
      <c r="H161" s="208">
        <v>4.780098280098279E-10</v>
      </c>
      <c r="I161" s="208">
        <v>6.14127764127764E-10</v>
      </c>
      <c r="J161" s="208">
        <v>2.9484031999999998E-5</v>
      </c>
      <c r="K161" s="208">
        <v>2.2200000000000002</v>
      </c>
      <c r="L161" s="208">
        <v>4149967.25</v>
      </c>
      <c r="M161" s="208">
        <v>1.4200000000000001E-2</v>
      </c>
      <c r="N161" s="208">
        <v>58929.534949999994</v>
      </c>
      <c r="O161" s="208">
        <v>0.52349999999999997</v>
      </c>
      <c r="P161" s="208">
        <v>2172507.8553749998</v>
      </c>
      <c r="Q161" s="208">
        <v>1</v>
      </c>
      <c r="R161" s="208">
        <v>14</v>
      </c>
      <c r="S161" s="208">
        <v>0.49461509999999997</v>
      </c>
      <c r="T161" s="208" t="s">
        <v>769</v>
      </c>
      <c r="U161" s="208">
        <v>0.99</v>
      </c>
      <c r="V161" s="208">
        <v>305000</v>
      </c>
      <c r="W161" s="208" t="s">
        <v>356</v>
      </c>
      <c r="X161" s="208">
        <v>3.3799999999999997E-2</v>
      </c>
      <c r="Y161" s="208">
        <v>3.3799999999999997E-2</v>
      </c>
      <c r="Z161" s="208">
        <v>3.3799999999999997E-2</v>
      </c>
      <c r="AA161" s="208">
        <v>3.3799999999999997E-2</v>
      </c>
      <c r="AB161" s="208">
        <v>90750</v>
      </c>
      <c r="AC161" s="208">
        <v>1.0000000000000001E-5</v>
      </c>
      <c r="AD161" s="208">
        <v>1.3</v>
      </c>
      <c r="AE161" s="208">
        <v>5.6000000000000001E-2</v>
      </c>
      <c r="AF161" s="208" t="s">
        <v>255</v>
      </c>
      <c r="AG161" s="208">
        <v>14.8470090866665</v>
      </c>
      <c r="AH161" s="208">
        <v>56637</v>
      </c>
      <c r="AI161" s="208">
        <v>2115870.8553749998</v>
      </c>
      <c r="AJ161" s="208">
        <v>5544.9910782911074</v>
      </c>
      <c r="AK161" s="208">
        <v>19135.591724250655</v>
      </c>
      <c r="AL161" s="208">
        <v>64170.54903841691</v>
      </c>
      <c r="AM161" s="208">
        <v>370.38989947015551</v>
      </c>
    </row>
    <row r="162" spans="3:39" x14ac:dyDescent="0.2">
      <c r="C162" s="13" t="s">
        <v>176</v>
      </c>
      <c r="D162" s="22" t="s">
        <v>26</v>
      </c>
      <c r="E162" s="208" t="s">
        <v>769</v>
      </c>
      <c r="F162" s="208">
        <v>6.2682480836236942E-8</v>
      </c>
      <c r="G162" s="208">
        <v>3.3440613240418129E-7</v>
      </c>
      <c r="H162" s="208">
        <v>4.757686411149826E-9</v>
      </c>
      <c r="I162" s="208">
        <v>5.393226480836237E-9</v>
      </c>
      <c r="J162" s="208">
        <v>5.6469219999999995E-4</v>
      </c>
      <c r="K162" s="208">
        <v>8.02</v>
      </c>
      <c r="L162" s="208">
        <v>3307951</v>
      </c>
      <c r="M162" s="208" t="s">
        <v>769</v>
      </c>
      <c r="N162" s="208" t="s">
        <v>769</v>
      </c>
      <c r="O162" s="208" t="s">
        <v>769</v>
      </c>
      <c r="P162" s="208" t="s">
        <v>769</v>
      </c>
      <c r="Q162" s="208" t="s">
        <v>769</v>
      </c>
      <c r="R162" s="208" t="s">
        <v>769</v>
      </c>
      <c r="S162" s="208" t="s">
        <v>769</v>
      </c>
      <c r="T162" s="208" t="s">
        <v>769</v>
      </c>
      <c r="U162" s="208" t="s">
        <v>769</v>
      </c>
      <c r="V162" s="208">
        <v>74000</v>
      </c>
      <c r="W162" s="208" t="s">
        <v>357</v>
      </c>
      <c r="X162" s="208" t="s">
        <v>769</v>
      </c>
      <c r="Y162" s="208" t="s">
        <v>769</v>
      </c>
      <c r="Z162" s="208" t="s">
        <v>769</v>
      </c>
      <c r="AA162" s="208" t="s">
        <v>769</v>
      </c>
      <c r="AB162" s="208">
        <v>36290</v>
      </c>
      <c r="AC162" s="208">
        <v>1.0000000000000001E-5</v>
      </c>
      <c r="AD162" s="208">
        <v>1.3</v>
      </c>
      <c r="AE162" s="208">
        <v>5.6000000000000001E-2</v>
      </c>
      <c r="AF162" s="208" t="s">
        <v>769</v>
      </c>
      <c r="AG162" s="208">
        <v>14.605722132471699</v>
      </c>
      <c r="AH162" s="208" t="s">
        <v>769</v>
      </c>
      <c r="AI162" s="208" t="s">
        <v>769</v>
      </c>
      <c r="AJ162" s="208">
        <v>3484.3879521490339</v>
      </c>
      <c r="AK162" s="208">
        <v>11181.892490610546</v>
      </c>
      <c r="AL162" s="208">
        <v>30460.496042840328</v>
      </c>
      <c r="AM162" s="208">
        <v>349.22057927625605</v>
      </c>
    </row>
    <row r="163" spans="3:39" x14ac:dyDescent="0.2">
      <c r="C163" s="13" t="s">
        <v>177</v>
      </c>
      <c r="D163" s="22" t="s">
        <v>22</v>
      </c>
      <c r="E163" s="208" t="s">
        <v>769</v>
      </c>
      <c r="F163" s="208">
        <v>7.2141720761882167E-7</v>
      </c>
      <c r="G163" s="208">
        <v>4.3312487984335139E-7</v>
      </c>
      <c r="H163" s="208">
        <v>1.3423687177357146E-8</v>
      </c>
      <c r="I163" s="208">
        <v>2.2689527087165489E-8</v>
      </c>
      <c r="J163" s="208">
        <v>4.636563E-4</v>
      </c>
      <c r="K163" s="208">
        <v>6.8</v>
      </c>
      <c r="L163" s="208">
        <v>30760000</v>
      </c>
      <c r="M163" s="208" t="s">
        <v>769</v>
      </c>
      <c r="N163" s="208" t="s">
        <v>769</v>
      </c>
      <c r="O163" s="208" t="s">
        <v>769</v>
      </c>
      <c r="P163" s="208" t="s">
        <v>769</v>
      </c>
      <c r="Q163" s="208" t="s">
        <v>769</v>
      </c>
      <c r="R163" s="208" t="s">
        <v>769</v>
      </c>
      <c r="S163" s="208" t="s">
        <v>769</v>
      </c>
      <c r="T163" s="208">
        <v>0</v>
      </c>
      <c r="U163" s="208" t="s">
        <v>769</v>
      </c>
      <c r="V163" s="208">
        <v>25000</v>
      </c>
      <c r="W163" s="208" t="s">
        <v>357</v>
      </c>
      <c r="X163" s="208" t="s">
        <v>769</v>
      </c>
      <c r="Y163" s="208" t="s">
        <v>769</v>
      </c>
      <c r="Z163" s="208" t="s">
        <v>769</v>
      </c>
      <c r="AA163" s="208" t="s">
        <v>769</v>
      </c>
      <c r="AB163" s="208">
        <v>5480</v>
      </c>
      <c r="AC163" s="208">
        <v>1.0000000000000001E-5</v>
      </c>
      <c r="AD163" s="208">
        <v>1.3</v>
      </c>
      <c r="AE163" s="208">
        <v>5.6000000000000001E-2</v>
      </c>
      <c r="AF163" s="208" t="s">
        <v>769</v>
      </c>
      <c r="AG163" s="208">
        <v>300.17916796388499</v>
      </c>
      <c r="AH163" s="208" t="s">
        <v>769</v>
      </c>
      <c r="AI163" s="208" t="s">
        <v>769</v>
      </c>
      <c r="AJ163" s="208">
        <v>4273.1490073423874</v>
      </c>
      <c r="AK163" s="208">
        <v>13668.995656680869</v>
      </c>
      <c r="AL163" s="208">
        <v>34927.385789517342</v>
      </c>
      <c r="AM163" s="208">
        <v>254.5130338080296</v>
      </c>
    </row>
    <row r="164" spans="3:39" x14ac:dyDescent="0.2">
      <c r="C164" s="13" t="s">
        <v>178</v>
      </c>
      <c r="D164" s="22" t="s">
        <v>28</v>
      </c>
      <c r="E164" s="208" t="s">
        <v>769</v>
      </c>
      <c r="F164" s="208" t="s">
        <v>769</v>
      </c>
      <c r="G164" s="208" t="s">
        <v>769</v>
      </c>
      <c r="H164" s="208" t="s">
        <v>769</v>
      </c>
      <c r="I164" s="208" t="s">
        <v>769</v>
      </c>
      <c r="J164" s="208" t="s">
        <v>769</v>
      </c>
      <c r="K164" s="208"/>
      <c r="L164" s="208">
        <v>9426.7455000000009</v>
      </c>
      <c r="M164" s="208" t="s">
        <v>769</v>
      </c>
      <c r="N164" s="208" t="s">
        <v>769</v>
      </c>
      <c r="O164" s="208" t="s">
        <v>769</v>
      </c>
      <c r="P164" s="208" t="s">
        <v>769</v>
      </c>
      <c r="Q164" s="208" t="s">
        <v>769</v>
      </c>
      <c r="R164" s="208" t="s">
        <v>769</v>
      </c>
      <c r="S164" s="208" t="s">
        <v>769</v>
      </c>
      <c r="T164" s="208" t="s">
        <v>769</v>
      </c>
      <c r="U164" s="208">
        <v>0.77</v>
      </c>
      <c r="V164" s="208" t="s">
        <v>769</v>
      </c>
      <c r="W164" s="208" t="s">
        <v>358</v>
      </c>
      <c r="X164" s="208" t="s">
        <v>769</v>
      </c>
      <c r="Y164" s="208" t="s">
        <v>769</v>
      </c>
      <c r="Z164" s="208" t="s">
        <v>769</v>
      </c>
      <c r="AA164" s="208" t="s">
        <v>769</v>
      </c>
      <c r="AB164" s="208">
        <v>16450</v>
      </c>
      <c r="AC164" s="208">
        <v>1.0000000000000001E-5</v>
      </c>
      <c r="AD164" s="208">
        <v>1.3</v>
      </c>
      <c r="AE164" s="208">
        <v>5.6000000000000001E-2</v>
      </c>
      <c r="AF164" s="208" t="s">
        <v>769</v>
      </c>
      <c r="AG164" s="208">
        <v>39.182608695652199</v>
      </c>
      <c r="AH164" s="208" t="s">
        <v>769</v>
      </c>
      <c r="AI164" s="208" t="s">
        <v>769</v>
      </c>
      <c r="AJ164" s="208">
        <v>1002.7210938954548</v>
      </c>
      <c r="AK164" s="208">
        <v>2454.303780601801</v>
      </c>
      <c r="AL164" s="208">
        <v>7067.8939999521826</v>
      </c>
      <c r="AM164" s="208">
        <v>71.735132311215366</v>
      </c>
    </row>
    <row r="165" spans="3:39" x14ac:dyDescent="0.2">
      <c r="C165" s="13" t="s">
        <v>179</v>
      </c>
      <c r="D165" s="22" t="s">
        <v>33</v>
      </c>
      <c r="E165" s="208">
        <v>-0.24199999999999999</v>
      </c>
      <c r="F165" s="208">
        <v>1.9886523952095811E-7</v>
      </c>
      <c r="G165" s="208">
        <v>1.3168832335329346E-7</v>
      </c>
      <c r="H165" s="208">
        <v>4.0966167664670663E-9</v>
      </c>
      <c r="I165" s="208">
        <v>6.5621856287425145E-9</v>
      </c>
      <c r="J165" s="208">
        <v>1.6167665000000001E-4</v>
      </c>
      <c r="K165" s="208">
        <v>3.64</v>
      </c>
      <c r="L165" s="208">
        <v>1472262.2150000001</v>
      </c>
      <c r="M165" s="208">
        <v>0.34899999999999998</v>
      </c>
      <c r="N165" s="208">
        <v>513819.51303500001</v>
      </c>
      <c r="O165" s="208">
        <v>0.11</v>
      </c>
      <c r="P165" s="208">
        <v>161948.84365000002</v>
      </c>
      <c r="Q165" s="208">
        <v>5</v>
      </c>
      <c r="R165" s="208">
        <v>1</v>
      </c>
      <c r="S165" s="208">
        <v>0.14075852269581329</v>
      </c>
      <c r="T165" s="208" t="s">
        <v>769</v>
      </c>
      <c r="U165" s="208">
        <v>0.8490000000000002</v>
      </c>
      <c r="V165" s="208">
        <v>108000</v>
      </c>
      <c r="W165" s="208" t="s">
        <v>358</v>
      </c>
      <c r="X165" s="208">
        <v>0.41699999999999998</v>
      </c>
      <c r="Y165" s="208">
        <v>0.41699999999999998</v>
      </c>
      <c r="Z165" s="208">
        <v>0.41699999999999998</v>
      </c>
      <c r="AA165" s="208">
        <v>0.41699999999999998</v>
      </c>
      <c r="AB165" s="208">
        <v>29210</v>
      </c>
      <c r="AC165" s="208">
        <v>1.0000000000000001E-5</v>
      </c>
      <c r="AD165" s="208">
        <v>1.3</v>
      </c>
      <c r="AE165" s="208">
        <v>5.6000000000000001E-2</v>
      </c>
      <c r="AF165" s="208" t="s">
        <v>255</v>
      </c>
      <c r="AG165" s="208">
        <v>58.6582232407657</v>
      </c>
      <c r="AH165" s="208" t="s">
        <v>769</v>
      </c>
      <c r="AI165" s="208" t="s">
        <v>769</v>
      </c>
      <c r="AJ165" s="208">
        <v>3788.9117391781856</v>
      </c>
      <c r="AK165" s="208">
        <v>12936.110324741208</v>
      </c>
      <c r="AL165" s="208">
        <v>32847.406859578485</v>
      </c>
      <c r="AM165" s="208">
        <v>250.82218219074332</v>
      </c>
    </row>
    <row r="166" spans="3:39" x14ac:dyDescent="0.2">
      <c r="C166" s="13" t="s">
        <v>180</v>
      </c>
      <c r="D166" s="22" t="s">
        <v>28</v>
      </c>
      <c r="E166" s="208" t="s">
        <v>769</v>
      </c>
      <c r="F166" s="208">
        <v>9.7992521739130447E-7</v>
      </c>
      <c r="G166" s="208">
        <v>4.9621118012422375E-7</v>
      </c>
      <c r="H166" s="208">
        <v>2.7114782608695652E-8</v>
      </c>
      <c r="I166" s="208">
        <v>3.7251428571428568E-8</v>
      </c>
      <c r="J166" s="208">
        <v>5.0724633999999998E-4</v>
      </c>
      <c r="K166" s="208">
        <v>5.43</v>
      </c>
      <c r="L166" s="208">
        <v>1000000</v>
      </c>
      <c r="M166" s="208" t="s">
        <v>769</v>
      </c>
      <c r="N166" s="208" t="s">
        <v>769</v>
      </c>
      <c r="O166" s="208" t="s">
        <v>769</v>
      </c>
      <c r="P166" s="208" t="s">
        <v>769</v>
      </c>
      <c r="Q166" s="208" t="s">
        <v>769</v>
      </c>
      <c r="R166" s="208" t="s">
        <v>769</v>
      </c>
      <c r="S166" s="208" t="s">
        <v>769</v>
      </c>
      <c r="T166" s="208" t="s">
        <v>769</v>
      </c>
      <c r="U166" s="208" t="s">
        <v>769</v>
      </c>
      <c r="V166" s="208" t="s">
        <v>769</v>
      </c>
      <c r="W166" s="208" t="s">
        <v>358</v>
      </c>
      <c r="X166" s="208" t="s">
        <v>769</v>
      </c>
      <c r="Y166" s="208" t="s">
        <v>769</v>
      </c>
      <c r="Z166" s="208" t="s">
        <v>769</v>
      </c>
      <c r="AA166" s="208" t="s">
        <v>769</v>
      </c>
      <c r="AB166" s="208">
        <v>3820</v>
      </c>
      <c r="AC166" s="208">
        <v>1.0000000000000001E-5</v>
      </c>
      <c r="AD166" s="208">
        <v>1.3</v>
      </c>
      <c r="AE166" s="208">
        <v>5.6000000000000001E-2</v>
      </c>
      <c r="AF166" s="208" t="s">
        <v>769</v>
      </c>
      <c r="AG166" s="208">
        <v>21.9702270017224</v>
      </c>
      <c r="AH166" s="208" t="s">
        <v>769</v>
      </c>
      <c r="AI166" s="208" t="s">
        <v>769</v>
      </c>
      <c r="AJ166" s="208">
        <v>2119.6427920315346</v>
      </c>
      <c r="AK166" s="208">
        <v>6974.1370810665976</v>
      </c>
      <c r="AL166" s="208">
        <v>20501.014602274143</v>
      </c>
      <c r="AM166" s="208">
        <v>178.50254486212367</v>
      </c>
    </row>
    <row r="167" spans="3:39" x14ac:dyDescent="0.2">
      <c r="C167" s="13" t="s">
        <v>181</v>
      </c>
      <c r="D167" s="22" t="s">
        <v>33</v>
      </c>
      <c r="E167" s="208">
        <v>-1.2430000000000001</v>
      </c>
      <c r="F167" s="208">
        <v>1.259713701431493E-10</v>
      </c>
      <c r="G167" s="208">
        <v>2.4163599182004088E-9</v>
      </c>
      <c r="H167" s="208">
        <v>3.7791411042944793E-10</v>
      </c>
      <c r="I167" s="208">
        <v>4.3517382413087935E-10</v>
      </c>
      <c r="J167" s="208">
        <v>2.4312659999999999E-5</v>
      </c>
      <c r="K167" s="208">
        <v>3.87</v>
      </c>
      <c r="L167" s="208">
        <v>1818501.365</v>
      </c>
      <c r="M167" s="208" t="s">
        <v>769</v>
      </c>
      <c r="N167" s="208" t="s">
        <v>769</v>
      </c>
      <c r="O167" s="208" t="s">
        <v>769</v>
      </c>
      <c r="P167" s="208" t="s">
        <v>769</v>
      </c>
      <c r="Q167" s="208" t="s">
        <v>769</v>
      </c>
      <c r="R167" s="208" t="s">
        <v>769</v>
      </c>
      <c r="S167" s="208" t="s">
        <v>769</v>
      </c>
      <c r="T167" s="208" t="s">
        <v>769</v>
      </c>
      <c r="U167" s="208">
        <v>0.46600000000000003</v>
      </c>
      <c r="V167" s="208" t="s">
        <v>769</v>
      </c>
      <c r="W167" s="208" t="s">
        <v>357</v>
      </c>
      <c r="X167" s="208">
        <v>0.36399999999999999</v>
      </c>
      <c r="Y167" s="208">
        <v>0.36399999999999999</v>
      </c>
      <c r="Z167" s="208">
        <v>0.36399999999999999</v>
      </c>
      <c r="AA167" s="208">
        <v>0.36399999999999999</v>
      </c>
      <c r="AB167" s="208">
        <v>14830</v>
      </c>
      <c r="AC167" s="208">
        <v>1.0000000000000001E-5</v>
      </c>
      <c r="AD167" s="208">
        <v>1.3</v>
      </c>
      <c r="AE167" s="208">
        <v>5.6000000000000001E-2</v>
      </c>
      <c r="AF167" s="208" t="s">
        <v>769</v>
      </c>
      <c r="AG167" s="208">
        <v>16.873392902089101</v>
      </c>
      <c r="AH167" s="208" t="s">
        <v>769</v>
      </c>
      <c r="AI167" s="208" t="s">
        <v>769</v>
      </c>
      <c r="AJ167" s="208">
        <v>3771.0466736784201</v>
      </c>
      <c r="AK167" s="208">
        <v>12945.951401861055</v>
      </c>
      <c r="AL167" s="208">
        <v>32918.87422172691</v>
      </c>
      <c r="AM167" s="208">
        <v>243.55859934633733</v>
      </c>
    </row>
    <row r="168" spans="3:39" x14ac:dyDescent="0.2">
      <c r="C168" s="13" t="s">
        <v>182</v>
      </c>
      <c r="D168" s="22" t="s">
        <v>33</v>
      </c>
      <c r="E168" s="208">
        <v>-0.72199999999999998</v>
      </c>
      <c r="F168" s="208">
        <v>1.9709750173490634E-8</v>
      </c>
      <c r="G168" s="208">
        <v>1.3714850798056909E-7</v>
      </c>
      <c r="H168" s="208">
        <v>2.8439625260235948E-9</v>
      </c>
      <c r="I168" s="208">
        <v>3.2499306037473982E-9</v>
      </c>
      <c r="J168" s="208">
        <v>2.5173491000000004E-4</v>
      </c>
      <c r="K168" s="208">
        <v>3.46</v>
      </c>
      <c r="L168" s="208">
        <v>8356711.1299999999</v>
      </c>
      <c r="M168" s="208">
        <v>0.15579999999999999</v>
      </c>
      <c r="N168" s="208">
        <v>1301975.594054</v>
      </c>
      <c r="O168" s="208">
        <v>0.05</v>
      </c>
      <c r="P168" s="208">
        <v>417835.55650000001</v>
      </c>
      <c r="Q168" s="208">
        <v>12</v>
      </c>
      <c r="R168" s="208">
        <v>3</v>
      </c>
      <c r="S168" s="208">
        <v>7.9045867296149375E-2</v>
      </c>
      <c r="T168" s="208">
        <v>0.03</v>
      </c>
      <c r="U168" s="208">
        <v>0.82930000000000004</v>
      </c>
      <c r="V168" s="208">
        <v>78000</v>
      </c>
      <c r="W168" s="208" t="s">
        <v>358</v>
      </c>
      <c r="X168" s="208">
        <v>0.24030000000000001</v>
      </c>
      <c r="Y168" s="208">
        <v>0.24030000000000001</v>
      </c>
      <c r="Z168" s="208">
        <v>0.24030000000000001</v>
      </c>
      <c r="AA168" s="208">
        <v>0.24030000000000001</v>
      </c>
      <c r="AB168" s="208">
        <v>13870</v>
      </c>
      <c r="AC168" s="208">
        <v>1.0000000000000001E-5</v>
      </c>
      <c r="AD168" s="208">
        <v>1.3</v>
      </c>
      <c r="AE168" s="208">
        <v>5.6000000000000001E-2</v>
      </c>
      <c r="AF168" s="208" t="s">
        <v>255</v>
      </c>
      <c r="AG168" s="208">
        <v>26.340211718749998</v>
      </c>
      <c r="AH168" s="208">
        <v>357.3</v>
      </c>
      <c r="AI168" s="208">
        <v>417478.25650000002</v>
      </c>
      <c r="AJ168" s="208">
        <v>3928.8818178251126</v>
      </c>
      <c r="AK168" s="208">
        <v>13537.526049837634</v>
      </c>
      <c r="AL168" s="208">
        <v>35871.614979330931</v>
      </c>
      <c r="AM168" s="208">
        <v>254.43814814717527</v>
      </c>
    </row>
    <row r="169" spans="3:39" x14ac:dyDescent="0.2">
      <c r="C169" s="13" t="s">
        <v>183</v>
      </c>
      <c r="D169" s="22" t="s">
        <v>28</v>
      </c>
      <c r="E169" s="208">
        <v>-1.014</v>
      </c>
      <c r="F169" s="208">
        <v>1.7765303955402178E-6</v>
      </c>
      <c r="G169" s="208">
        <v>8.4349137244491654E-7</v>
      </c>
      <c r="H169" s="208">
        <v>2.1875869392089194E-8</v>
      </c>
      <c r="I169" s="208">
        <v>4.5797823201486603E-8</v>
      </c>
      <c r="J169" s="208">
        <v>6.0109720000000005E-4</v>
      </c>
      <c r="K169" s="208">
        <v>4.2300000000000004</v>
      </c>
      <c r="L169" s="208">
        <v>14631922.9</v>
      </c>
      <c r="M169" s="208">
        <v>0.72</v>
      </c>
      <c r="N169" s="208">
        <v>10534984.488</v>
      </c>
      <c r="O169" s="208">
        <v>0.125</v>
      </c>
      <c r="P169" s="208">
        <v>1828990.3625</v>
      </c>
      <c r="Q169" s="208">
        <v>100</v>
      </c>
      <c r="R169" s="208">
        <v>12</v>
      </c>
      <c r="S169" s="208">
        <v>0.15618668654572929</v>
      </c>
      <c r="T169" s="208" t="s">
        <v>769</v>
      </c>
      <c r="U169" s="208" t="s">
        <v>769</v>
      </c>
      <c r="V169" s="208">
        <v>122000</v>
      </c>
      <c r="W169" s="208" t="s">
        <v>358</v>
      </c>
      <c r="X169" s="208" t="s">
        <v>769</v>
      </c>
      <c r="Y169" s="208" t="s">
        <v>769</v>
      </c>
      <c r="Z169" s="208" t="s">
        <v>769</v>
      </c>
      <c r="AA169" s="208" t="s">
        <v>769</v>
      </c>
      <c r="AB169" s="208">
        <v>9110</v>
      </c>
      <c r="AC169" s="208">
        <v>1.0000000000000001E-5</v>
      </c>
      <c r="AD169" s="208">
        <v>1.3</v>
      </c>
      <c r="AE169" s="208">
        <v>5.6000000000000001E-2</v>
      </c>
      <c r="AF169" s="208" t="s">
        <v>258</v>
      </c>
      <c r="AG169" s="208">
        <v>381.930871650401</v>
      </c>
      <c r="AH169" s="208" t="s">
        <v>769</v>
      </c>
      <c r="AI169" s="208" t="s">
        <v>769</v>
      </c>
      <c r="AJ169" s="208">
        <v>4045.45518620644</v>
      </c>
      <c r="AK169" s="208">
        <v>13417.46047566774</v>
      </c>
      <c r="AL169" s="208">
        <v>35201.078870122612</v>
      </c>
      <c r="AM169" s="208">
        <v>253.04459641979187</v>
      </c>
    </row>
    <row r="170" spans="3:39" x14ac:dyDescent="0.2">
      <c r="C170" s="13" t="s">
        <v>184</v>
      </c>
      <c r="D170" s="22" t="s">
        <v>24</v>
      </c>
      <c r="E170" s="208">
        <v>5.0000000000000001E-3</v>
      </c>
      <c r="F170" s="208">
        <v>2.1110786715205825E-6</v>
      </c>
      <c r="G170" s="208">
        <v>9.790885018202184E-7</v>
      </c>
      <c r="H170" s="208">
        <v>2.9179940632875944E-8</v>
      </c>
      <c r="I170" s="208">
        <v>5.8098495659479138E-8</v>
      </c>
      <c r="J170" s="208">
        <v>7.3318395999999995E-4</v>
      </c>
      <c r="K170" s="208">
        <v>2.82</v>
      </c>
      <c r="L170" s="208">
        <v>12758213</v>
      </c>
      <c r="M170" s="208">
        <v>0.44259999999999999</v>
      </c>
      <c r="N170" s="208">
        <v>5646785.0738000004</v>
      </c>
      <c r="O170" s="208">
        <v>0.13239999999999999</v>
      </c>
      <c r="P170" s="208">
        <v>1689187.4012</v>
      </c>
      <c r="Q170" s="208">
        <v>54</v>
      </c>
      <c r="R170" s="208">
        <v>11</v>
      </c>
      <c r="S170" s="208">
        <v>0.2149973</v>
      </c>
      <c r="T170" s="208" t="s">
        <v>769</v>
      </c>
      <c r="U170" s="208" t="s">
        <v>769</v>
      </c>
      <c r="V170" s="208">
        <v>154000</v>
      </c>
      <c r="W170" s="208" t="s">
        <v>356</v>
      </c>
      <c r="X170" s="208" t="s">
        <v>769</v>
      </c>
      <c r="Y170" s="208" t="s">
        <v>769</v>
      </c>
      <c r="Z170" s="208" t="s">
        <v>769</v>
      </c>
      <c r="AA170" s="208" t="s">
        <v>769</v>
      </c>
      <c r="AB170" s="208">
        <v>38630</v>
      </c>
      <c r="AC170" s="208">
        <v>1.0000000000000001E-5</v>
      </c>
      <c r="AD170" s="208">
        <v>1.3</v>
      </c>
      <c r="AE170" s="208">
        <v>5.6000000000000001E-2</v>
      </c>
      <c r="AF170" s="208" t="s">
        <v>255</v>
      </c>
      <c r="AG170" s="208">
        <v>123.316314929762</v>
      </c>
      <c r="AH170" s="208">
        <v>155729</v>
      </c>
      <c r="AI170" s="208">
        <v>1533458.4012</v>
      </c>
      <c r="AJ170" s="208">
        <v>4204.290728226234</v>
      </c>
      <c r="AK170" s="208">
        <v>13906.906637145785</v>
      </c>
      <c r="AL170" s="208">
        <v>37643.768780390259</v>
      </c>
      <c r="AM170" s="208">
        <v>270.92917819276579</v>
      </c>
    </row>
    <row r="171" spans="3:39" x14ac:dyDescent="0.2">
      <c r="C171" s="13" t="s">
        <v>185</v>
      </c>
      <c r="D171" s="22" t="s">
        <v>24</v>
      </c>
      <c r="E171" s="208">
        <v>-2.8000000000000001E-2</v>
      </c>
      <c r="F171" s="208">
        <v>5.4005979292493537E-8</v>
      </c>
      <c r="G171" s="208">
        <v>2.0973106125970665E-7</v>
      </c>
      <c r="H171" s="208">
        <v>1.3090069025021572E-8</v>
      </c>
      <c r="I171" s="208">
        <v>1.520223468507334E-8</v>
      </c>
      <c r="J171" s="208">
        <v>2.2519409999999999E-4</v>
      </c>
      <c r="K171" s="208">
        <v>2.58</v>
      </c>
      <c r="L171" s="208">
        <v>5268211</v>
      </c>
      <c r="M171" s="208">
        <v>0.48970000000000002</v>
      </c>
      <c r="N171" s="208">
        <v>2579842.9266999997</v>
      </c>
      <c r="O171" s="208">
        <v>0.20680000000000001</v>
      </c>
      <c r="P171" s="208">
        <v>1089466.0348</v>
      </c>
      <c r="Q171" s="208">
        <v>25</v>
      </c>
      <c r="R171" s="208">
        <v>7</v>
      </c>
      <c r="S171" s="208">
        <v>0.19813990000000001</v>
      </c>
      <c r="T171" s="208" t="s">
        <v>769</v>
      </c>
      <c r="U171" s="208" t="s">
        <v>769</v>
      </c>
      <c r="V171" s="208">
        <v>148000</v>
      </c>
      <c r="W171" s="208" t="s">
        <v>355</v>
      </c>
      <c r="X171" s="208" t="s">
        <v>769</v>
      </c>
      <c r="Y171" s="208" t="s">
        <v>769</v>
      </c>
      <c r="Z171" s="208" t="s">
        <v>769</v>
      </c>
      <c r="AA171" s="208" t="s">
        <v>769</v>
      </c>
      <c r="AB171" s="208">
        <v>38400</v>
      </c>
      <c r="AC171" s="208">
        <v>1.0000000000000001E-5</v>
      </c>
      <c r="AD171" s="208">
        <v>1.3</v>
      </c>
      <c r="AE171" s="208">
        <v>5.6000000000000001E-2</v>
      </c>
      <c r="AF171" s="208" t="s">
        <v>255</v>
      </c>
      <c r="AG171" s="208">
        <v>113.113510527741</v>
      </c>
      <c r="AH171" s="208">
        <v>17464</v>
      </c>
      <c r="AI171" s="208">
        <v>1072002.0348</v>
      </c>
      <c r="AJ171" s="208">
        <v>4011.4480444903056</v>
      </c>
      <c r="AK171" s="208">
        <v>13312.349255646664</v>
      </c>
      <c r="AL171" s="208">
        <v>34647.281044741329</v>
      </c>
      <c r="AM171" s="208">
        <v>275.98089606216172</v>
      </c>
    </row>
    <row r="172" spans="3:39" x14ac:dyDescent="0.2">
      <c r="C172" s="13" t="s">
        <v>186</v>
      </c>
      <c r="D172" s="22" t="s">
        <v>33</v>
      </c>
      <c r="E172" s="208" t="s">
        <v>769</v>
      </c>
      <c r="F172" s="208">
        <v>1.4164457941024317E-6</v>
      </c>
      <c r="G172" s="208">
        <v>7.1538499741334738E-7</v>
      </c>
      <c r="H172" s="208">
        <v>3.109092602172789E-8</v>
      </c>
      <c r="I172" s="208">
        <v>4.7235985514743926E-8</v>
      </c>
      <c r="J172" s="208">
        <v>6.7873770000000003E-4</v>
      </c>
      <c r="K172" s="208">
        <v>2.67</v>
      </c>
      <c r="L172" s="208">
        <v>4170953</v>
      </c>
      <c r="M172" s="208" t="s">
        <v>769</v>
      </c>
      <c r="N172" s="208" t="s">
        <v>769</v>
      </c>
      <c r="O172" s="208" t="s">
        <v>769</v>
      </c>
      <c r="P172" s="208" t="s">
        <v>769</v>
      </c>
      <c r="Q172" s="208" t="s">
        <v>769</v>
      </c>
      <c r="R172" s="208" t="s">
        <v>769</v>
      </c>
      <c r="S172" s="208" t="s">
        <v>769</v>
      </c>
      <c r="T172" s="208" t="s">
        <v>769</v>
      </c>
      <c r="U172" s="208" t="s">
        <v>769</v>
      </c>
      <c r="V172" s="208">
        <v>97000</v>
      </c>
      <c r="W172" s="208" t="s">
        <v>358</v>
      </c>
      <c r="X172" s="208" t="s">
        <v>769</v>
      </c>
      <c r="Y172" s="208" t="s">
        <v>769</v>
      </c>
      <c r="Z172" s="208" t="s">
        <v>769</v>
      </c>
      <c r="AA172" s="208" t="s">
        <v>769</v>
      </c>
      <c r="AB172" s="208">
        <v>27960</v>
      </c>
      <c r="AC172" s="208">
        <v>1.0000000000000001E-5</v>
      </c>
      <c r="AD172" s="208">
        <v>1.3</v>
      </c>
      <c r="AE172" s="208">
        <v>5.6000000000000001E-2</v>
      </c>
      <c r="AF172" s="208" t="s">
        <v>769</v>
      </c>
      <c r="AG172" s="208">
        <v>367.834611048478</v>
      </c>
      <c r="AH172" s="208" t="s">
        <v>769</v>
      </c>
      <c r="AI172" s="208" t="s">
        <v>769</v>
      </c>
      <c r="AJ172" s="208">
        <v>4057.8817615928783</v>
      </c>
      <c r="AK172" s="208">
        <v>13763.4291971401</v>
      </c>
      <c r="AL172" s="208">
        <v>36580.287881483833</v>
      </c>
      <c r="AM172" s="208">
        <v>258.98713972669975</v>
      </c>
    </row>
    <row r="173" spans="3:39" x14ac:dyDescent="0.2">
      <c r="C173" s="13" t="s">
        <v>187</v>
      </c>
      <c r="D173" s="22" t="s">
        <v>26</v>
      </c>
      <c r="E173" s="208" t="s">
        <v>769</v>
      </c>
      <c r="F173" s="208">
        <v>1.1795744680851062E-9</v>
      </c>
      <c r="G173" s="208">
        <v>3.2147833487511572E-7</v>
      </c>
      <c r="H173" s="208">
        <v>3.5387234042553188E-9</v>
      </c>
      <c r="I173" s="208">
        <v>3.5853469010175766E-9</v>
      </c>
      <c r="J173" s="208">
        <v>6.0259015000000001E-4</v>
      </c>
      <c r="K173" s="208">
        <v>4.67</v>
      </c>
      <c r="L173" s="208">
        <v>1000990.0159999999</v>
      </c>
      <c r="M173" s="208" t="s">
        <v>769</v>
      </c>
      <c r="N173" s="208" t="s">
        <v>769</v>
      </c>
      <c r="O173" s="208" t="s">
        <v>769</v>
      </c>
      <c r="P173" s="208" t="s">
        <v>769</v>
      </c>
      <c r="Q173" s="208" t="s">
        <v>769</v>
      </c>
      <c r="R173" s="208" t="s">
        <v>769</v>
      </c>
      <c r="S173" s="208" t="s">
        <v>769</v>
      </c>
      <c r="T173" s="208" t="s">
        <v>769</v>
      </c>
      <c r="U173" s="208">
        <v>1</v>
      </c>
      <c r="V173" s="208">
        <v>232000</v>
      </c>
      <c r="W173" s="208" t="s">
        <v>357</v>
      </c>
      <c r="X173" s="208" t="s">
        <v>769</v>
      </c>
      <c r="Y173" s="208" t="s">
        <v>769</v>
      </c>
      <c r="Z173" s="208" t="s">
        <v>769</v>
      </c>
      <c r="AA173" s="208" t="s">
        <v>769</v>
      </c>
      <c r="AB173" s="208">
        <v>107190</v>
      </c>
      <c r="AC173" s="208">
        <v>1.0000000000000001E-5</v>
      </c>
      <c r="AD173" s="208">
        <v>1.3</v>
      </c>
      <c r="AE173" s="208">
        <v>5.6000000000000001E-2</v>
      </c>
      <c r="AF173" s="208" t="s">
        <v>769</v>
      </c>
      <c r="AG173" s="208">
        <v>233.96301131418599</v>
      </c>
      <c r="AH173" s="208" t="s">
        <v>769</v>
      </c>
      <c r="AI173" s="208" t="s">
        <v>769</v>
      </c>
      <c r="AJ173" s="208">
        <v>1644.0670944322997</v>
      </c>
      <c r="AK173" s="208">
        <v>2816.432079577497</v>
      </c>
      <c r="AL173" s="208">
        <v>7872.4665246334753</v>
      </c>
      <c r="AM173" s="208">
        <v>198.98087510800991</v>
      </c>
    </row>
    <row r="174" spans="3:39" x14ac:dyDescent="0.2">
      <c r="C174" s="13" t="s">
        <v>188</v>
      </c>
      <c r="D174" s="22" t="s">
        <v>24</v>
      </c>
      <c r="E174" s="208">
        <v>-1.268</v>
      </c>
      <c r="F174" s="208">
        <v>5.7072265399378544E-7</v>
      </c>
      <c r="G174" s="208">
        <v>3.1398303783586187E-7</v>
      </c>
      <c r="H174" s="208">
        <v>8.3875196490586721E-9</v>
      </c>
      <c r="I174" s="208">
        <v>1.6215923962712485E-8</v>
      </c>
      <c r="J174" s="208">
        <v>2.9793457000000002E-4</v>
      </c>
      <c r="K174" s="208">
        <v>2.67</v>
      </c>
      <c r="L174" s="208">
        <v>5419832.5</v>
      </c>
      <c r="M174" s="208">
        <v>0.84499999999999997</v>
      </c>
      <c r="N174" s="208">
        <v>4579758.4624999994</v>
      </c>
      <c r="O174" s="208">
        <v>2.3699999999999999E-2</v>
      </c>
      <c r="P174" s="208">
        <v>128450.03025</v>
      </c>
      <c r="Q174" s="208">
        <v>44</v>
      </c>
      <c r="R174" s="208">
        <v>1</v>
      </c>
      <c r="S174" s="208">
        <v>5.1995153345963344E-2</v>
      </c>
      <c r="T174" s="208" t="s">
        <v>769</v>
      </c>
      <c r="U174" s="208" t="s">
        <v>769</v>
      </c>
      <c r="V174" s="208">
        <v>94000</v>
      </c>
      <c r="W174" s="208" t="s">
        <v>356</v>
      </c>
      <c r="X174" s="208" t="s">
        <v>769</v>
      </c>
      <c r="Y174" s="208" t="s">
        <v>769</v>
      </c>
      <c r="Z174" s="208" t="s">
        <v>769</v>
      </c>
      <c r="AA174" s="208" t="s">
        <v>769</v>
      </c>
      <c r="AB174" s="208">
        <v>37210</v>
      </c>
      <c r="AC174" s="208">
        <v>1.0000000000000001E-5</v>
      </c>
      <c r="AD174" s="208">
        <v>1.3</v>
      </c>
      <c r="AE174" s="208">
        <v>5.6000000000000001E-2</v>
      </c>
      <c r="AF174" s="208" t="s">
        <v>255</v>
      </c>
      <c r="AG174" s="208">
        <v>83.110478963838702</v>
      </c>
      <c r="AH174" s="208">
        <v>26472</v>
      </c>
      <c r="AI174" s="208">
        <v>101978.03025</v>
      </c>
      <c r="AJ174" s="208">
        <v>4054.4176678441218</v>
      </c>
      <c r="AK174" s="208">
        <v>13480.829465663386</v>
      </c>
      <c r="AL174" s="208">
        <v>35113.216081115053</v>
      </c>
      <c r="AM174" s="208">
        <v>260.02337916224968</v>
      </c>
    </row>
    <row r="175" spans="3:39" x14ac:dyDescent="0.2">
      <c r="C175" s="13" t="s">
        <v>189</v>
      </c>
      <c r="D175" s="22" t="s">
        <v>24</v>
      </c>
      <c r="E175" s="208">
        <v>-0.89500000000000002</v>
      </c>
      <c r="F175" s="208">
        <v>5.0481756285670224E-7</v>
      </c>
      <c r="G175" s="208">
        <v>3.686133888631807E-7</v>
      </c>
      <c r="H175" s="208">
        <v>7.3851581058152091E-9</v>
      </c>
      <c r="I175" s="208">
        <v>1.4107663118926425E-8</v>
      </c>
      <c r="J175" s="208">
        <v>4.362778E-4</v>
      </c>
      <c r="K175" s="208">
        <v>2.58</v>
      </c>
      <c r="L175" s="208">
        <v>60000000</v>
      </c>
      <c r="M175" s="208">
        <v>5.0000000000000001E-3</v>
      </c>
      <c r="N175" s="208">
        <v>300000</v>
      </c>
      <c r="O175" s="208">
        <v>0.13900000000000001</v>
      </c>
      <c r="P175" s="208">
        <v>8340000.0000000019</v>
      </c>
      <c r="Q175" s="208">
        <v>1000</v>
      </c>
      <c r="R175" s="208">
        <v>55</v>
      </c>
      <c r="S175" s="208">
        <v>0.17058630613898421</v>
      </c>
      <c r="T175" s="208">
        <v>0.7</v>
      </c>
      <c r="U175" s="208" t="s">
        <v>769</v>
      </c>
      <c r="V175" s="208">
        <v>85000</v>
      </c>
      <c r="W175" s="208" t="s">
        <v>356</v>
      </c>
      <c r="X175" s="208" t="s">
        <v>769</v>
      </c>
      <c r="Y175" s="208" t="s">
        <v>769</v>
      </c>
      <c r="Z175" s="208" t="s">
        <v>769</v>
      </c>
      <c r="AA175" s="208" t="s">
        <v>769</v>
      </c>
      <c r="AB175" s="208">
        <v>38030</v>
      </c>
      <c r="AC175" s="208">
        <v>1.0000000000000001E-5</v>
      </c>
      <c r="AD175" s="208">
        <v>1.3</v>
      </c>
      <c r="AE175" s="208">
        <v>5.6000000000000001E-2</v>
      </c>
      <c r="AF175" s="208" t="s">
        <v>255</v>
      </c>
      <c r="AG175" s="208">
        <v>8.8384875742434303</v>
      </c>
      <c r="AH175" s="208" t="s">
        <v>769</v>
      </c>
      <c r="AI175" s="208" t="s">
        <v>769</v>
      </c>
      <c r="AJ175" s="208">
        <v>4272.5435044866181</v>
      </c>
      <c r="AK175" s="208">
        <v>15044.021993919923</v>
      </c>
      <c r="AL175" s="208">
        <v>42383.935555451259</v>
      </c>
      <c r="AM175" s="208">
        <v>256.13983962420411</v>
      </c>
    </row>
    <row r="176" spans="3:39" x14ac:dyDescent="0.2">
      <c r="C176" s="13" t="s">
        <v>190</v>
      </c>
      <c r="D176" s="22" t="s">
        <v>31</v>
      </c>
      <c r="E176" s="208" t="s">
        <v>769</v>
      </c>
      <c r="F176" s="208">
        <v>4.3593795918367346E-7</v>
      </c>
      <c r="G176" s="208">
        <v>2.7095510204081641E-7</v>
      </c>
      <c r="H176" s="208">
        <v>1.0087346938775512E-8</v>
      </c>
      <c r="I176" s="208">
        <v>1.5046530612244895E-8</v>
      </c>
      <c r="J176" s="208">
        <v>3.1632654000000003E-4</v>
      </c>
      <c r="K176" s="208">
        <v>4.28</v>
      </c>
      <c r="L176" s="208">
        <v>4384969</v>
      </c>
      <c r="M176" s="208" t="s">
        <v>769</v>
      </c>
      <c r="N176" s="208" t="s">
        <v>769</v>
      </c>
      <c r="O176" s="208" t="s">
        <v>769</v>
      </c>
      <c r="P176" s="208" t="s">
        <v>769</v>
      </c>
      <c r="Q176" s="208" t="s">
        <v>769</v>
      </c>
      <c r="R176" s="208" t="s">
        <v>769</v>
      </c>
      <c r="S176" s="208" t="s">
        <v>769</v>
      </c>
      <c r="T176" s="208" t="s">
        <v>769</v>
      </c>
      <c r="U176" s="208" t="s">
        <v>769</v>
      </c>
      <c r="V176" s="208" t="s">
        <v>769</v>
      </c>
      <c r="W176" s="208" t="s">
        <v>357</v>
      </c>
      <c r="X176" s="208" t="s">
        <v>769</v>
      </c>
      <c r="Y176" s="208" t="s">
        <v>769</v>
      </c>
      <c r="Z176" s="208" t="s">
        <v>769</v>
      </c>
      <c r="AA176" s="208" t="s">
        <v>769</v>
      </c>
      <c r="AB176" s="208">
        <v>2650</v>
      </c>
      <c r="AC176" s="208">
        <v>1.0000000000000001E-5</v>
      </c>
      <c r="AD176" s="208">
        <v>1.3</v>
      </c>
      <c r="AE176" s="208">
        <v>5.6000000000000001E-2</v>
      </c>
      <c r="AF176" s="208" t="s">
        <v>769</v>
      </c>
      <c r="AG176" s="208">
        <v>545.67847588163795</v>
      </c>
      <c r="AH176" s="208" t="s">
        <v>769</v>
      </c>
      <c r="AI176" s="208" t="s">
        <v>769</v>
      </c>
      <c r="AJ176" s="208">
        <v>2652.7957221552888</v>
      </c>
      <c r="AK176" s="208">
        <v>7623.3740003028752</v>
      </c>
      <c r="AL176" s="208">
        <v>22723.847923056503</v>
      </c>
      <c r="AM176" s="208">
        <v>173.39376373101854</v>
      </c>
    </row>
    <row r="177" spans="3:39" x14ac:dyDescent="0.2">
      <c r="C177" s="13" t="s">
        <v>191</v>
      </c>
      <c r="D177" s="22" t="s">
        <v>28</v>
      </c>
      <c r="E177" s="208" t="s">
        <v>769</v>
      </c>
      <c r="F177" s="208">
        <v>1.1946315789473686E-6</v>
      </c>
      <c r="G177" s="208">
        <v>5.2957894736842106E-7</v>
      </c>
      <c r="H177" s="208">
        <v>3.202105263157895E-8</v>
      </c>
      <c r="I177" s="208">
        <v>4.4336842105263158E-8</v>
      </c>
      <c r="J177" s="208">
        <v>4.7368422999999999E-4</v>
      </c>
      <c r="K177" s="208">
        <v>6.6</v>
      </c>
      <c r="L177" s="208">
        <v>27399.09</v>
      </c>
      <c r="M177" s="208" t="s">
        <v>769</v>
      </c>
      <c r="N177" s="208" t="s">
        <v>769</v>
      </c>
      <c r="O177" s="208" t="s">
        <v>769</v>
      </c>
      <c r="P177" s="208" t="s">
        <v>769</v>
      </c>
      <c r="Q177" s="208" t="s">
        <v>769</v>
      </c>
      <c r="R177" s="208" t="s">
        <v>769</v>
      </c>
      <c r="S177" s="208" t="s">
        <v>769</v>
      </c>
      <c r="T177" s="208" t="s">
        <v>769</v>
      </c>
      <c r="U177" s="208">
        <v>1</v>
      </c>
      <c r="V177" s="208" t="s">
        <v>769</v>
      </c>
      <c r="W177" s="208" t="s">
        <v>358</v>
      </c>
      <c r="X177" s="208" t="s">
        <v>769</v>
      </c>
      <c r="Y177" s="208" t="s">
        <v>769</v>
      </c>
      <c r="Z177" s="208" t="s">
        <v>769</v>
      </c>
      <c r="AA177" s="208" t="s">
        <v>769</v>
      </c>
      <c r="AB177" s="208">
        <v>5990</v>
      </c>
      <c r="AC177" s="208">
        <v>1.0000000000000001E-5</v>
      </c>
      <c r="AD177" s="208">
        <v>1.3</v>
      </c>
      <c r="AE177" s="208">
        <v>5.6000000000000001E-2</v>
      </c>
      <c r="AF177" s="208" t="s">
        <v>769</v>
      </c>
      <c r="AG177" s="208">
        <v>78.692086330935297</v>
      </c>
      <c r="AH177" s="208" t="s">
        <v>769</v>
      </c>
      <c r="AI177" s="208" t="s">
        <v>769</v>
      </c>
      <c r="AJ177" s="208">
        <v>838.26937309775747</v>
      </c>
      <c r="AK177" s="208">
        <v>2335.1280536420695</v>
      </c>
      <c r="AL177" s="208">
        <v>6792.7062347658939</v>
      </c>
      <c r="AM177" s="208">
        <v>43.247174616016487</v>
      </c>
    </row>
    <row r="178" spans="3:39" x14ac:dyDescent="0.2">
      <c r="C178" s="13" t="s">
        <v>192</v>
      </c>
      <c r="D178" s="22" t="s">
        <v>24</v>
      </c>
      <c r="E178" s="208" t="s">
        <v>769</v>
      </c>
      <c r="F178" s="208" t="s">
        <v>769</v>
      </c>
      <c r="G178" s="208" t="s">
        <v>769</v>
      </c>
      <c r="H178" s="208" t="s">
        <v>769</v>
      </c>
      <c r="I178" s="208" t="s">
        <v>769</v>
      </c>
      <c r="J178" s="208" t="s">
        <v>769</v>
      </c>
      <c r="K178" s="208" t="s">
        <v>769</v>
      </c>
      <c r="L178" s="208">
        <v>17174.68</v>
      </c>
      <c r="M178" s="208" t="s">
        <v>769</v>
      </c>
      <c r="N178" s="208" t="s">
        <v>769</v>
      </c>
      <c r="O178" s="208" t="s">
        <v>769</v>
      </c>
      <c r="P178" s="208" t="s">
        <v>769</v>
      </c>
      <c r="Q178" s="208" t="s">
        <v>769</v>
      </c>
      <c r="R178" s="208" t="s">
        <v>769</v>
      </c>
      <c r="S178" s="208" t="s">
        <v>769</v>
      </c>
      <c r="T178" s="208" t="s">
        <v>769</v>
      </c>
      <c r="U178" s="208" t="s">
        <v>769</v>
      </c>
      <c r="V178" s="208" t="s">
        <v>769</v>
      </c>
      <c r="W178" s="208" t="s">
        <v>356</v>
      </c>
      <c r="X178" s="208" t="s">
        <v>769</v>
      </c>
      <c r="Y178" s="208" t="s">
        <v>769</v>
      </c>
      <c r="Z178" s="208" t="s">
        <v>769</v>
      </c>
      <c r="AA178" s="208" t="s">
        <v>769</v>
      </c>
      <c r="AB178" s="208">
        <v>59020</v>
      </c>
      <c r="AC178" s="208">
        <v>1.0000000000000001E-5</v>
      </c>
      <c r="AD178" s="208">
        <v>1.3</v>
      </c>
      <c r="AE178" s="208">
        <v>5.6000000000000001E-2</v>
      </c>
      <c r="AF178" s="208" t="s">
        <v>769</v>
      </c>
      <c r="AG178" s="208">
        <v>562.41666666666697</v>
      </c>
      <c r="AH178" s="208" t="s">
        <v>769</v>
      </c>
      <c r="AI178" s="208" t="s">
        <v>769</v>
      </c>
      <c r="AJ178" s="208">
        <v>1034.5375586959392</v>
      </c>
      <c r="AK178" s="208">
        <v>2427.201776574309</v>
      </c>
      <c r="AL178" s="208">
        <v>7009.0147925759029</v>
      </c>
      <c r="AM178" s="208">
        <v>81.218193759899521</v>
      </c>
    </row>
    <row r="179" spans="3:39" x14ac:dyDescent="0.2">
      <c r="C179" s="13" t="s">
        <v>193</v>
      </c>
      <c r="D179" s="22" t="s">
        <v>31</v>
      </c>
      <c r="E179" s="208" t="s">
        <v>769</v>
      </c>
      <c r="F179" s="208">
        <v>1.6212857142857145E-6</v>
      </c>
      <c r="G179" s="208">
        <v>7.1871428571428577E-7</v>
      </c>
      <c r="H179" s="208">
        <v>4.3457142857142857E-8</v>
      </c>
      <c r="I179" s="208">
        <v>6.0171428571428564E-8</v>
      </c>
      <c r="J179" s="208">
        <v>6.428572E-4</v>
      </c>
      <c r="K179" s="208">
        <v>4.0599999999999996</v>
      </c>
      <c r="L179" s="208" t="s">
        <v>769</v>
      </c>
      <c r="M179" s="208" t="s">
        <v>769</v>
      </c>
      <c r="N179" s="208" t="s">
        <v>769</v>
      </c>
      <c r="O179" s="208" t="s">
        <v>769</v>
      </c>
      <c r="P179" s="208" t="s">
        <v>769</v>
      </c>
      <c r="Q179" s="208" t="s">
        <v>769</v>
      </c>
      <c r="R179" s="208" t="s">
        <v>769</v>
      </c>
      <c r="S179" s="208" t="s">
        <v>769</v>
      </c>
      <c r="T179" s="208" t="s">
        <v>769</v>
      </c>
      <c r="U179" s="208"/>
      <c r="V179" s="208" t="s">
        <v>769</v>
      </c>
      <c r="W179" s="208" t="s">
        <v>358</v>
      </c>
      <c r="X179" s="208"/>
      <c r="Y179" s="208"/>
      <c r="Z179" s="208"/>
      <c r="AA179" s="208"/>
      <c r="AB179" s="208">
        <v>5730</v>
      </c>
      <c r="AC179" s="208">
        <v>1.0000000000000001E-5</v>
      </c>
      <c r="AD179" s="208">
        <v>1.3</v>
      </c>
      <c r="AE179" s="208">
        <v>5.6000000000000001E-2</v>
      </c>
      <c r="AF179" s="208" t="s">
        <v>769</v>
      </c>
      <c r="AG179" s="208">
        <v>232.40312499999999</v>
      </c>
      <c r="AH179" s="208" t="s">
        <v>769</v>
      </c>
      <c r="AI179" s="208" t="s">
        <v>769</v>
      </c>
      <c r="AJ179" s="208">
        <v>1123.0707913487654</v>
      </c>
      <c r="AK179" s="208">
        <v>2546.649474689792</v>
      </c>
      <c r="AL179" s="208">
        <v>7352.8405845767875</v>
      </c>
      <c r="AM179" s="208">
        <v>51.277832552994113</v>
      </c>
    </row>
    <row r="180" spans="3:39" x14ac:dyDescent="0.2">
      <c r="C180" s="13" t="s">
        <v>194</v>
      </c>
      <c r="D180" s="22" t="s">
        <v>26</v>
      </c>
      <c r="E180" s="208" t="s">
        <v>769</v>
      </c>
      <c r="F180" s="208" t="s">
        <v>769</v>
      </c>
      <c r="G180" s="208" t="s">
        <v>769</v>
      </c>
      <c r="H180" s="208" t="s">
        <v>769</v>
      </c>
      <c r="I180" s="208" t="s">
        <v>769</v>
      </c>
      <c r="J180" s="208" t="s">
        <v>769</v>
      </c>
      <c r="K180" s="208" t="s">
        <v>769</v>
      </c>
      <c r="L180" s="208">
        <v>16125700.58</v>
      </c>
      <c r="M180" s="208" t="s">
        <v>769</v>
      </c>
      <c r="N180" s="208" t="s">
        <v>769</v>
      </c>
      <c r="O180" s="208" t="s">
        <v>769</v>
      </c>
      <c r="P180" s="208" t="s">
        <v>769</v>
      </c>
      <c r="Q180" s="208" t="s">
        <v>769</v>
      </c>
      <c r="R180" s="208" t="s">
        <v>769</v>
      </c>
      <c r="S180" s="208" t="s">
        <v>769</v>
      </c>
      <c r="T180" s="208" t="s">
        <v>769</v>
      </c>
      <c r="U180" s="208">
        <v>1</v>
      </c>
      <c r="V180" s="208">
        <v>71000</v>
      </c>
      <c r="W180" s="208" t="s">
        <v>357</v>
      </c>
      <c r="X180" s="208" t="s">
        <v>769</v>
      </c>
      <c r="Y180" s="208" t="s">
        <v>769</v>
      </c>
      <c r="Z180" s="208" t="s">
        <v>769</v>
      </c>
      <c r="AA180" s="208" t="s">
        <v>769</v>
      </c>
      <c r="AB180" s="208">
        <v>48460</v>
      </c>
      <c r="AC180" s="208">
        <v>1.0000000000000001E-5</v>
      </c>
      <c r="AD180" s="208">
        <v>1.3</v>
      </c>
      <c r="AE180" s="208">
        <v>5.6000000000000001E-2</v>
      </c>
      <c r="AF180" s="208" t="s">
        <v>769</v>
      </c>
      <c r="AG180" s="208">
        <v>16.723525717661602</v>
      </c>
      <c r="AH180" s="208" t="s">
        <v>769</v>
      </c>
      <c r="AI180" s="208" t="s">
        <v>769</v>
      </c>
      <c r="AJ180" s="208">
        <v>3872.3730798346</v>
      </c>
      <c r="AK180" s="208">
        <v>13105.221001950047</v>
      </c>
      <c r="AL180" s="208">
        <v>33074.419004648276</v>
      </c>
      <c r="AM180" s="208">
        <v>352.2185916022853</v>
      </c>
    </row>
    <row r="181" spans="3:39" x14ac:dyDescent="0.2">
      <c r="C181" s="13" t="s">
        <v>195</v>
      </c>
      <c r="D181" s="22" t="s">
        <v>31</v>
      </c>
      <c r="E181" s="208" t="s">
        <v>769</v>
      </c>
      <c r="F181" s="208">
        <v>1.3628593298969074E-6</v>
      </c>
      <c r="G181" s="208">
        <v>6.1514536082474248E-7</v>
      </c>
      <c r="H181" s="208">
        <v>3.538159793814433E-8</v>
      </c>
      <c r="I181" s="208">
        <v>5.0236237113402055E-8</v>
      </c>
      <c r="J181" s="208">
        <v>5.1159793E-4</v>
      </c>
      <c r="K181" s="208">
        <v>8.66</v>
      </c>
      <c r="L181" s="208">
        <v>2454059.25</v>
      </c>
      <c r="M181" s="208" t="s">
        <v>769</v>
      </c>
      <c r="N181" s="208" t="s">
        <v>769</v>
      </c>
      <c r="O181" s="208" t="s">
        <v>769</v>
      </c>
      <c r="P181" s="208" t="s">
        <v>769</v>
      </c>
      <c r="Q181" s="208" t="s">
        <v>769</v>
      </c>
      <c r="R181" s="208" t="s">
        <v>769</v>
      </c>
      <c r="S181" s="208" t="s">
        <v>769</v>
      </c>
      <c r="T181" s="208" t="s">
        <v>769</v>
      </c>
      <c r="U181" s="208">
        <v>0.214</v>
      </c>
      <c r="V181" s="208" t="s">
        <v>769</v>
      </c>
      <c r="W181" s="208" t="s">
        <v>357</v>
      </c>
      <c r="X181" s="208" t="s">
        <v>769</v>
      </c>
      <c r="Y181" s="208" t="s">
        <v>769</v>
      </c>
      <c r="Z181" s="208" t="s">
        <v>769</v>
      </c>
      <c r="AA181" s="208" t="s">
        <v>769</v>
      </c>
      <c r="AB181" s="208">
        <v>4150</v>
      </c>
      <c r="AC181" s="208">
        <v>1.0000000000000001E-5</v>
      </c>
      <c r="AD181" s="208">
        <v>1.3</v>
      </c>
      <c r="AE181" s="208">
        <v>5.6000000000000001E-2</v>
      </c>
      <c r="AF181" s="208" t="s">
        <v>769</v>
      </c>
      <c r="AG181" s="208">
        <v>87.657611800758303</v>
      </c>
      <c r="AH181" s="208" t="s">
        <v>769</v>
      </c>
      <c r="AI181" s="208" t="s">
        <v>769</v>
      </c>
      <c r="AJ181" s="208">
        <v>2440.3284190525869</v>
      </c>
      <c r="AK181" s="208">
        <v>7650.5010095006028</v>
      </c>
      <c r="AL181" s="208">
        <v>21739.545367699444</v>
      </c>
      <c r="AM181" s="208">
        <v>196.27964549649235</v>
      </c>
    </row>
    <row r="182" spans="3:39" x14ac:dyDescent="0.2">
      <c r="C182" s="13" t="s">
        <v>196</v>
      </c>
      <c r="D182" s="22" t="s">
        <v>24</v>
      </c>
      <c r="E182" s="208" t="s">
        <v>769</v>
      </c>
      <c r="F182" s="208">
        <v>1.9398409235048676E-6</v>
      </c>
      <c r="G182" s="208">
        <v>8.7231554937413061E-7</v>
      </c>
      <c r="H182" s="208">
        <v>2.2208945757997218E-8</v>
      </c>
      <c r="I182" s="208">
        <v>4.8342242002781638E-8</v>
      </c>
      <c r="J182" s="208">
        <v>6.956884E-4</v>
      </c>
      <c r="K182" s="208">
        <v>2.85</v>
      </c>
      <c r="L182" s="208">
        <v>2347401.5</v>
      </c>
      <c r="M182" s="208" t="s">
        <v>769</v>
      </c>
      <c r="N182" s="208" t="s">
        <v>769</v>
      </c>
      <c r="O182" s="208" t="s">
        <v>769</v>
      </c>
      <c r="P182" s="208" t="s">
        <v>769</v>
      </c>
      <c r="Q182" s="208" t="s">
        <v>769</v>
      </c>
      <c r="R182" s="208" t="s">
        <v>769</v>
      </c>
      <c r="S182" s="208" t="s">
        <v>769</v>
      </c>
      <c r="T182" s="208" t="s">
        <v>769</v>
      </c>
      <c r="U182" s="208">
        <v>0.7</v>
      </c>
      <c r="V182" s="208">
        <v>127000</v>
      </c>
      <c r="W182" s="208" t="s">
        <v>356</v>
      </c>
      <c r="X182" s="208" t="s">
        <v>769</v>
      </c>
      <c r="Y182" s="208" t="s">
        <v>769</v>
      </c>
      <c r="Z182" s="208" t="s">
        <v>769</v>
      </c>
      <c r="AA182" s="208" t="s">
        <v>769</v>
      </c>
      <c r="AB182" s="208">
        <v>21700</v>
      </c>
      <c r="AC182" s="208">
        <v>1.0000000000000001E-5</v>
      </c>
      <c r="AD182" s="208">
        <v>1.3</v>
      </c>
      <c r="AE182" s="208">
        <v>5.6000000000000001E-2</v>
      </c>
      <c r="AF182" s="208" t="s">
        <v>769</v>
      </c>
      <c r="AG182" s="208">
        <v>81.273944583184701</v>
      </c>
      <c r="AH182" s="208" t="s">
        <v>769</v>
      </c>
      <c r="AI182" s="208" t="s">
        <v>769</v>
      </c>
      <c r="AJ182" s="208">
        <v>3925.8009718600447</v>
      </c>
      <c r="AK182" s="208">
        <v>13031.378101620829</v>
      </c>
      <c r="AL182" s="208">
        <v>33201.284643340761</v>
      </c>
      <c r="AM182" s="208">
        <v>249.44299556427364</v>
      </c>
    </row>
    <row r="183" spans="3:39" x14ac:dyDescent="0.2">
      <c r="C183" s="13" t="s">
        <v>197</v>
      </c>
      <c r="D183" s="22" t="s">
        <v>31</v>
      </c>
      <c r="E183" s="208" t="s">
        <v>769</v>
      </c>
      <c r="F183" s="208">
        <v>1.4925483870967743E-6</v>
      </c>
      <c r="G183" s="208">
        <v>6.6164516129032273E-7</v>
      </c>
      <c r="H183" s="208">
        <v>4.0006451612903229E-8</v>
      </c>
      <c r="I183" s="208">
        <v>5.5393548387096771E-8</v>
      </c>
      <c r="J183" s="208">
        <v>5.6451610000000008E-4</v>
      </c>
      <c r="K183" s="208"/>
      <c r="L183" s="208">
        <v>48000</v>
      </c>
      <c r="M183" s="208" t="s">
        <v>769</v>
      </c>
      <c r="N183" s="208" t="s">
        <v>769</v>
      </c>
      <c r="O183" s="208" t="s">
        <v>769</v>
      </c>
      <c r="P183" s="208" t="s">
        <v>769</v>
      </c>
      <c r="Q183" s="208" t="s">
        <v>769</v>
      </c>
      <c r="R183" s="208" t="s">
        <v>769</v>
      </c>
      <c r="S183" s="208" t="s">
        <v>769</v>
      </c>
      <c r="T183" s="208" t="s">
        <v>769</v>
      </c>
      <c r="U183" s="208" t="s">
        <v>769</v>
      </c>
      <c r="V183" s="208" t="s">
        <v>769</v>
      </c>
      <c r="W183" s="208" t="s">
        <v>358</v>
      </c>
      <c r="X183" s="208" t="s">
        <v>769</v>
      </c>
      <c r="Y183" s="208" t="s">
        <v>769</v>
      </c>
      <c r="Z183" s="208" t="s">
        <v>769</v>
      </c>
      <c r="AA183" s="208" t="s">
        <v>769</v>
      </c>
      <c r="AB183" s="208">
        <v>28720</v>
      </c>
      <c r="AC183" s="208">
        <v>1.0000000000000001E-5</v>
      </c>
      <c r="AD183" s="208">
        <v>1.3</v>
      </c>
      <c r="AE183" s="208">
        <v>5.6000000000000001E-2</v>
      </c>
      <c r="AF183" s="208" t="s">
        <v>769</v>
      </c>
      <c r="AG183" s="208">
        <v>215.778260869565</v>
      </c>
      <c r="AH183" s="208" t="s">
        <v>769</v>
      </c>
      <c r="AI183" s="208" t="s">
        <v>769</v>
      </c>
      <c r="AJ183" s="208">
        <v>942.60219203869644</v>
      </c>
      <c r="AK183" s="208">
        <v>2398.1787603696662</v>
      </c>
      <c r="AL183" s="208">
        <v>6936.0947133838581</v>
      </c>
      <c r="AM183" s="208">
        <v>60.726549843998598</v>
      </c>
    </row>
    <row r="184" spans="3:39" x14ac:dyDescent="0.2">
      <c r="C184" s="13" t="s">
        <v>198</v>
      </c>
      <c r="D184" s="22" t="s">
        <v>31</v>
      </c>
      <c r="E184" s="208" t="s">
        <v>769</v>
      </c>
      <c r="F184" s="208">
        <v>8.7300000000000007E-8</v>
      </c>
      <c r="G184" s="208">
        <v>3.8700000000000002E-8</v>
      </c>
      <c r="H184" s="208">
        <v>2.3399999999999998E-9</v>
      </c>
      <c r="I184" s="208">
        <v>3.2399999999999992E-9</v>
      </c>
      <c r="J184" s="208">
        <v>5.0000000000000002E-5</v>
      </c>
      <c r="K184" s="208">
        <v>5.29</v>
      </c>
      <c r="L184" s="208">
        <v>610222.09</v>
      </c>
      <c r="M184" s="208" t="s">
        <v>769</v>
      </c>
      <c r="N184" s="208" t="s">
        <v>769</v>
      </c>
      <c r="O184" s="208" t="s">
        <v>769</v>
      </c>
      <c r="P184" s="208" t="s">
        <v>769</v>
      </c>
      <c r="Q184" s="208" t="s">
        <v>769</v>
      </c>
      <c r="R184" s="208" t="s">
        <v>769</v>
      </c>
      <c r="S184" s="208" t="s">
        <v>769</v>
      </c>
      <c r="T184" s="208" t="s">
        <v>769</v>
      </c>
      <c r="U184" s="208" t="s">
        <v>769</v>
      </c>
      <c r="V184" s="208" t="s">
        <v>769</v>
      </c>
      <c r="W184" s="208" t="s">
        <v>358</v>
      </c>
      <c r="X184" s="208" t="s">
        <v>769</v>
      </c>
      <c r="Y184" s="208" t="s">
        <v>769</v>
      </c>
      <c r="Z184" s="208" t="s">
        <v>769</v>
      </c>
      <c r="AA184" s="208" t="s">
        <v>769</v>
      </c>
      <c r="AB184" s="208">
        <v>1610</v>
      </c>
      <c r="AC184" s="208">
        <v>1.0000000000000001E-5</v>
      </c>
      <c r="AD184" s="208">
        <v>1.3</v>
      </c>
      <c r="AE184" s="208">
        <v>5.6000000000000001E-2</v>
      </c>
      <c r="AF184" s="208" t="s">
        <v>769</v>
      </c>
      <c r="AG184" s="208">
        <v>116.661692989748</v>
      </c>
      <c r="AH184" s="208" t="s">
        <v>769</v>
      </c>
      <c r="AI184" s="208" t="s">
        <v>769</v>
      </c>
      <c r="AJ184" s="208">
        <v>3959.704959053066</v>
      </c>
      <c r="AK184" s="208">
        <v>13115.044171857067</v>
      </c>
      <c r="AL184" s="208">
        <v>33644.671434488519</v>
      </c>
      <c r="AM184" s="208">
        <v>241.2960598846492</v>
      </c>
    </row>
    <row r="185" spans="3:39" x14ac:dyDescent="0.2">
      <c r="C185" s="13" t="s">
        <v>199</v>
      </c>
      <c r="D185" s="22" t="s">
        <v>28</v>
      </c>
      <c r="E185" s="208">
        <v>1.7709999999999999</v>
      </c>
      <c r="F185" s="208" t="s">
        <v>769</v>
      </c>
      <c r="G185" s="208" t="s">
        <v>769</v>
      </c>
      <c r="H185" s="208" t="s">
        <v>769</v>
      </c>
      <c r="I185" s="208" t="s">
        <v>769</v>
      </c>
      <c r="J185" s="208" t="s">
        <v>769</v>
      </c>
      <c r="K185" s="208">
        <v>2.95</v>
      </c>
      <c r="L185" s="208">
        <v>1870000</v>
      </c>
      <c r="M185" s="208" t="s">
        <v>769</v>
      </c>
      <c r="N185" s="208" t="s">
        <v>769</v>
      </c>
      <c r="O185" s="208" t="s">
        <v>769</v>
      </c>
      <c r="P185" s="208" t="s">
        <v>769</v>
      </c>
      <c r="Q185" s="208" t="s">
        <v>769</v>
      </c>
      <c r="R185" s="208" t="s">
        <v>769</v>
      </c>
      <c r="S185" s="208" t="s">
        <v>769</v>
      </c>
      <c r="T185" s="208">
        <v>1</v>
      </c>
      <c r="U185" s="208">
        <v>1</v>
      </c>
      <c r="V185" s="208">
        <v>986000</v>
      </c>
      <c r="W185" s="208" t="s">
        <v>358</v>
      </c>
      <c r="X185" s="208" t="s">
        <v>769</v>
      </c>
      <c r="Y185" s="208" t="s">
        <v>769</v>
      </c>
      <c r="Z185" s="208" t="s">
        <v>769</v>
      </c>
      <c r="AA185" s="208" t="s">
        <v>769</v>
      </c>
      <c r="AB185" s="208">
        <v>112140</v>
      </c>
      <c r="AC185" s="208">
        <v>1.0000000000000001E-5</v>
      </c>
      <c r="AD185" s="208">
        <v>1.3</v>
      </c>
      <c r="AE185" s="208">
        <v>5.6000000000000001E-2</v>
      </c>
      <c r="AF185" s="208" t="s">
        <v>769</v>
      </c>
      <c r="AG185" s="208">
        <v>7595.4958217270196</v>
      </c>
      <c r="AH185" s="208" t="s">
        <v>769</v>
      </c>
      <c r="AI185" s="208" t="s">
        <v>769</v>
      </c>
      <c r="AJ185" s="208">
        <v>4839.3772324539786</v>
      </c>
      <c r="AK185" s="208">
        <v>13719.167025513174</v>
      </c>
      <c r="AL185" s="208">
        <v>36342.408641254246</v>
      </c>
      <c r="AM185" s="208">
        <v>451.19451738877854</v>
      </c>
    </row>
    <row r="186" spans="3:39" x14ac:dyDescent="0.2">
      <c r="C186" s="13" t="s">
        <v>200</v>
      </c>
      <c r="D186" s="22" t="s">
        <v>33</v>
      </c>
      <c r="E186" s="208" t="s">
        <v>769</v>
      </c>
      <c r="F186" s="208" t="s">
        <v>769</v>
      </c>
      <c r="G186" s="208" t="s">
        <v>769</v>
      </c>
      <c r="H186" s="208" t="s">
        <v>769</v>
      </c>
      <c r="I186" s="208" t="s">
        <v>769</v>
      </c>
      <c r="J186" s="208" t="s">
        <v>769</v>
      </c>
      <c r="K186" s="208">
        <v>2.58</v>
      </c>
      <c r="L186" s="208">
        <v>0</v>
      </c>
      <c r="M186" s="208" t="s">
        <v>769</v>
      </c>
      <c r="N186" s="208" t="s">
        <v>769</v>
      </c>
      <c r="O186" s="208" t="s">
        <v>769</v>
      </c>
      <c r="P186" s="208" t="s">
        <v>769</v>
      </c>
      <c r="Q186" s="208" t="s">
        <v>769</v>
      </c>
      <c r="R186" s="208" t="s">
        <v>769</v>
      </c>
      <c r="S186" s="208" t="s">
        <v>769</v>
      </c>
      <c r="T186" s="208" t="s">
        <v>769</v>
      </c>
      <c r="U186" s="208" t="s">
        <v>769</v>
      </c>
      <c r="V186" s="208" t="s">
        <v>769</v>
      </c>
      <c r="W186" s="208" t="s">
        <v>358</v>
      </c>
      <c r="X186" s="208" t="s">
        <v>769</v>
      </c>
      <c r="Y186" s="208" t="s">
        <v>769</v>
      </c>
      <c r="Z186" s="208" t="s">
        <v>769</v>
      </c>
      <c r="AA186" s="208" t="s">
        <v>769</v>
      </c>
      <c r="AB186" s="208">
        <v>40390</v>
      </c>
      <c r="AC186" s="208">
        <v>1.0000000000000001E-5</v>
      </c>
      <c r="AD186" s="208">
        <v>1.3</v>
      </c>
      <c r="AE186" s="208">
        <v>5.6000000000000001E-2</v>
      </c>
      <c r="AF186" s="208" t="s">
        <v>769</v>
      </c>
      <c r="AG186" s="208">
        <v>1197.2941176470599</v>
      </c>
      <c r="AH186" s="208" t="s">
        <v>769</v>
      </c>
      <c r="AI186" s="208" t="s">
        <v>769</v>
      </c>
      <c r="AJ186" s="208">
        <v>942.23916556461404</v>
      </c>
      <c r="AK186" s="208">
        <v>2365.2633430810688</v>
      </c>
      <c r="AL186" s="208">
        <v>6847.6257378667942</v>
      </c>
      <c r="AM186" s="208">
        <v>57.889504029738077</v>
      </c>
    </row>
    <row r="187" spans="3:39" x14ac:dyDescent="0.2">
      <c r="C187" s="13" t="s">
        <v>201</v>
      </c>
      <c r="D187" s="22" t="s">
        <v>24</v>
      </c>
      <c r="E187" s="208">
        <v>-0.17699999999999999</v>
      </c>
      <c r="F187" s="208">
        <v>2.535490580256217E-7</v>
      </c>
      <c r="G187" s="208">
        <v>1.786015071590053E-7</v>
      </c>
      <c r="H187" s="208">
        <v>1.0808138658628483E-8</v>
      </c>
      <c r="I187" s="208">
        <v>1.4968349660889226E-8</v>
      </c>
      <c r="J187" s="208">
        <v>1.4204973000000001E-4</v>
      </c>
      <c r="K187" s="208">
        <v>2.9</v>
      </c>
      <c r="L187" s="208">
        <v>2296164.75</v>
      </c>
      <c r="M187" s="208">
        <v>0.74379999999999979</v>
      </c>
      <c r="N187" s="208">
        <v>1707887.3410499997</v>
      </c>
      <c r="O187" s="208">
        <v>0.1071</v>
      </c>
      <c r="P187" s="208">
        <v>245919.24472500003</v>
      </c>
      <c r="Q187" s="208">
        <v>16</v>
      </c>
      <c r="R187" s="208">
        <v>2</v>
      </c>
      <c r="S187" s="208">
        <v>5.4669080000000002E-2</v>
      </c>
      <c r="T187" s="208" t="s">
        <v>769</v>
      </c>
      <c r="U187" s="208" t="s">
        <v>769</v>
      </c>
      <c r="V187" s="208">
        <v>142000</v>
      </c>
      <c r="W187" s="208" t="s">
        <v>356</v>
      </c>
      <c r="X187" s="208" t="s">
        <v>769</v>
      </c>
      <c r="Y187" s="208" t="s">
        <v>769</v>
      </c>
      <c r="Z187" s="208" t="s">
        <v>769</v>
      </c>
      <c r="AA187" s="208" t="s">
        <v>769</v>
      </c>
      <c r="AB187" s="208">
        <v>36700</v>
      </c>
      <c r="AC187" s="208">
        <v>1.0000000000000001E-5</v>
      </c>
      <c r="AD187" s="208">
        <v>1.3</v>
      </c>
      <c r="AE187" s="208">
        <v>5.6000000000000001E-2</v>
      </c>
      <c r="AF187" s="208" t="s">
        <v>255</v>
      </c>
      <c r="AG187" s="208">
        <v>113.29548668885199</v>
      </c>
      <c r="AH187" s="208">
        <v>14451</v>
      </c>
      <c r="AI187" s="208">
        <v>231468.24472500003</v>
      </c>
      <c r="AJ187" s="208">
        <v>4017.3439081253455</v>
      </c>
      <c r="AK187" s="208">
        <v>13218.452887644273</v>
      </c>
      <c r="AL187" s="208">
        <v>34120.526699318667</v>
      </c>
      <c r="AM187" s="208">
        <v>266.61541686320925</v>
      </c>
    </row>
    <row r="188" spans="3:39" x14ac:dyDescent="0.2">
      <c r="C188" s="13" t="s">
        <v>202</v>
      </c>
      <c r="D188" s="22" t="s">
        <v>24</v>
      </c>
      <c r="E188" s="208">
        <v>0.20899999999999999</v>
      </c>
      <c r="F188" s="208">
        <v>7.0025038922155684E-7</v>
      </c>
      <c r="G188" s="208">
        <v>3.3363862275449104E-7</v>
      </c>
      <c r="H188" s="208">
        <v>1.0231706586826347E-8</v>
      </c>
      <c r="I188" s="208">
        <v>1.9940389221556889E-8</v>
      </c>
      <c r="J188" s="208">
        <v>2.5748505000000002E-4</v>
      </c>
      <c r="K188" s="208">
        <v>2.4700000000000002</v>
      </c>
      <c r="L188" s="208">
        <v>1052324.75</v>
      </c>
      <c r="M188" s="208">
        <v>0.2883</v>
      </c>
      <c r="N188" s="208">
        <v>303385.22542500001</v>
      </c>
      <c r="O188" s="208">
        <v>0.17059999999999995</v>
      </c>
      <c r="P188" s="208">
        <v>179526.60234999997</v>
      </c>
      <c r="Q188" s="208">
        <v>3</v>
      </c>
      <c r="R188" s="208">
        <v>1</v>
      </c>
      <c r="S188" s="208">
        <v>0.15706980000000001</v>
      </c>
      <c r="T188" s="208" t="s">
        <v>769</v>
      </c>
      <c r="U188" s="208" t="s">
        <v>769</v>
      </c>
      <c r="V188" s="208">
        <v>181000</v>
      </c>
      <c r="W188" s="208" t="s">
        <v>356</v>
      </c>
      <c r="X188" s="208" t="s">
        <v>769</v>
      </c>
      <c r="Y188" s="208" t="s">
        <v>769</v>
      </c>
      <c r="Z188" s="208" t="s">
        <v>769</v>
      </c>
      <c r="AA188" s="208" t="s">
        <v>769</v>
      </c>
      <c r="AB188" s="208">
        <v>45940</v>
      </c>
      <c r="AC188" s="208">
        <v>1.0000000000000001E-5</v>
      </c>
      <c r="AD188" s="208">
        <v>1.3</v>
      </c>
      <c r="AE188" s="208">
        <v>5.6000000000000001E-2</v>
      </c>
      <c r="AF188" s="208" t="s">
        <v>255</v>
      </c>
      <c r="AG188" s="208">
        <v>104.689964442502</v>
      </c>
      <c r="AH188" s="208">
        <v>9887</v>
      </c>
      <c r="AI188" s="208">
        <v>169639.60234999997</v>
      </c>
      <c r="AJ188" s="208">
        <v>4115.4662051500145</v>
      </c>
      <c r="AK188" s="208">
        <v>13465.414440646056</v>
      </c>
      <c r="AL188" s="208">
        <v>35341.052068894307</v>
      </c>
      <c r="AM188" s="208">
        <v>275.29896429402731</v>
      </c>
    </row>
    <row r="189" spans="3:39" x14ac:dyDescent="0.2">
      <c r="C189" s="13" t="s">
        <v>203</v>
      </c>
      <c r="D189" s="22" t="s">
        <v>28</v>
      </c>
      <c r="E189" s="208" t="s">
        <v>769</v>
      </c>
      <c r="F189" s="208">
        <v>1.7460000000000001E-6</v>
      </c>
      <c r="G189" s="208">
        <v>7.7400000000000002E-7</v>
      </c>
      <c r="H189" s="208">
        <v>4.6800000000000002E-8</v>
      </c>
      <c r="I189" s="208">
        <v>6.4799999999999998E-8</v>
      </c>
      <c r="J189" s="208">
        <v>6.9999999999999999E-4</v>
      </c>
      <c r="K189" s="208" t="s">
        <v>769</v>
      </c>
      <c r="L189" s="208">
        <v>179971.9644</v>
      </c>
      <c r="M189" s="208" t="s">
        <v>769</v>
      </c>
      <c r="N189" s="208" t="s">
        <v>769</v>
      </c>
      <c r="O189" s="208" t="s">
        <v>769</v>
      </c>
      <c r="P189" s="208" t="s">
        <v>769</v>
      </c>
      <c r="Q189" s="208" t="s">
        <v>769</v>
      </c>
      <c r="R189" s="208" t="s">
        <v>769</v>
      </c>
      <c r="S189" s="208" t="s">
        <v>769</v>
      </c>
      <c r="T189" s="208" t="s">
        <v>769</v>
      </c>
      <c r="U189" s="208">
        <v>0.12</v>
      </c>
      <c r="V189" s="208" t="s">
        <v>769</v>
      </c>
      <c r="W189" s="208" t="s">
        <v>358</v>
      </c>
      <c r="X189" s="208" t="s">
        <v>769</v>
      </c>
      <c r="Y189" s="208" t="s">
        <v>769</v>
      </c>
      <c r="Z189" s="208" t="s">
        <v>769</v>
      </c>
      <c r="AA189" s="208" t="s">
        <v>769</v>
      </c>
      <c r="AB189" s="208">
        <v>2750</v>
      </c>
      <c r="AC189" s="208">
        <v>1.0000000000000001E-5</v>
      </c>
      <c r="AD189" s="208">
        <v>1.3</v>
      </c>
      <c r="AE189" s="208">
        <v>5.6000000000000001E-2</v>
      </c>
      <c r="AF189" s="208" t="s">
        <v>769</v>
      </c>
      <c r="AG189" s="208">
        <v>25.289424794569499</v>
      </c>
      <c r="AH189" s="208" t="s">
        <v>769</v>
      </c>
      <c r="AI189" s="208" t="s">
        <v>769</v>
      </c>
      <c r="AJ189" s="208">
        <v>989.63597522561429</v>
      </c>
      <c r="AK189" s="208">
        <v>3066.9889683306401</v>
      </c>
      <c r="AL189" s="208">
        <v>8957.5006167901083</v>
      </c>
      <c r="AM189" s="208">
        <v>63.401894569519634</v>
      </c>
    </row>
    <row r="190" spans="3:39" x14ac:dyDescent="0.2">
      <c r="C190" s="13" t="s">
        <v>204</v>
      </c>
      <c r="D190" s="22" t="s">
        <v>31</v>
      </c>
      <c r="E190" s="208" t="s">
        <v>769</v>
      </c>
      <c r="F190" s="208">
        <v>1.5622105263157897E-6</v>
      </c>
      <c r="G190" s="208">
        <v>6.9252631578947377E-7</v>
      </c>
      <c r="H190" s="208">
        <v>4.1873684210526327E-8</v>
      </c>
      <c r="I190" s="208">
        <v>5.7978947368421049E-8</v>
      </c>
      <c r="J190" s="208">
        <v>5.7894730000000001E-4</v>
      </c>
      <c r="K190" s="208">
        <v>6.16</v>
      </c>
      <c r="L190" s="208">
        <v>2326099.17</v>
      </c>
      <c r="M190" s="208" t="s">
        <v>769</v>
      </c>
      <c r="N190" s="208" t="s">
        <v>769</v>
      </c>
      <c r="O190" s="208" t="s">
        <v>769</v>
      </c>
      <c r="P190" s="208" t="s">
        <v>769</v>
      </c>
      <c r="Q190" s="208" t="s">
        <v>769</v>
      </c>
      <c r="R190" s="208" t="s">
        <v>769</v>
      </c>
      <c r="S190" s="208" t="s">
        <v>769</v>
      </c>
      <c r="T190" s="208" t="s">
        <v>769</v>
      </c>
      <c r="U190" s="208" t="s">
        <v>769</v>
      </c>
      <c r="V190" s="208" t="s">
        <v>769</v>
      </c>
      <c r="W190" s="208" t="s">
        <v>357</v>
      </c>
      <c r="X190" s="208" t="s">
        <v>769</v>
      </c>
      <c r="Y190" s="208" t="s">
        <v>769</v>
      </c>
      <c r="Z190" s="208" t="s">
        <v>769</v>
      </c>
      <c r="AA190" s="208" t="s">
        <v>769</v>
      </c>
      <c r="AB190" s="208">
        <v>1460</v>
      </c>
      <c r="AC190" s="208">
        <v>1.0000000000000001E-5</v>
      </c>
      <c r="AD190" s="208">
        <v>1.3</v>
      </c>
      <c r="AE190" s="208">
        <v>5.6000000000000001E-2</v>
      </c>
      <c r="AF190" s="208" t="s">
        <v>769</v>
      </c>
      <c r="AG190" s="208">
        <v>27.203081263748501</v>
      </c>
      <c r="AH190" s="208" t="s">
        <v>769</v>
      </c>
      <c r="AI190" s="208" t="s">
        <v>769</v>
      </c>
      <c r="AJ190" s="208">
        <v>3975.5354700088874</v>
      </c>
      <c r="AK190" s="208">
        <v>13794.477429621427</v>
      </c>
      <c r="AL190" s="208">
        <v>36548.941635794617</v>
      </c>
      <c r="AM190" s="208">
        <v>248.93275052803909</v>
      </c>
    </row>
    <row r="191" spans="3:39" x14ac:dyDescent="0.2">
      <c r="C191" s="13" t="s">
        <v>205</v>
      </c>
      <c r="D191" s="22" t="s">
        <v>31</v>
      </c>
      <c r="E191" s="208">
        <v>-2.9000000000000001E-2</v>
      </c>
      <c r="F191" s="208">
        <v>2.5196973231117253E-6</v>
      </c>
      <c r="G191" s="208">
        <v>1.1076606258640191E-6</v>
      </c>
      <c r="H191" s="208">
        <v>2.8294482845293453E-8</v>
      </c>
      <c r="I191" s="208">
        <v>6.2043182103807971E-8</v>
      </c>
      <c r="J191" s="208">
        <v>7.2967194000000003E-4</v>
      </c>
      <c r="K191" s="208">
        <v>3.2</v>
      </c>
      <c r="L191" s="208">
        <v>18457232</v>
      </c>
      <c r="M191" s="208">
        <v>0.72</v>
      </c>
      <c r="N191" s="208">
        <v>13289207.039999999</v>
      </c>
      <c r="O191" s="208">
        <v>0</v>
      </c>
      <c r="P191" s="208">
        <v>0</v>
      </c>
      <c r="Q191" s="208">
        <v>826</v>
      </c>
      <c r="R191" s="208">
        <v>0</v>
      </c>
      <c r="S191" s="208">
        <v>0</v>
      </c>
      <c r="T191" s="208" t="s">
        <v>769</v>
      </c>
      <c r="U191" s="208" t="s">
        <v>769</v>
      </c>
      <c r="V191" s="208">
        <v>41000</v>
      </c>
      <c r="W191" s="208" t="s">
        <v>357</v>
      </c>
      <c r="X191" s="208" t="s">
        <v>769</v>
      </c>
      <c r="Y191" s="208" t="s">
        <v>769</v>
      </c>
      <c r="Z191" s="208" t="s">
        <v>769</v>
      </c>
      <c r="AA191" s="208" t="s">
        <v>769</v>
      </c>
      <c r="AB191" s="208">
        <v>13900</v>
      </c>
      <c r="AC191" s="208">
        <v>1.0000000000000001E-5</v>
      </c>
      <c r="AD191" s="208">
        <v>1.3</v>
      </c>
      <c r="AE191" s="208">
        <v>5.6000000000000001E-2</v>
      </c>
      <c r="AF191" s="208" t="s">
        <v>255</v>
      </c>
      <c r="AG191" s="208">
        <v>48.959479511000801</v>
      </c>
      <c r="AH191" s="208">
        <v>0</v>
      </c>
      <c r="AI191" s="208">
        <v>0</v>
      </c>
      <c r="AJ191" s="208">
        <v>1193.4032405036846</v>
      </c>
      <c r="AK191" s="208">
        <v>3506.3325265984163</v>
      </c>
      <c r="AL191" s="208">
        <v>10448.265928237701</v>
      </c>
      <c r="AM191" s="208">
        <v>68.225828315032103</v>
      </c>
    </row>
    <row r="192" spans="3:39" x14ac:dyDescent="0.2">
      <c r="C192" s="13" t="s">
        <v>206</v>
      </c>
      <c r="D192" s="22" t="s">
        <v>31</v>
      </c>
      <c r="E192" s="208" t="s">
        <v>769</v>
      </c>
      <c r="F192" s="208">
        <v>1.6896774193548389E-6</v>
      </c>
      <c r="G192" s="208">
        <v>7.4903225806451624E-7</v>
      </c>
      <c r="H192" s="208">
        <v>4.5290322580645162E-8</v>
      </c>
      <c r="I192" s="208">
        <v>6.2709677419354832E-8</v>
      </c>
      <c r="J192" s="208">
        <v>6.2903220000000003E-4</v>
      </c>
      <c r="K192" s="208">
        <v>5.98</v>
      </c>
      <c r="L192" s="208">
        <v>2680681</v>
      </c>
      <c r="M192" s="208" t="s">
        <v>769</v>
      </c>
      <c r="N192" s="208" t="s">
        <v>769</v>
      </c>
      <c r="O192" s="208" t="s">
        <v>769</v>
      </c>
      <c r="P192" s="208" t="s">
        <v>769</v>
      </c>
      <c r="Q192" s="208" t="s">
        <v>769</v>
      </c>
      <c r="R192" s="208" t="s">
        <v>769</v>
      </c>
      <c r="S192" s="208" t="s">
        <v>769</v>
      </c>
      <c r="T192" s="208" t="s">
        <v>769</v>
      </c>
      <c r="U192" s="208" t="s">
        <v>769</v>
      </c>
      <c r="V192" s="208" t="s">
        <v>769</v>
      </c>
      <c r="W192" s="208" t="s">
        <v>357</v>
      </c>
      <c r="X192" s="208" t="s">
        <v>769</v>
      </c>
      <c r="Y192" s="208" t="s">
        <v>769</v>
      </c>
      <c r="Z192" s="208" t="s">
        <v>769</v>
      </c>
      <c r="AA192" s="208" t="s">
        <v>769</v>
      </c>
      <c r="AB192" s="208" t="s">
        <v>676</v>
      </c>
      <c r="AC192" s="208">
        <v>1.0000000000000001E-5</v>
      </c>
      <c r="AD192" s="208">
        <v>1.3</v>
      </c>
      <c r="AE192" s="208">
        <v>5.6000000000000001E-2</v>
      </c>
      <c r="AF192" s="208" t="s">
        <v>769</v>
      </c>
      <c r="AG192" s="208">
        <v>17.008643362397699</v>
      </c>
      <c r="AH192" s="208" t="s">
        <v>769</v>
      </c>
      <c r="AI192" s="208" t="s">
        <v>769</v>
      </c>
      <c r="AJ192" s="208">
        <v>1905.342215079899</v>
      </c>
      <c r="AK192" s="208">
        <v>5839.8346310478519</v>
      </c>
      <c r="AL192" s="208">
        <v>16697.682240423765</v>
      </c>
      <c r="AM192" s="208">
        <v>96.461732268675433</v>
      </c>
    </row>
    <row r="193" spans="3:39" x14ac:dyDescent="0.2">
      <c r="C193" s="13" t="s">
        <v>207</v>
      </c>
      <c r="D193" s="22" t="s">
        <v>24</v>
      </c>
      <c r="E193" s="208">
        <v>0.437</v>
      </c>
      <c r="F193" s="208">
        <v>1.5361626436580854E-7</v>
      </c>
      <c r="G193" s="208">
        <v>1.8159897998393125E-7</v>
      </c>
      <c r="H193" s="208">
        <v>6.5971285849023647E-9</v>
      </c>
      <c r="I193" s="208">
        <v>8.8470185489223457E-9</v>
      </c>
      <c r="J193" s="208">
        <v>2.1776645000000001E-4</v>
      </c>
      <c r="K193" s="208">
        <v>2.58</v>
      </c>
      <c r="L193" s="208">
        <v>22408548</v>
      </c>
      <c r="M193" s="208">
        <v>0.55090000000000006</v>
      </c>
      <c r="N193" s="208">
        <v>12344869.093200002</v>
      </c>
      <c r="O193" s="208">
        <v>0.1162</v>
      </c>
      <c r="P193" s="208">
        <v>2603873.2776000001</v>
      </c>
      <c r="Q193" s="208">
        <v>117</v>
      </c>
      <c r="R193" s="208">
        <v>17</v>
      </c>
      <c r="S193" s="208">
        <v>0.10984099999999999</v>
      </c>
      <c r="T193" s="208" t="s">
        <v>769</v>
      </c>
      <c r="U193" s="208" t="s">
        <v>769</v>
      </c>
      <c r="V193" s="208">
        <v>160000</v>
      </c>
      <c r="W193" s="208" t="s">
        <v>357</v>
      </c>
      <c r="X193" s="208" t="s">
        <v>769</v>
      </c>
      <c r="Y193" s="208" t="s">
        <v>769</v>
      </c>
      <c r="Z193" s="208" t="s">
        <v>769</v>
      </c>
      <c r="AA193" s="208" t="s">
        <v>769</v>
      </c>
      <c r="AB193" s="208">
        <v>43960</v>
      </c>
      <c r="AC193" s="208">
        <v>1.0000000000000001E-5</v>
      </c>
      <c r="AD193" s="208">
        <v>1.3</v>
      </c>
      <c r="AE193" s="208">
        <v>5.6000000000000001E-2</v>
      </c>
      <c r="AF193" s="208" t="s">
        <v>255</v>
      </c>
      <c r="AG193" s="208">
        <v>94.882208796979697</v>
      </c>
      <c r="AH193" s="208">
        <v>636</v>
      </c>
      <c r="AI193" s="208">
        <v>2603237.2776000001</v>
      </c>
      <c r="AJ193" s="208">
        <v>4358.6611713036864</v>
      </c>
      <c r="AK193" s="208">
        <v>14378.458678406085</v>
      </c>
      <c r="AL193" s="208">
        <v>39257.179898669296</v>
      </c>
      <c r="AM193" s="208">
        <v>315.15539838889401</v>
      </c>
    </row>
    <row r="194" spans="3:39" x14ac:dyDescent="0.2">
      <c r="C194" s="13" t="s">
        <v>208</v>
      </c>
      <c r="D194" s="22" t="s">
        <v>22</v>
      </c>
      <c r="E194" s="208">
        <v>-0.93600000000000005</v>
      </c>
      <c r="F194" s="208">
        <v>1.5894310701956272E-6</v>
      </c>
      <c r="G194" s="208">
        <v>7.0886029919447642E-7</v>
      </c>
      <c r="H194" s="208">
        <v>2.5113003452243959E-8</v>
      </c>
      <c r="I194" s="208">
        <v>4.5445339470655928E-8</v>
      </c>
      <c r="J194" s="208">
        <v>5.0978134E-4</v>
      </c>
      <c r="K194" s="208">
        <v>3.7</v>
      </c>
      <c r="L194" s="208">
        <v>2631650</v>
      </c>
      <c r="M194" s="208">
        <v>0.11</v>
      </c>
      <c r="N194" s="208">
        <v>289481.5</v>
      </c>
      <c r="O194" s="208">
        <v>0</v>
      </c>
      <c r="P194" s="208">
        <v>0</v>
      </c>
      <c r="Q194" s="208">
        <v>3</v>
      </c>
      <c r="R194" s="208">
        <v>0</v>
      </c>
      <c r="S194" s="208">
        <v>0</v>
      </c>
      <c r="T194" s="208" t="s">
        <v>769</v>
      </c>
      <c r="U194" s="208" t="s">
        <v>769</v>
      </c>
      <c r="V194" s="208">
        <v>68000</v>
      </c>
      <c r="W194" s="208" t="s">
        <v>357</v>
      </c>
      <c r="X194" s="208" t="s">
        <v>769</v>
      </c>
      <c r="Y194" s="208" t="s">
        <v>769</v>
      </c>
      <c r="Z194" s="208" t="s">
        <v>769</v>
      </c>
      <c r="AA194" s="208" t="s">
        <v>769</v>
      </c>
      <c r="AB194" s="208">
        <v>13990</v>
      </c>
      <c r="AC194" s="208">
        <v>1.0000000000000001E-5</v>
      </c>
      <c r="AD194" s="208">
        <v>1.3</v>
      </c>
      <c r="AE194" s="208">
        <v>5.6000000000000001E-2</v>
      </c>
      <c r="AF194" s="208" t="s">
        <v>255</v>
      </c>
      <c r="AG194" s="208">
        <v>358.16359521500198</v>
      </c>
      <c r="AH194" s="208" t="s">
        <v>769</v>
      </c>
      <c r="AI194" s="208" t="s">
        <v>769</v>
      </c>
      <c r="AJ194" s="208">
        <v>4464.9687976213791</v>
      </c>
      <c r="AK194" s="208">
        <v>14465.094602710447</v>
      </c>
      <c r="AL194" s="208">
        <v>39728.947901056381</v>
      </c>
      <c r="AM194" s="208">
        <v>272.97845744166324</v>
      </c>
    </row>
    <row r="195" spans="3:39" x14ac:dyDescent="0.2">
      <c r="C195" s="13" t="s">
        <v>209</v>
      </c>
      <c r="D195" s="22" t="s">
        <v>33</v>
      </c>
      <c r="E195" s="208" t="s">
        <v>769</v>
      </c>
      <c r="F195" s="208" t="s">
        <v>769</v>
      </c>
      <c r="G195" s="208" t="s">
        <v>769</v>
      </c>
      <c r="H195" s="208" t="s">
        <v>769</v>
      </c>
      <c r="I195" s="208" t="s">
        <v>769</v>
      </c>
      <c r="J195" s="208" t="s">
        <v>769</v>
      </c>
      <c r="K195" s="208" t="s">
        <v>769</v>
      </c>
      <c r="L195" s="208">
        <v>32892.14</v>
      </c>
      <c r="M195" s="208" t="s">
        <v>769</v>
      </c>
      <c r="N195" s="208" t="s">
        <v>769</v>
      </c>
      <c r="O195" s="208" t="s">
        <v>769</v>
      </c>
      <c r="P195" s="208" t="s">
        <v>769</v>
      </c>
      <c r="Q195" s="208" t="s">
        <v>769</v>
      </c>
      <c r="R195" s="208" t="s">
        <v>769</v>
      </c>
      <c r="S195" s="208" t="s">
        <v>769</v>
      </c>
      <c r="T195" s="208" t="s">
        <v>769</v>
      </c>
      <c r="U195" s="208">
        <v>0.95</v>
      </c>
      <c r="V195" s="208" t="s">
        <v>769</v>
      </c>
      <c r="W195" s="208" t="s">
        <v>358</v>
      </c>
      <c r="X195" s="208" t="s">
        <v>769</v>
      </c>
      <c r="Y195" s="208" t="s">
        <v>769</v>
      </c>
      <c r="Z195" s="208" t="s">
        <v>769</v>
      </c>
      <c r="AA195" s="208" t="s">
        <v>769</v>
      </c>
      <c r="AB195" s="208">
        <v>25460</v>
      </c>
      <c r="AC195" s="208">
        <v>1.0000000000000001E-5</v>
      </c>
      <c r="AD195" s="208">
        <v>1.3</v>
      </c>
      <c r="AE195" s="208">
        <v>5.6000000000000001E-2</v>
      </c>
      <c r="AF195" s="208" t="s">
        <v>769</v>
      </c>
      <c r="AG195" s="208">
        <v>183.1</v>
      </c>
      <c r="AH195" s="208" t="s">
        <v>769</v>
      </c>
      <c r="AI195" s="208" t="s">
        <v>769</v>
      </c>
      <c r="AJ195" s="208">
        <v>933.82583129135105</v>
      </c>
      <c r="AK195" s="208">
        <v>2365.8466760264596</v>
      </c>
      <c r="AL195" s="208">
        <v>6846.3141305679274</v>
      </c>
      <c r="AM195" s="208">
        <v>57.761676483603765</v>
      </c>
    </row>
    <row r="196" spans="3:39" x14ac:dyDescent="0.2">
      <c r="C196" s="13" t="s">
        <v>210</v>
      </c>
      <c r="D196" s="22" t="s">
        <v>33</v>
      </c>
      <c r="E196" s="208" t="s">
        <v>769</v>
      </c>
      <c r="F196" s="208" t="s">
        <v>769</v>
      </c>
      <c r="G196" s="208" t="s">
        <v>769</v>
      </c>
      <c r="H196" s="208" t="s">
        <v>769</v>
      </c>
      <c r="I196" s="208" t="s">
        <v>769</v>
      </c>
      <c r="J196" s="208" t="s">
        <v>769</v>
      </c>
      <c r="K196" s="208" t="s">
        <v>769</v>
      </c>
      <c r="L196" s="208">
        <v>77616.228000000003</v>
      </c>
      <c r="M196" s="208" t="s">
        <v>769</v>
      </c>
      <c r="N196" s="208" t="s">
        <v>769</v>
      </c>
      <c r="O196" s="208" t="s">
        <v>769</v>
      </c>
      <c r="P196" s="208" t="s">
        <v>769</v>
      </c>
      <c r="Q196" s="208" t="s">
        <v>769</v>
      </c>
      <c r="R196" s="208" t="s">
        <v>769</v>
      </c>
      <c r="S196" s="208" t="s">
        <v>769</v>
      </c>
      <c r="T196" s="208" t="s">
        <v>769</v>
      </c>
      <c r="U196" s="208">
        <v>1</v>
      </c>
      <c r="V196" s="208" t="s">
        <v>769</v>
      </c>
      <c r="W196" s="208" t="s">
        <v>358</v>
      </c>
      <c r="X196" s="208" t="s">
        <v>769</v>
      </c>
      <c r="Y196" s="208" t="s">
        <v>769</v>
      </c>
      <c r="Z196" s="208" t="s">
        <v>769</v>
      </c>
      <c r="AA196" s="208" t="s">
        <v>769</v>
      </c>
      <c r="AB196" s="208">
        <v>17890</v>
      </c>
      <c r="AC196" s="208">
        <v>1.0000000000000001E-5</v>
      </c>
      <c r="AD196" s="208">
        <v>1.3</v>
      </c>
      <c r="AE196" s="208">
        <v>5.6000000000000001E-2</v>
      </c>
      <c r="AF196" s="208" t="s">
        <v>769</v>
      </c>
      <c r="AG196" s="208">
        <v>294.50983606557401</v>
      </c>
      <c r="AH196" s="208" t="s">
        <v>769</v>
      </c>
      <c r="AI196" s="208" t="s">
        <v>769</v>
      </c>
      <c r="AJ196" s="208">
        <v>989.18401384846686</v>
      </c>
      <c r="AK196" s="208">
        <v>2353.5127338626817</v>
      </c>
      <c r="AL196" s="208">
        <v>6797.8312117729265</v>
      </c>
      <c r="AM196" s="208">
        <v>60.472430262804835</v>
      </c>
    </row>
    <row r="197" spans="3:39" x14ac:dyDescent="0.2">
      <c r="C197" s="13" t="s">
        <v>211</v>
      </c>
      <c r="D197" s="22" t="s">
        <v>33</v>
      </c>
      <c r="E197" s="208" t="s">
        <v>769</v>
      </c>
      <c r="F197" s="208" t="s">
        <v>769</v>
      </c>
      <c r="G197" s="208" t="s">
        <v>769</v>
      </c>
      <c r="H197" s="208" t="s">
        <v>769</v>
      </c>
      <c r="I197" s="208" t="s">
        <v>769</v>
      </c>
      <c r="J197" s="208" t="s">
        <v>769</v>
      </c>
      <c r="K197" s="208" t="s">
        <v>769</v>
      </c>
      <c r="L197" s="208">
        <v>15479.5</v>
      </c>
      <c r="M197" s="208" t="s">
        <v>769</v>
      </c>
      <c r="N197" s="208" t="s">
        <v>769</v>
      </c>
      <c r="O197" s="208" t="s">
        <v>769</v>
      </c>
      <c r="P197" s="208" t="s">
        <v>769</v>
      </c>
      <c r="Q197" s="208" t="s">
        <v>769</v>
      </c>
      <c r="R197" s="208" t="s">
        <v>769</v>
      </c>
      <c r="S197" s="208" t="s">
        <v>769</v>
      </c>
      <c r="T197" s="208" t="s">
        <v>769</v>
      </c>
      <c r="U197" s="208" t="s">
        <v>769</v>
      </c>
      <c r="V197" s="208" t="s">
        <v>769</v>
      </c>
      <c r="W197" s="208" t="s">
        <v>358</v>
      </c>
      <c r="X197" s="208" t="s">
        <v>769</v>
      </c>
      <c r="Y197" s="208" t="s">
        <v>769</v>
      </c>
      <c r="Z197" s="208" t="s">
        <v>769</v>
      </c>
      <c r="AA197" s="208" t="s">
        <v>769</v>
      </c>
      <c r="AB197" s="208" t="s">
        <v>676</v>
      </c>
      <c r="AC197" s="208">
        <v>1.0000000000000001E-5</v>
      </c>
      <c r="AD197" s="208">
        <v>1.3</v>
      </c>
      <c r="AE197" s="208">
        <v>5.6000000000000001E-2</v>
      </c>
      <c r="AF197" s="208" t="s">
        <v>769</v>
      </c>
      <c r="AG197" s="208">
        <v>638.96</v>
      </c>
      <c r="AH197" s="208" t="s">
        <v>769</v>
      </c>
      <c r="AI197" s="208" t="s">
        <v>769</v>
      </c>
      <c r="AJ197" s="208">
        <v>2739.5298920069804</v>
      </c>
      <c r="AK197" s="208">
        <v>8967.5660232353457</v>
      </c>
      <c r="AL197" s="208">
        <v>24464.017517906355</v>
      </c>
      <c r="AM197" s="208">
        <v>177.43157747437459</v>
      </c>
    </row>
    <row r="198" spans="3:39" x14ac:dyDescent="0.2">
      <c r="C198" s="13" t="s">
        <v>212</v>
      </c>
      <c r="D198" s="22" t="s">
        <v>33</v>
      </c>
      <c r="E198" s="208" t="s">
        <v>769</v>
      </c>
      <c r="F198" s="208" t="s">
        <v>769</v>
      </c>
      <c r="G198" s="208" t="s">
        <v>769</v>
      </c>
      <c r="H198" s="208" t="s">
        <v>769</v>
      </c>
      <c r="I198" s="208" t="s">
        <v>769</v>
      </c>
      <c r="J198" s="208" t="s">
        <v>769</v>
      </c>
      <c r="K198" s="208" t="s">
        <v>769</v>
      </c>
      <c r="L198" s="208">
        <v>31561.349249999999</v>
      </c>
      <c r="M198" s="208" t="s">
        <v>769</v>
      </c>
      <c r="N198" s="208" t="s">
        <v>769</v>
      </c>
      <c r="O198" s="208" t="s">
        <v>769</v>
      </c>
      <c r="P198" s="208" t="s">
        <v>769</v>
      </c>
      <c r="Q198" s="208" t="s">
        <v>769</v>
      </c>
      <c r="R198" s="208" t="s">
        <v>769</v>
      </c>
      <c r="S198" s="208" t="s">
        <v>769</v>
      </c>
      <c r="T198" s="208" t="s">
        <v>769</v>
      </c>
      <c r="U198" s="208" t="s">
        <v>769</v>
      </c>
      <c r="V198" s="208" t="s">
        <v>769</v>
      </c>
      <c r="W198" s="208" t="s">
        <v>358</v>
      </c>
      <c r="X198" s="208" t="s">
        <v>769</v>
      </c>
      <c r="Y198" s="208" t="s">
        <v>769</v>
      </c>
      <c r="Z198" s="208" t="s">
        <v>769</v>
      </c>
      <c r="AA198" s="208" t="s">
        <v>769</v>
      </c>
      <c r="AB198" s="208">
        <v>15370</v>
      </c>
      <c r="AC198" s="208">
        <v>1.0000000000000001E-5</v>
      </c>
      <c r="AD198" s="208">
        <v>1.3</v>
      </c>
      <c r="AE198" s="208">
        <v>5.6000000000000001E-2</v>
      </c>
      <c r="AF198" s="208" t="s">
        <v>769</v>
      </c>
      <c r="AG198" s="208">
        <v>267.51794871794903</v>
      </c>
      <c r="AH198" s="208" t="s">
        <v>769</v>
      </c>
      <c r="AI198" s="208" t="s">
        <v>769</v>
      </c>
      <c r="AJ198" s="208">
        <v>997.96828922373277</v>
      </c>
      <c r="AK198" s="208">
        <v>2439.0432035533663</v>
      </c>
      <c r="AL198" s="208">
        <v>7071.8710798454231</v>
      </c>
      <c r="AM198" s="208">
        <v>58.554575455144374</v>
      </c>
    </row>
    <row r="199" spans="3:39" x14ac:dyDescent="0.2">
      <c r="C199" s="13" t="s">
        <v>213</v>
      </c>
      <c r="D199" s="22" t="s">
        <v>31</v>
      </c>
      <c r="E199" s="208" t="s">
        <v>769</v>
      </c>
      <c r="F199" s="208">
        <v>6.5621590145576708E-7</v>
      </c>
      <c r="G199" s="208">
        <v>2.954701007838746E-7</v>
      </c>
      <c r="H199" s="208">
        <v>1.8314445688689813E-8</v>
      </c>
      <c r="I199" s="208">
        <v>2.5187905935050394E-8</v>
      </c>
      <c r="J199" s="208">
        <v>2.6315787000000002E-4</v>
      </c>
      <c r="K199" s="208">
        <v>5.89</v>
      </c>
      <c r="L199" s="208">
        <v>2831291</v>
      </c>
      <c r="M199" s="208" t="s">
        <v>769</v>
      </c>
      <c r="N199" s="208" t="s">
        <v>769</v>
      </c>
      <c r="O199" s="208" t="s">
        <v>769</v>
      </c>
      <c r="P199" s="208" t="s">
        <v>769</v>
      </c>
      <c r="Q199" s="208" t="s">
        <v>769</v>
      </c>
      <c r="R199" s="208" t="s">
        <v>769</v>
      </c>
      <c r="S199" s="208" t="s">
        <v>769</v>
      </c>
      <c r="T199" s="208" t="s">
        <v>769</v>
      </c>
      <c r="U199" s="208" t="s">
        <v>769</v>
      </c>
      <c r="V199" s="208" t="s">
        <v>769</v>
      </c>
      <c r="W199" s="208" t="s">
        <v>357</v>
      </c>
      <c r="X199" s="208" t="s">
        <v>769</v>
      </c>
      <c r="Y199" s="208" t="s">
        <v>769</v>
      </c>
      <c r="Z199" s="208" t="s">
        <v>769</v>
      </c>
      <c r="AA199" s="208" t="s">
        <v>769</v>
      </c>
      <c r="AB199" s="208">
        <v>3290</v>
      </c>
      <c r="AC199" s="208">
        <v>1.0000000000000001E-5</v>
      </c>
      <c r="AD199" s="208">
        <v>1.3</v>
      </c>
      <c r="AE199" s="208">
        <v>5.6000000000000001E-2</v>
      </c>
      <c r="AF199" s="208" t="s">
        <v>769</v>
      </c>
      <c r="AG199" s="208">
        <v>24.441756959314802</v>
      </c>
      <c r="AH199" s="208" t="s">
        <v>769</v>
      </c>
      <c r="AI199" s="208" t="s">
        <v>769</v>
      </c>
      <c r="AJ199" s="208">
        <v>3844.2242773252865</v>
      </c>
      <c r="AK199" s="208">
        <v>13205.288772481666</v>
      </c>
      <c r="AL199" s="208">
        <v>33970.575088491816</v>
      </c>
      <c r="AM199" s="208">
        <v>243.37616206404596</v>
      </c>
    </row>
    <row r="200" spans="3:39" x14ac:dyDescent="0.2">
      <c r="C200" s="13" t="s">
        <v>214</v>
      </c>
      <c r="D200" s="22" t="s">
        <v>33</v>
      </c>
      <c r="E200" s="208" t="s">
        <v>769</v>
      </c>
      <c r="F200" s="208">
        <v>8.8573090909090902E-7</v>
      </c>
      <c r="G200" s="208">
        <v>3.9925550239234453E-7</v>
      </c>
      <c r="H200" s="208">
        <v>2.4335311004784693E-8</v>
      </c>
      <c r="I200" s="208">
        <v>3.3550622009569374E-8</v>
      </c>
      <c r="J200" s="208">
        <v>3.4928232000000004E-4</v>
      </c>
      <c r="K200" s="208">
        <v>3.86</v>
      </c>
      <c r="L200" s="208">
        <v>78619.799150000006</v>
      </c>
      <c r="M200" s="208" t="s">
        <v>769</v>
      </c>
      <c r="N200" s="208" t="s">
        <v>769</v>
      </c>
      <c r="O200" s="208" t="s">
        <v>769</v>
      </c>
      <c r="P200" s="208" t="s">
        <v>769</v>
      </c>
      <c r="Q200" s="208" t="s">
        <v>769</v>
      </c>
      <c r="R200" s="208" t="s">
        <v>769</v>
      </c>
      <c r="S200" s="208" t="s">
        <v>769</v>
      </c>
      <c r="T200" s="208" t="s">
        <v>769</v>
      </c>
      <c r="U200" s="208">
        <v>0.79500000000000004</v>
      </c>
      <c r="V200" s="208" t="s">
        <v>769</v>
      </c>
      <c r="W200" s="208" t="s">
        <v>358</v>
      </c>
      <c r="X200" s="208" t="s">
        <v>769</v>
      </c>
      <c r="Y200" s="208" t="s">
        <v>769</v>
      </c>
      <c r="Z200" s="208" t="s">
        <v>769</v>
      </c>
      <c r="AA200" s="208" t="s">
        <v>769</v>
      </c>
      <c r="AB200" s="208">
        <v>16090</v>
      </c>
      <c r="AC200" s="208">
        <v>1.0000000000000001E-5</v>
      </c>
      <c r="AD200" s="208">
        <v>1.3</v>
      </c>
      <c r="AE200" s="208">
        <v>5.6000000000000001E-2</v>
      </c>
      <c r="AF200" s="208" t="s">
        <v>769</v>
      </c>
      <c r="AG200" s="208">
        <v>3.92939102564103</v>
      </c>
      <c r="AH200" s="208" t="s">
        <v>769</v>
      </c>
      <c r="AI200" s="208" t="s">
        <v>769</v>
      </c>
      <c r="AJ200" s="208">
        <v>1768.1192221946717</v>
      </c>
      <c r="AK200" s="208">
        <v>6179.5421454421448</v>
      </c>
      <c r="AL200" s="208">
        <v>16662.133017569871</v>
      </c>
      <c r="AM200" s="208">
        <v>103.45071356351976</v>
      </c>
    </row>
    <row r="201" spans="3:39" x14ac:dyDescent="0.2">
      <c r="C201" s="13" t="s">
        <v>215</v>
      </c>
      <c r="D201" s="22" t="s">
        <v>24</v>
      </c>
      <c r="E201" s="208">
        <v>1.772</v>
      </c>
      <c r="F201" s="208">
        <v>3.0901299601455556E-8</v>
      </c>
      <c r="G201" s="208">
        <v>7.0122335817016106E-8</v>
      </c>
      <c r="H201" s="208">
        <v>9.7371339455900192E-9</v>
      </c>
      <c r="I201" s="208">
        <v>1.1387315889793797E-8</v>
      </c>
      <c r="J201" s="208">
        <v>4.1067406000000002E-5</v>
      </c>
      <c r="K201" s="208">
        <v>2.15</v>
      </c>
      <c r="L201" s="208">
        <v>4618168.5</v>
      </c>
      <c r="M201" s="208">
        <v>8.0000000000000002E-3</v>
      </c>
      <c r="N201" s="208">
        <v>36945.347999999998</v>
      </c>
      <c r="O201" s="208">
        <v>0.51200000000000001</v>
      </c>
      <c r="P201" s="208">
        <v>2364502.2719999999</v>
      </c>
      <c r="Q201" s="208">
        <v>0</v>
      </c>
      <c r="R201" s="208">
        <v>16</v>
      </c>
      <c r="S201" s="208">
        <v>0.52628600000000003</v>
      </c>
      <c r="T201" s="208" t="s">
        <v>769</v>
      </c>
      <c r="U201" s="208" t="s">
        <v>769</v>
      </c>
      <c r="V201" s="208">
        <v>267000</v>
      </c>
      <c r="W201" s="208" t="s">
        <v>356</v>
      </c>
      <c r="X201" s="208" t="s">
        <v>769</v>
      </c>
      <c r="Y201" s="208" t="s">
        <v>769</v>
      </c>
      <c r="Z201" s="208" t="s">
        <v>769</v>
      </c>
      <c r="AA201" s="208" t="s">
        <v>769</v>
      </c>
      <c r="AB201" s="208">
        <v>66040</v>
      </c>
      <c r="AC201" s="208">
        <v>1.0000000000000001E-5</v>
      </c>
      <c r="AD201" s="208">
        <v>1.3</v>
      </c>
      <c r="AE201" s="208">
        <v>5.6000000000000001E-2</v>
      </c>
      <c r="AF201" s="208" t="s">
        <v>255</v>
      </c>
      <c r="AG201" s="208">
        <v>25.573856974431099</v>
      </c>
      <c r="AH201" s="208">
        <v>210477</v>
      </c>
      <c r="AI201" s="208">
        <v>2154025.2719999999</v>
      </c>
      <c r="AJ201" s="208">
        <v>1403.7384179924345</v>
      </c>
      <c r="AK201" s="208">
        <v>4305.8407908608124</v>
      </c>
      <c r="AL201" s="208">
        <v>12695.159432366776</v>
      </c>
      <c r="AM201" s="208">
        <v>112.28389486353332</v>
      </c>
    </row>
    <row r="202" spans="3:39" x14ac:dyDescent="0.2">
      <c r="C202" s="13" t="s">
        <v>216</v>
      </c>
      <c r="D202" s="22" t="s">
        <v>24</v>
      </c>
      <c r="E202" s="208">
        <v>1.631</v>
      </c>
      <c r="F202" s="208" t="s">
        <v>769</v>
      </c>
      <c r="G202" s="208" t="s">
        <v>769</v>
      </c>
      <c r="H202" s="208" t="s">
        <v>769</v>
      </c>
      <c r="I202" s="208" t="s">
        <v>769</v>
      </c>
      <c r="J202" s="208" t="s">
        <v>769</v>
      </c>
      <c r="K202" s="208">
        <v>2.2400000000000002</v>
      </c>
      <c r="L202" s="208">
        <v>6079556</v>
      </c>
      <c r="M202" s="208" t="s">
        <v>769</v>
      </c>
      <c r="N202" s="208" t="s">
        <v>769</v>
      </c>
      <c r="O202" s="208" t="s">
        <v>769</v>
      </c>
      <c r="P202" s="208" t="s">
        <v>769</v>
      </c>
      <c r="Q202" s="208" t="s">
        <v>769</v>
      </c>
      <c r="R202" s="208" t="s">
        <v>769</v>
      </c>
      <c r="S202" s="208" t="s">
        <v>769</v>
      </c>
      <c r="T202" s="208" t="s">
        <v>769</v>
      </c>
      <c r="U202" s="208">
        <v>0.99</v>
      </c>
      <c r="V202" s="208">
        <v>772000</v>
      </c>
      <c r="W202" s="208" t="s">
        <v>356</v>
      </c>
      <c r="X202" s="208" t="s">
        <v>769</v>
      </c>
      <c r="Y202" s="208" t="s">
        <v>769</v>
      </c>
      <c r="Z202" s="208" t="s">
        <v>769</v>
      </c>
      <c r="AA202" s="208" t="s">
        <v>769</v>
      </c>
      <c r="AB202" s="208">
        <v>80310</v>
      </c>
      <c r="AC202" s="208">
        <v>1.0000000000000001E-5</v>
      </c>
      <c r="AD202" s="208">
        <v>1.3</v>
      </c>
      <c r="AE202" s="208">
        <v>5.6000000000000001E-2</v>
      </c>
      <c r="AF202" s="208" t="s">
        <v>769</v>
      </c>
      <c r="AG202" s="208">
        <v>220.31454103721001</v>
      </c>
      <c r="AH202" s="208" t="s">
        <v>769</v>
      </c>
      <c r="AI202" s="208" t="s">
        <v>769</v>
      </c>
      <c r="AJ202" s="208">
        <v>4057.6245725790063</v>
      </c>
      <c r="AK202" s="208">
        <v>13075.348307793429</v>
      </c>
      <c r="AL202" s="208">
        <v>33437.060370924031</v>
      </c>
      <c r="AM202" s="208">
        <v>331.47071802280936</v>
      </c>
    </row>
    <row r="203" spans="3:39" x14ac:dyDescent="0.2">
      <c r="C203" s="13" t="s">
        <v>217</v>
      </c>
      <c r="D203" s="22" t="s">
        <v>26</v>
      </c>
      <c r="E203" s="208" t="s">
        <v>769</v>
      </c>
      <c r="F203" s="208">
        <v>7.2452818505338105E-7</v>
      </c>
      <c r="G203" s="208">
        <v>4.9498718861209971E-7</v>
      </c>
      <c r="H203" s="208">
        <v>2.1361067615658367E-8</v>
      </c>
      <c r="I203" s="208">
        <v>2.8855729537366549E-8</v>
      </c>
      <c r="J203" s="208">
        <v>7.0166070000000002E-4</v>
      </c>
      <c r="K203" s="208">
        <v>5.65</v>
      </c>
      <c r="L203" s="208">
        <v>4500000</v>
      </c>
      <c r="M203" s="208" t="s">
        <v>769</v>
      </c>
      <c r="N203" s="208" t="s">
        <v>769</v>
      </c>
      <c r="O203" s="208" t="s">
        <v>769</v>
      </c>
      <c r="P203" s="208" t="s">
        <v>769</v>
      </c>
      <c r="Q203" s="208" t="s">
        <v>769</v>
      </c>
      <c r="R203" s="208" t="s">
        <v>769</v>
      </c>
      <c r="S203" s="208" t="s">
        <v>769</v>
      </c>
      <c r="T203" s="208" t="s">
        <v>769</v>
      </c>
      <c r="U203" s="208">
        <v>0.74</v>
      </c>
      <c r="V203" s="208" t="s">
        <v>769</v>
      </c>
      <c r="W203" s="208" t="s">
        <v>357</v>
      </c>
      <c r="X203" s="208" t="s">
        <v>769</v>
      </c>
      <c r="Y203" s="208" t="s">
        <v>769</v>
      </c>
      <c r="Z203" s="208" t="s">
        <v>769</v>
      </c>
      <c r="AA203" s="208" t="s">
        <v>769</v>
      </c>
      <c r="AB203" s="208">
        <v>2780</v>
      </c>
      <c r="AC203" s="208">
        <v>1.0000000000000001E-5</v>
      </c>
      <c r="AD203" s="208">
        <v>1.3</v>
      </c>
      <c r="AE203" s="208">
        <v>5.6000000000000001E-2</v>
      </c>
      <c r="AF203" s="208" t="s">
        <v>769</v>
      </c>
      <c r="AG203" s="208">
        <v>116.126814790612</v>
      </c>
      <c r="AH203" s="208" t="s">
        <v>769</v>
      </c>
      <c r="AI203" s="208" t="s">
        <v>769</v>
      </c>
      <c r="AJ203" s="208">
        <v>3988.207996112963</v>
      </c>
      <c r="AK203" s="208">
        <v>13027.836076495769</v>
      </c>
      <c r="AL203" s="208">
        <v>32810.60842745853</v>
      </c>
      <c r="AM203" s="208">
        <v>352.41112171114833</v>
      </c>
    </row>
    <row r="204" spans="3:39" x14ac:dyDescent="0.2">
      <c r="C204" s="13" t="s">
        <v>218</v>
      </c>
      <c r="D204" s="22" t="s">
        <v>28</v>
      </c>
      <c r="E204" s="208" t="s">
        <v>769</v>
      </c>
      <c r="F204" s="208">
        <v>1.2953731514836025E-6</v>
      </c>
      <c r="G204" s="208">
        <v>7.0064845393024474E-7</v>
      </c>
      <c r="H204" s="208">
        <v>1.6748876626756898E-8</v>
      </c>
      <c r="I204" s="208">
        <v>3.4155310775637688E-8</v>
      </c>
      <c r="J204" s="208">
        <v>6.3952799999999999E-4</v>
      </c>
      <c r="K204" s="208" t="s">
        <v>769</v>
      </c>
      <c r="L204" s="208" t="s">
        <v>769</v>
      </c>
      <c r="M204" s="208" t="s">
        <v>769</v>
      </c>
      <c r="N204" s="208" t="s">
        <v>769</v>
      </c>
      <c r="O204" s="208" t="s">
        <v>769</v>
      </c>
      <c r="P204" s="208" t="s">
        <v>769</v>
      </c>
      <c r="Q204" s="208" t="s">
        <v>769</v>
      </c>
      <c r="R204" s="208" t="s">
        <v>769</v>
      </c>
      <c r="S204" s="208" t="s">
        <v>769</v>
      </c>
      <c r="T204" s="208" t="s">
        <v>769</v>
      </c>
      <c r="U204" s="208"/>
      <c r="V204" s="208">
        <v>386000</v>
      </c>
      <c r="W204" s="208" t="s">
        <v>356</v>
      </c>
      <c r="X204" s="208"/>
      <c r="Y204" s="208"/>
      <c r="Z204" s="208"/>
      <c r="AA204" s="208"/>
      <c r="AB204" s="208" t="s">
        <v>676</v>
      </c>
      <c r="AC204" s="208">
        <v>1.0000000000000001E-5</v>
      </c>
      <c r="AD204" s="208">
        <v>1.3</v>
      </c>
      <c r="AE204" s="208">
        <v>5.6000000000000001E-2</v>
      </c>
      <c r="AF204" s="208" t="s">
        <v>769</v>
      </c>
      <c r="AG204" s="208" t="s">
        <v>676</v>
      </c>
      <c r="AH204" s="208" t="s">
        <v>769</v>
      </c>
      <c r="AI204" s="208" t="s">
        <v>769</v>
      </c>
      <c r="AJ204" s="208">
        <v>3432.3457673616736</v>
      </c>
      <c r="AK204" s="208">
        <v>11313.763292321088</v>
      </c>
      <c r="AL204" s="208">
        <v>32167.891817639324</v>
      </c>
      <c r="AM204" s="208">
        <v>217.56050599387655</v>
      </c>
    </row>
    <row r="205" spans="3:39" x14ac:dyDescent="0.2">
      <c r="C205" s="13" t="s">
        <v>219</v>
      </c>
      <c r="D205" s="22" t="s">
        <v>24</v>
      </c>
      <c r="E205" s="208" t="s">
        <v>769</v>
      </c>
      <c r="F205" s="208">
        <v>2.6722396551724137E-7</v>
      </c>
      <c r="G205" s="208">
        <v>1.223741379310345E-7</v>
      </c>
      <c r="H205" s="208">
        <v>2.983965517241379E-9</v>
      </c>
      <c r="I205" s="208">
        <v>6.5684482758620693E-9</v>
      </c>
      <c r="J205" s="208">
        <v>1.1685825E-4</v>
      </c>
      <c r="K205" s="208">
        <v>5.99</v>
      </c>
      <c r="L205" s="208">
        <v>1787400</v>
      </c>
      <c r="M205" s="208" t="s">
        <v>769</v>
      </c>
      <c r="N205" s="208" t="s">
        <v>769</v>
      </c>
      <c r="O205" s="208" t="s">
        <v>769</v>
      </c>
      <c r="P205" s="208" t="s">
        <v>769</v>
      </c>
      <c r="Q205" s="208" t="s">
        <v>769</v>
      </c>
      <c r="R205" s="208" t="s">
        <v>769</v>
      </c>
      <c r="S205" s="208" t="s">
        <v>769</v>
      </c>
      <c r="T205" s="208" t="s">
        <v>769</v>
      </c>
      <c r="U205" s="208">
        <v>0.38250000000000001</v>
      </c>
      <c r="V205" s="208" t="s">
        <v>769</v>
      </c>
      <c r="W205" s="208" t="s">
        <v>355</v>
      </c>
      <c r="X205" s="208" t="s">
        <v>769</v>
      </c>
      <c r="Y205" s="208" t="s">
        <v>769</v>
      </c>
      <c r="Z205" s="208" t="s">
        <v>769</v>
      </c>
      <c r="AA205" s="208" t="s">
        <v>769</v>
      </c>
      <c r="AB205" s="208">
        <v>4900</v>
      </c>
      <c r="AC205" s="208">
        <v>1.0000000000000001E-5</v>
      </c>
      <c r="AD205" s="208">
        <v>1.3</v>
      </c>
      <c r="AE205" s="208">
        <v>5.6000000000000001E-2</v>
      </c>
      <c r="AF205" s="208" t="s">
        <v>769</v>
      </c>
      <c r="AG205" s="208">
        <v>70.250479141148503</v>
      </c>
      <c r="AH205" s="208" t="s">
        <v>769</v>
      </c>
      <c r="AI205" s="208" t="s">
        <v>769</v>
      </c>
      <c r="AJ205" s="208">
        <v>2355.1683960323062</v>
      </c>
      <c r="AK205" s="208">
        <v>7246.7013919818028</v>
      </c>
      <c r="AL205" s="208">
        <v>21319.156193684452</v>
      </c>
      <c r="AM205" s="208">
        <v>222.196216330211</v>
      </c>
    </row>
    <row r="206" spans="3:39" x14ac:dyDescent="0.2">
      <c r="C206" s="13" t="s">
        <v>220</v>
      </c>
      <c r="D206" s="22" t="s">
        <v>31</v>
      </c>
      <c r="E206" s="208" t="s">
        <v>769</v>
      </c>
      <c r="F206" s="208">
        <v>4.9043015521064301E-9</v>
      </c>
      <c r="G206" s="208">
        <v>2.228687361419069E-7</v>
      </c>
      <c r="H206" s="208">
        <v>3.2024833702882487E-9</v>
      </c>
      <c r="I206" s="208">
        <v>3.3820842572062086E-9</v>
      </c>
      <c r="J206" s="208">
        <v>3.392461E-4</v>
      </c>
      <c r="K206" s="208" t="s">
        <v>769</v>
      </c>
      <c r="L206" s="208">
        <v>9276995</v>
      </c>
      <c r="M206" s="208" t="s">
        <v>769</v>
      </c>
      <c r="N206" s="208" t="s">
        <v>769</v>
      </c>
      <c r="O206" s="208" t="s">
        <v>769</v>
      </c>
      <c r="P206" s="208" t="s">
        <v>769</v>
      </c>
      <c r="Q206" s="208" t="s">
        <v>769</v>
      </c>
      <c r="R206" s="208" t="s">
        <v>769</v>
      </c>
      <c r="S206" s="208" t="s">
        <v>769</v>
      </c>
      <c r="T206" s="208" t="s">
        <v>769</v>
      </c>
      <c r="U206" s="208" t="s">
        <v>769</v>
      </c>
      <c r="V206" s="208" t="s">
        <v>769</v>
      </c>
      <c r="W206" s="208" t="s">
        <v>357</v>
      </c>
      <c r="X206" s="208" t="s">
        <v>769</v>
      </c>
      <c r="Y206" s="208" t="s">
        <v>769</v>
      </c>
      <c r="Z206" s="208" t="s">
        <v>769</v>
      </c>
      <c r="AA206" s="208" t="s">
        <v>769</v>
      </c>
      <c r="AB206" s="208">
        <v>3390</v>
      </c>
      <c r="AC206" s="208">
        <v>1.0000000000000001E-5</v>
      </c>
      <c r="AD206" s="208">
        <v>1.3</v>
      </c>
      <c r="AE206" s="208">
        <v>5.6000000000000001E-2</v>
      </c>
      <c r="AF206" s="208" t="s">
        <v>769</v>
      </c>
      <c r="AG206" s="208">
        <v>71.786333258071807</v>
      </c>
      <c r="AH206" s="208" t="s">
        <v>769</v>
      </c>
      <c r="AI206" s="208" t="s">
        <v>769</v>
      </c>
      <c r="AJ206" s="208">
        <v>1386.7036635427719</v>
      </c>
      <c r="AK206" s="208">
        <v>3926.24500518795</v>
      </c>
      <c r="AL206" s="208">
        <v>11152.269402646529</v>
      </c>
      <c r="AM206" s="208">
        <v>82.621515497075194</v>
      </c>
    </row>
    <row r="207" spans="3:39" x14ac:dyDescent="0.2">
      <c r="C207" s="13" t="s">
        <v>221</v>
      </c>
      <c r="D207" s="22" t="s">
        <v>28</v>
      </c>
      <c r="E207" s="208">
        <v>-0.38900000000000001</v>
      </c>
      <c r="F207" s="208">
        <v>6.0180985417244242E-7</v>
      </c>
      <c r="G207" s="208">
        <v>5.2344758525090097E-7</v>
      </c>
      <c r="H207" s="208">
        <v>1.7821866370945383E-8</v>
      </c>
      <c r="I207" s="208">
        <v>2.7147133906293315E-8</v>
      </c>
      <c r="J207" s="208">
        <v>5.6074290000000001E-4</v>
      </c>
      <c r="K207" s="208">
        <v>2.84</v>
      </c>
      <c r="L207" s="208">
        <v>26853366</v>
      </c>
      <c r="M207" s="208">
        <v>0.27</v>
      </c>
      <c r="N207" s="208">
        <v>7250408.8200000003</v>
      </c>
      <c r="O207" s="208">
        <v>4.0000000000000001E-3</v>
      </c>
      <c r="P207" s="208">
        <v>107413.46400000001</v>
      </c>
      <c r="Q207" s="208">
        <v>116</v>
      </c>
      <c r="R207" s="208">
        <v>1</v>
      </c>
      <c r="S207" s="208">
        <v>3.1732831489740342E-2</v>
      </c>
      <c r="T207" s="208">
        <v>0.22</v>
      </c>
      <c r="U207" s="208" t="s">
        <v>769</v>
      </c>
      <c r="V207" s="208">
        <v>173000</v>
      </c>
      <c r="W207" s="208" t="s">
        <v>357</v>
      </c>
      <c r="X207" s="208" t="s">
        <v>769</v>
      </c>
      <c r="Y207" s="208" t="s">
        <v>769</v>
      </c>
      <c r="Z207" s="208" t="s">
        <v>769</v>
      </c>
      <c r="AA207" s="208" t="s">
        <v>769</v>
      </c>
      <c r="AB207" s="208">
        <v>19580</v>
      </c>
      <c r="AC207" s="208">
        <v>1.0000000000000001E-5</v>
      </c>
      <c r="AD207" s="208">
        <v>1.3</v>
      </c>
      <c r="AE207" s="208">
        <v>5.6000000000000001E-2</v>
      </c>
      <c r="AF207" s="208" t="s">
        <v>255</v>
      </c>
      <c r="AG207" s="208">
        <v>140.149744563409</v>
      </c>
      <c r="AH207" s="208">
        <v>7133</v>
      </c>
      <c r="AI207" s="208">
        <v>100280.46400000001</v>
      </c>
      <c r="AJ207" s="208">
        <v>5027.7456590095408</v>
      </c>
      <c r="AK207" s="208">
        <v>16720.52831741553</v>
      </c>
      <c r="AL207" s="208">
        <v>48157.766460785824</v>
      </c>
      <c r="AM207" s="208">
        <v>312.00054838389241</v>
      </c>
    </row>
    <row r="208" spans="3:39" x14ac:dyDescent="0.2">
      <c r="C208" s="13" t="s">
        <v>222</v>
      </c>
      <c r="D208" s="22" t="s">
        <v>28</v>
      </c>
      <c r="E208" s="208" t="s">
        <v>769</v>
      </c>
      <c r="F208" s="208" t="s">
        <v>769</v>
      </c>
      <c r="G208" s="208" t="s">
        <v>769</v>
      </c>
      <c r="H208" s="208" t="s">
        <v>769</v>
      </c>
      <c r="I208" s="208" t="s">
        <v>769</v>
      </c>
      <c r="J208" s="208" t="s">
        <v>769</v>
      </c>
      <c r="K208" s="208">
        <v>5.27</v>
      </c>
      <c r="L208" s="208">
        <v>63875</v>
      </c>
      <c r="M208" s="208" t="s">
        <v>769</v>
      </c>
      <c r="N208" s="208" t="s">
        <v>769</v>
      </c>
      <c r="O208" s="208" t="s">
        <v>769</v>
      </c>
      <c r="P208" s="208" t="s">
        <v>769</v>
      </c>
      <c r="Q208" s="208" t="s">
        <v>769</v>
      </c>
      <c r="R208" s="208" t="s">
        <v>769</v>
      </c>
      <c r="S208" s="208" t="s">
        <v>769</v>
      </c>
      <c r="T208" s="208" t="s">
        <v>769</v>
      </c>
      <c r="U208" s="208" t="s">
        <v>769</v>
      </c>
      <c r="V208" s="208" t="s">
        <v>769</v>
      </c>
      <c r="W208" s="208" t="s">
        <v>357</v>
      </c>
      <c r="X208" s="208" t="s">
        <v>769</v>
      </c>
      <c r="Y208" s="208" t="s">
        <v>769</v>
      </c>
      <c r="Z208" s="208" t="s">
        <v>769</v>
      </c>
      <c r="AA208" s="208" t="s">
        <v>769</v>
      </c>
      <c r="AB208" s="208">
        <v>7590</v>
      </c>
      <c r="AC208" s="208">
        <v>1.0000000000000001E-5</v>
      </c>
      <c r="AD208" s="208">
        <v>1.3</v>
      </c>
      <c r="AE208" s="208">
        <v>5.6000000000000001E-2</v>
      </c>
      <c r="AF208" s="208" t="s">
        <v>769</v>
      </c>
      <c r="AG208" s="208">
        <v>88.832683254875604</v>
      </c>
      <c r="AH208" s="208" t="s">
        <v>769</v>
      </c>
      <c r="AI208" s="208" t="s">
        <v>769</v>
      </c>
      <c r="AJ208" s="208">
        <v>2621.1382117441017</v>
      </c>
      <c r="AK208" s="208">
        <v>9012.2573168967265</v>
      </c>
      <c r="AL208" s="208">
        <v>21535.362653219272</v>
      </c>
      <c r="AM208" s="208">
        <v>186.92718389119975</v>
      </c>
    </row>
    <row r="209" spans="3:39" x14ac:dyDescent="0.2">
      <c r="C209" s="13" t="s">
        <v>223</v>
      </c>
      <c r="D209" s="22" t="s">
        <v>31</v>
      </c>
      <c r="E209" s="208" t="s">
        <v>769</v>
      </c>
      <c r="F209" s="208">
        <v>1.3961045454545457E-7</v>
      </c>
      <c r="G209" s="208">
        <v>2.7638181818181818E-7</v>
      </c>
      <c r="H209" s="208">
        <v>5.895E-9</v>
      </c>
      <c r="I209" s="208">
        <v>7.326818181818183E-9</v>
      </c>
      <c r="J209" s="208">
        <v>4.4318180000000001E-4</v>
      </c>
      <c r="K209" s="208">
        <v>4.3499999999999996</v>
      </c>
      <c r="L209" s="208">
        <v>1109030.45</v>
      </c>
      <c r="M209" s="208" t="s">
        <v>769</v>
      </c>
      <c r="N209" s="208" t="s">
        <v>769</v>
      </c>
      <c r="O209" s="208" t="s">
        <v>769</v>
      </c>
      <c r="P209" s="208" t="s">
        <v>769</v>
      </c>
      <c r="Q209" s="208" t="s">
        <v>769</v>
      </c>
      <c r="R209" s="208" t="s">
        <v>769</v>
      </c>
      <c r="S209" s="208" t="s">
        <v>769</v>
      </c>
      <c r="T209" s="208" t="s">
        <v>769</v>
      </c>
      <c r="U209" s="208" t="s">
        <v>769</v>
      </c>
      <c r="V209" s="208" t="s">
        <v>769</v>
      </c>
      <c r="W209" s="208" t="s">
        <v>357</v>
      </c>
      <c r="X209" s="208" t="s">
        <v>769</v>
      </c>
      <c r="Y209" s="208" t="s">
        <v>769</v>
      </c>
      <c r="Z209" s="208" t="s">
        <v>769</v>
      </c>
      <c r="AA209" s="208" t="s">
        <v>769</v>
      </c>
      <c r="AB209" s="208">
        <v>2650</v>
      </c>
      <c r="AC209" s="208">
        <v>1.0000000000000001E-5</v>
      </c>
      <c r="AD209" s="208">
        <v>1.3</v>
      </c>
      <c r="AE209" s="208">
        <v>5.6000000000000001E-2</v>
      </c>
      <c r="AF209" s="208" t="s">
        <v>769</v>
      </c>
      <c r="AG209" s="208">
        <v>158.94151498437199</v>
      </c>
      <c r="AH209" s="208" t="s">
        <v>769</v>
      </c>
      <c r="AI209" s="208" t="s">
        <v>769</v>
      </c>
      <c r="AJ209" s="208">
        <v>4104.8016427800949</v>
      </c>
      <c r="AK209" s="208">
        <v>13209.615295205927</v>
      </c>
      <c r="AL209" s="208">
        <v>34171.108810594465</v>
      </c>
      <c r="AM209" s="208">
        <v>241.4745458458919</v>
      </c>
    </row>
    <row r="210" spans="3:39" x14ac:dyDescent="0.2">
      <c r="C210" s="13" t="s">
        <v>224</v>
      </c>
      <c r="D210" s="22" t="s">
        <v>28</v>
      </c>
      <c r="E210" s="208" t="s">
        <v>769</v>
      </c>
      <c r="F210" s="208">
        <v>1.5277500000000003E-6</v>
      </c>
      <c r="G210" s="208">
        <v>6.7725000000000016E-7</v>
      </c>
      <c r="H210" s="208">
        <v>4.0950000000000006E-8</v>
      </c>
      <c r="I210" s="208">
        <v>5.6700000000000011E-8</v>
      </c>
      <c r="J210" s="208">
        <v>6.2500000000000001E-4</v>
      </c>
      <c r="K210" s="208">
        <v>5.3</v>
      </c>
      <c r="L210" s="208">
        <v>17238.20175</v>
      </c>
      <c r="M210" s="208" t="s">
        <v>769</v>
      </c>
      <c r="N210" s="208" t="s">
        <v>769</v>
      </c>
      <c r="O210" s="208" t="s">
        <v>769</v>
      </c>
      <c r="P210" s="208" t="s">
        <v>769</v>
      </c>
      <c r="Q210" s="208" t="s">
        <v>769</v>
      </c>
      <c r="R210" s="208" t="s">
        <v>769</v>
      </c>
      <c r="S210" s="208" t="s">
        <v>769</v>
      </c>
      <c r="T210" s="208" t="s">
        <v>769</v>
      </c>
      <c r="U210" s="208">
        <v>0.71</v>
      </c>
      <c r="V210" s="208" t="s">
        <v>769</v>
      </c>
      <c r="W210" s="208" t="s">
        <v>358</v>
      </c>
      <c r="X210" s="208" t="s">
        <v>769</v>
      </c>
      <c r="Y210" s="208" t="s">
        <v>769</v>
      </c>
      <c r="Z210" s="208" t="s">
        <v>769</v>
      </c>
      <c r="AA210" s="208" t="s">
        <v>769</v>
      </c>
      <c r="AB210" s="208">
        <v>7180</v>
      </c>
      <c r="AC210" s="208">
        <v>1.0000000000000001E-5</v>
      </c>
      <c r="AD210" s="208">
        <v>1.3</v>
      </c>
      <c r="AE210" s="208">
        <v>5.6000000000000001E-2</v>
      </c>
      <c r="AF210" s="208" t="s">
        <v>769</v>
      </c>
      <c r="AG210" s="208">
        <v>147.245833333333</v>
      </c>
      <c r="AH210" s="208" t="s">
        <v>769</v>
      </c>
      <c r="AI210" s="208" t="s">
        <v>769</v>
      </c>
      <c r="AJ210" s="208">
        <v>964.98763256473956</v>
      </c>
      <c r="AK210" s="208">
        <v>2493.4403591494001</v>
      </c>
      <c r="AL210" s="208">
        <v>7225.0442315728178</v>
      </c>
      <c r="AM210" s="208">
        <v>73.655804011102092</v>
      </c>
    </row>
    <row r="211" spans="3:39" x14ac:dyDescent="0.2">
      <c r="C211" s="13" t="s">
        <v>225</v>
      </c>
      <c r="D211" s="22" t="s">
        <v>33</v>
      </c>
      <c r="E211" s="208" t="s">
        <v>769</v>
      </c>
      <c r="F211" s="208">
        <v>8.4882802547770678E-9</v>
      </c>
      <c r="G211" s="208">
        <v>3.2198598726114649E-7</v>
      </c>
      <c r="H211" s="208">
        <v>3.4215286624203819E-9</v>
      </c>
      <c r="I211" s="208">
        <v>3.4979617834394905E-9</v>
      </c>
      <c r="J211" s="208">
        <v>6.8152860000000003E-4</v>
      </c>
      <c r="K211" s="208"/>
      <c r="L211" s="208">
        <v>727874</v>
      </c>
      <c r="M211" s="208" t="s">
        <v>769</v>
      </c>
      <c r="N211" s="208" t="s">
        <v>769</v>
      </c>
      <c r="O211" s="208" t="s">
        <v>769</v>
      </c>
      <c r="P211" s="208" t="s">
        <v>769</v>
      </c>
      <c r="Q211" s="208" t="s">
        <v>769</v>
      </c>
      <c r="R211" s="208" t="s">
        <v>769</v>
      </c>
      <c r="S211" s="208" t="s">
        <v>769</v>
      </c>
      <c r="T211" s="208" t="s">
        <v>769</v>
      </c>
      <c r="U211" s="208">
        <v>0.94310000000000005</v>
      </c>
      <c r="V211" s="208" t="s">
        <v>769</v>
      </c>
      <c r="W211" s="208" t="s">
        <v>358</v>
      </c>
      <c r="X211" s="208" t="s">
        <v>769</v>
      </c>
      <c r="Y211" s="208" t="s">
        <v>769</v>
      </c>
      <c r="Z211" s="208" t="s">
        <v>769</v>
      </c>
      <c r="AA211" s="208" t="s">
        <v>769</v>
      </c>
      <c r="AB211" s="208">
        <v>27530</v>
      </c>
      <c r="AC211" s="208">
        <v>1.0000000000000001E-5</v>
      </c>
      <c r="AD211" s="208">
        <v>1.3</v>
      </c>
      <c r="AE211" s="208">
        <v>5.6000000000000001E-2</v>
      </c>
      <c r="AF211" s="208" t="s">
        <v>769</v>
      </c>
      <c r="AG211" s="208">
        <v>297.40019493177402</v>
      </c>
      <c r="AH211" s="208" t="s">
        <v>769</v>
      </c>
      <c r="AI211" s="208" t="s">
        <v>769</v>
      </c>
      <c r="AJ211" s="208">
        <v>3932.9205557730202</v>
      </c>
      <c r="AK211" s="208">
        <v>13142.04422042204</v>
      </c>
      <c r="AL211" s="208">
        <v>33791.721516578633</v>
      </c>
      <c r="AM211" s="208">
        <v>252.91160726529512</v>
      </c>
    </row>
    <row r="212" spans="3:39" x14ac:dyDescent="0.2">
      <c r="C212" s="13" t="s">
        <v>226</v>
      </c>
      <c r="D212" s="22" t="s">
        <v>26</v>
      </c>
      <c r="E212" s="208" t="s">
        <v>769</v>
      </c>
      <c r="F212" s="208">
        <v>3.5161132075471694E-9</v>
      </c>
      <c r="G212" s="208">
        <v>3.112183018867925E-7</v>
      </c>
      <c r="H212" s="208">
        <v>3.2023018867924524E-9</v>
      </c>
      <c r="I212" s="208">
        <v>3.2277735849056601E-9</v>
      </c>
      <c r="J212" s="208">
        <v>5.6462260000000007E-4</v>
      </c>
      <c r="K212" s="208">
        <v>3.89</v>
      </c>
      <c r="L212" s="208">
        <v>2700000</v>
      </c>
      <c r="M212" s="208" t="s">
        <v>769</v>
      </c>
      <c r="N212" s="208" t="s">
        <v>769</v>
      </c>
      <c r="O212" s="208" t="s">
        <v>769</v>
      </c>
      <c r="P212" s="208" t="s">
        <v>769</v>
      </c>
      <c r="Q212" s="208" t="s">
        <v>769</v>
      </c>
      <c r="R212" s="208" t="s">
        <v>769</v>
      </c>
      <c r="S212" s="208" t="s">
        <v>769</v>
      </c>
      <c r="T212" s="208">
        <v>0.78</v>
      </c>
      <c r="U212" s="208">
        <v>0.65</v>
      </c>
      <c r="V212" s="208">
        <v>40000</v>
      </c>
      <c r="W212" s="208" t="s">
        <v>357</v>
      </c>
      <c r="X212" s="208" t="s">
        <v>769</v>
      </c>
      <c r="Y212" s="208" t="s">
        <v>769</v>
      </c>
      <c r="Z212" s="208" t="s">
        <v>769</v>
      </c>
      <c r="AA212" s="208" t="s">
        <v>769</v>
      </c>
      <c r="AB212" s="208">
        <v>11840</v>
      </c>
      <c r="AC212" s="208">
        <v>1.0000000000000001E-5</v>
      </c>
      <c r="AD212" s="208">
        <v>1.3</v>
      </c>
      <c r="AE212" s="208">
        <v>5.6000000000000001E-2</v>
      </c>
      <c r="AF212" s="208" t="s">
        <v>769</v>
      </c>
      <c r="AG212" s="208">
        <v>78.932453656024705</v>
      </c>
      <c r="AH212" s="208" t="s">
        <v>769</v>
      </c>
      <c r="AI212" s="208" t="s">
        <v>769</v>
      </c>
      <c r="AJ212" s="208">
        <v>3945.6639821252702</v>
      </c>
      <c r="AK212" s="208">
        <v>13024.950341954873</v>
      </c>
      <c r="AL212" s="208">
        <v>33093.662002098696</v>
      </c>
      <c r="AM212" s="208">
        <v>251.84014121089081</v>
      </c>
    </row>
    <row r="213" spans="3:39" x14ac:dyDescent="0.2">
      <c r="C213" s="13" t="s">
        <v>404</v>
      </c>
      <c r="D213" s="22" t="s">
        <v>24</v>
      </c>
      <c r="E213" s="208" t="s">
        <v>769</v>
      </c>
      <c r="F213" s="208" t="s">
        <v>769</v>
      </c>
      <c r="G213" s="208" t="s">
        <v>769</v>
      </c>
      <c r="H213" s="208" t="s">
        <v>769</v>
      </c>
      <c r="I213" s="208" t="s">
        <v>769</v>
      </c>
      <c r="J213" s="208" t="s">
        <v>769</v>
      </c>
      <c r="K213" s="208" t="s">
        <v>769</v>
      </c>
      <c r="L213" s="208" t="s">
        <v>769</v>
      </c>
      <c r="M213" s="208" t="s">
        <v>769</v>
      </c>
      <c r="N213" s="208" t="s">
        <v>769</v>
      </c>
      <c r="O213" s="208" t="s">
        <v>769</v>
      </c>
      <c r="P213" s="208" t="s">
        <v>769</v>
      </c>
      <c r="Q213" s="208">
        <v>174</v>
      </c>
      <c r="R213" s="208" t="s">
        <v>769</v>
      </c>
      <c r="S213" s="208" t="s">
        <v>769</v>
      </c>
      <c r="T213" s="208">
        <v>0.54</v>
      </c>
      <c r="U213" s="208"/>
      <c r="V213" s="208" t="s">
        <v>769</v>
      </c>
      <c r="W213" s="208" t="s">
        <v>355</v>
      </c>
      <c r="X213" s="208"/>
      <c r="Y213" s="208"/>
      <c r="Z213" s="208"/>
      <c r="AA213" s="208"/>
      <c r="AB213" s="208">
        <v>31230</v>
      </c>
      <c r="AC213" s="208">
        <v>1.0000000000000001E-5</v>
      </c>
      <c r="AD213" s="208">
        <v>1.3</v>
      </c>
      <c r="AE213" s="208">
        <v>5.6000000000000001E-2</v>
      </c>
      <c r="AF213" s="208" t="s">
        <v>769</v>
      </c>
      <c r="AG213" s="208">
        <v>109.334768655068</v>
      </c>
      <c r="AH213" s="208" t="s">
        <v>769</v>
      </c>
      <c r="AI213" s="208" t="s">
        <v>769</v>
      </c>
      <c r="AJ213" s="208">
        <v>4106.8840719618393</v>
      </c>
      <c r="AK213" s="208">
        <v>13475.936157969129</v>
      </c>
      <c r="AL213" s="208">
        <v>34618.323727036113</v>
      </c>
      <c r="AM213" s="208">
        <v>280.47538763676698</v>
      </c>
    </row>
    <row r="214" spans="3:39" x14ac:dyDescent="0.2">
      <c r="C214" s="13" t="s">
        <v>227</v>
      </c>
      <c r="D214" s="22" t="s">
        <v>24</v>
      </c>
      <c r="E214" s="208" t="s">
        <v>769</v>
      </c>
      <c r="F214" s="208">
        <v>1.0795318595578671E-9</v>
      </c>
      <c r="G214" s="208">
        <v>3.2026111833550066E-7</v>
      </c>
      <c r="H214" s="208">
        <v>3.238595578673602E-9</v>
      </c>
      <c r="I214" s="208">
        <v>3.238595578673602E-9</v>
      </c>
      <c r="J214" s="208">
        <v>1.3060251E-3</v>
      </c>
      <c r="K214" s="208">
        <v>5.22</v>
      </c>
      <c r="L214" s="208">
        <v>500000</v>
      </c>
      <c r="M214" s="208" t="s">
        <v>769</v>
      </c>
      <c r="N214" s="208" t="s">
        <v>769</v>
      </c>
      <c r="O214" s="208" t="s">
        <v>769</v>
      </c>
      <c r="P214" s="208" t="s">
        <v>769</v>
      </c>
      <c r="Q214" s="208" t="s">
        <v>769</v>
      </c>
      <c r="R214" s="208" t="s">
        <v>769</v>
      </c>
      <c r="S214" s="208" t="s">
        <v>769</v>
      </c>
      <c r="T214" s="208" t="s">
        <v>769</v>
      </c>
      <c r="U214" s="208" t="s">
        <v>769</v>
      </c>
      <c r="V214" s="208" t="s">
        <v>769</v>
      </c>
      <c r="W214" s="208" t="s">
        <v>357</v>
      </c>
      <c r="X214" s="208" t="s">
        <v>769</v>
      </c>
      <c r="Y214" s="208" t="s">
        <v>769</v>
      </c>
      <c r="Z214" s="208" t="s">
        <v>769</v>
      </c>
      <c r="AA214" s="208" t="s">
        <v>769</v>
      </c>
      <c r="AB214" s="208" t="s">
        <v>676</v>
      </c>
      <c r="AC214" s="208">
        <v>1.0000000000000001E-5</v>
      </c>
      <c r="AD214" s="208">
        <v>1.3</v>
      </c>
      <c r="AE214" s="208">
        <v>5.6000000000000001E-2</v>
      </c>
      <c r="AF214" s="208" t="s">
        <v>769</v>
      </c>
      <c r="AG214" s="208">
        <v>13.4953184516843</v>
      </c>
      <c r="AH214" s="208" t="s">
        <v>769</v>
      </c>
      <c r="AI214" s="208" t="s">
        <v>769</v>
      </c>
      <c r="AJ214" s="208">
        <v>2664.2921666175939</v>
      </c>
      <c r="AK214" s="208">
        <v>8816.3105031920186</v>
      </c>
      <c r="AL214" s="208">
        <v>25266.518315918471</v>
      </c>
      <c r="AM214" s="208">
        <v>218.31108711080336</v>
      </c>
    </row>
    <row r="215" spans="3:39" x14ac:dyDescent="0.2">
      <c r="C215" s="13" t="s">
        <v>228</v>
      </c>
      <c r="D215" s="22" t="s">
        <v>33</v>
      </c>
      <c r="E215" s="208" t="s">
        <v>769</v>
      </c>
      <c r="F215" s="208">
        <v>1.7460000000000001E-6</v>
      </c>
      <c r="G215" s="208">
        <v>7.7400000000000002E-7</v>
      </c>
      <c r="H215" s="208">
        <v>4.6800000000000002E-8</v>
      </c>
      <c r="I215" s="208">
        <v>6.4799999999999998E-8</v>
      </c>
      <c r="J215" s="208">
        <v>6.5384619999999999E-4</v>
      </c>
      <c r="K215" s="208">
        <v>2.37</v>
      </c>
      <c r="L215" s="208">
        <v>0</v>
      </c>
      <c r="M215" s="208" t="s">
        <v>769</v>
      </c>
      <c r="N215" s="208" t="s">
        <v>769</v>
      </c>
      <c r="O215" s="208" t="s">
        <v>769</v>
      </c>
      <c r="P215" s="208" t="s">
        <v>769</v>
      </c>
      <c r="Q215" s="208" t="s">
        <v>769</v>
      </c>
      <c r="R215" s="208" t="s">
        <v>769</v>
      </c>
      <c r="S215" s="208" t="s">
        <v>769</v>
      </c>
      <c r="T215" s="208" t="s">
        <v>769</v>
      </c>
      <c r="U215" s="208" t="s">
        <v>769</v>
      </c>
      <c r="V215" s="208" t="s">
        <v>769</v>
      </c>
      <c r="W215" s="208" t="s">
        <v>357</v>
      </c>
      <c r="X215" s="208" t="s">
        <v>769</v>
      </c>
      <c r="Y215" s="208" t="s">
        <v>769</v>
      </c>
      <c r="Z215" s="208" t="s">
        <v>769</v>
      </c>
      <c r="AA215" s="208" t="s">
        <v>769</v>
      </c>
      <c r="AB215" s="208">
        <v>21360</v>
      </c>
      <c r="AC215" s="208">
        <v>1.0000000000000001E-5</v>
      </c>
      <c r="AD215" s="208">
        <v>1.3</v>
      </c>
      <c r="AE215" s="208">
        <v>5.6000000000000001E-2</v>
      </c>
      <c r="AF215" s="208" t="s">
        <v>769</v>
      </c>
      <c r="AG215" s="208">
        <v>47.488421052631601</v>
      </c>
      <c r="AH215" s="208" t="s">
        <v>769</v>
      </c>
      <c r="AI215" s="208" t="s">
        <v>769</v>
      </c>
      <c r="AJ215" s="208">
        <v>1188.5719720286529</v>
      </c>
      <c r="AK215" s="208">
        <v>3355.0469299070078</v>
      </c>
      <c r="AL215" s="208">
        <v>9122.9840975596926</v>
      </c>
      <c r="AM215" s="208">
        <v>70.560309097059815</v>
      </c>
    </row>
    <row r="216" spans="3:39" x14ac:dyDescent="0.2">
      <c r="C216" s="13" t="s">
        <v>229</v>
      </c>
      <c r="D216" s="22" t="s">
        <v>28</v>
      </c>
      <c r="E216" s="208" t="s">
        <v>769</v>
      </c>
      <c r="F216" s="208" t="s">
        <v>769</v>
      </c>
      <c r="G216" s="208" t="s">
        <v>769</v>
      </c>
      <c r="H216" s="208" t="s">
        <v>769</v>
      </c>
      <c r="I216" s="208" t="s">
        <v>769</v>
      </c>
      <c r="J216" s="208" t="s">
        <v>769</v>
      </c>
      <c r="K216" s="208">
        <v>6.05</v>
      </c>
      <c r="L216" s="208">
        <v>3989.4865</v>
      </c>
      <c r="M216" s="208" t="s">
        <v>769</v>
      </c>
      <c r="N216" s="208" t="s">
        <v>769</v>
      </c>
      <c r="O216" s="208" t="s">
        <v>769</v>
      </c>
      <c r="P216" s="208" t="s">
        <v>769</v>
      </c>
      <c r="Q216" s="208" t="s">
        <v>769</v>
      </c>
      <c r="R216" s="208" t="s">
        <v>769</v>
      </c>
      <c r="S216" s="208" t="s">
        <v>769</v>
      </c>
      <c r="T216" s="208" t="s">
        <v>769</v>
      </c>
      <c r="U216" s="208">
        <v>0.47</v>
      </c>
      <c r="V216" s="208" t="s">
        <v>769</v>
      </c>
      <c r="W216" s="208" t="s">
        <v>358</v>
      </c>
      <c r="X216" s="208" t="s">
        <v>769</v>
      </c>
      <c r="Y216" s="208" t="s">
        <v>769</v>
      </c>
      <c r="Z216" s="208" t="s">
        <v>769</v>
      </c>
      <c r="AA216" s="208" t="s">
        <v>769</v>
      </c>
      <c r="AB216" s="208">
        <v>6820</v>
      </c>
      <c r="AC216" s="208">
        <v>1.0000000000000001E-5</v>
      </c>
      <c r="AD216" s="208">
        <v>1.3</v>
      </c>
      <c r="AE216" s="208">
        <v>5.6000000000000001E-2</v>
      </c>
      <c r="AF216" s="208" t="s">
        <v>769</v>
      </c>
      <c r="AG216" s="208">
        <v>373.46666666666698</v>
      </c>
      <c r="AH216" s="208" t="s">
        <v>769</v>
      </c>
      <c r="AI216" s="208" t="s">
        <v>769</v>
      </c>
      <c r="AJ216" s="208">
        <v>969.24187446063581</v>
      </c>
      <c r="AK216" s="208">
        <v>2350.7737956416559</v>
      </c>
      <c r="AL216" s="208">
        <v>6800.7725289116352</v>
      </c>
      <c r="AM216" s="208">
        <v>70.45538348329957</v>
      </c>
    </row>
    <row r="217" spans="3:39" x14ac:dyDescent="0.2">
      <c r="C217" s="13" t="s">
        <v>230</v>
      </c>
      <c r="D217" s="22" t="s">
        <v>31</v>
      </c>
      <c r="E217" s="208" t="s">
        <v>769</v>
      </c>
      <c r="F217" s="208">
        <v>2.2301298701298703E-8</v>
      </c>
      <c r="G217" s="208">
        <v>6.3577736549165126E-8</v>
      </c>
      <c r="H217" s="208">
        <v>9.1168831168831192E-9</v>
      </c>
      <c r="I217" s="208">
        <v>1.061966604823748E-8</v>
      </c>
      <c r="J217" s="208">
        <v>4.4526905000000003E-5</v>
      </c>
      <c r="K217" s="208">
        <v>4.87</v>
      </c>
      <c r="L217" s="208">
        <v>7045049.8360000001</v>
      </c>
      <c r="M217" s="208" t="s">
        <v>769</v>
      </c>
      <c r="N217" s="208" t="s">
        <v>769</v>
      </c>
      <c r="O217" s="208" t="s">
        <v>769</v>
      </c>
      <c r="P217" s="208" t="s">
        <v>769</v>
      </c>
      <c r="Q217" s="208" t="s">
        <v>769</v>
      </c>
      <c r="R217" s="208" t="s">
        <v>769</v>
      </c>
      <c r="S217" s="208" t="s">
        <v>769</v>
      </c>
      <c r="T217" s="208" t="s">
        <v>769</v>
      </c>
      <c r="U217" s="208" t="s">
        <v>769</v>
      </c>
      <c r="V217" s="208" t="s">
        <v>769</v>
      </c>
      <c r="W217" s="208" t="s">
        <v>357</v>
      </c>
      <c r="X217" s="208">
        <v>7.0000000000000007E-2</v>
      </c>
      <c r="Y217" s="208">
        <v>7.0000000000000007E-2</v>
      </c>
      <c r="Z217" s="208">
        <v>7.0000000000000007E-2</v>
      </c>
      <c r="AA217" s="208">
        <v>7.0000000000000007E-2</v>
      </c>
      <c r="AB217" s="208">
        <v>2630</v>
      </c>
      <c r="AC217" s="208">
        <v>1.0000000000000001E-5</v>
      </c>
      <c r="AD217" s="208">
        <v>1.3</v>
      </c>
      <c r="AE217" s="208">
        <v>5.6000000000000001E-2</v>
      </c>
      <c r="AF217" s="208" t="s">
        <v>769</v>
      </c>
      <c r="AG217" s="208">
        <v>228.674336724516</v>
      </c>
      <c r="AH217" s="208" t="s">
        <v>769</v>
      </c>
      <c r="AI217" s="208" t="s">
        <v>769</v>
      </c>
      <c r="AJ217" s="208">
        <v>3933.160057513011</v>
      </c>
      <c r="AK217" s="208">
        <v>12954.849240053776</v>
      </c>
      <c r="AL217" s="208">
        <v>32922.8782256091</v>
      </c>
      <c r="AM217" s="208">
        <v>240.19654559166256</v>
      </c>
    </row>
    <row r="218" spans="3:39" x14ac:dyDescent="0.2">
      <c r="C218" s="13" t="s">
        <v>231</v>
      </c>
      <c r="D218" s="22" t="s">
        <v>24</v>
      </c>
      <c r="E218" s="208">
        <v>-1.2969999999999999</v>
      </c>
      <c r="F218" s="208">
        <v>6.5711310087836026E-7</v>
      </c>
      <c r="G218" s="208">
        <v>3.1230758583976577E-7</v>
      </c>
      <c r="H218" s="208">
        <v>8.0642427468725036E-9</v>
      </c>
      <c r="I218" s="208">
        <v>1.6932169284003192E-8</v>
      </c>
      <c r="J218" s="208">
        <v>2.5969302E-4</v>
      </c>
      <c r="K218" s="208">
        <v>2.5299999999999998</v>
      </c>
      <c r="L218" s="208">
        <v>15242025</v>
      </c>
      <c r="M218" s="208">
        <v>0.94069999999999998</v>
      </c>
      <c r="N218" s="208">
        <v>14338172.9175</v>
      </c>
      <c r="O218" s="208">
        <v>2.7300000000000001E-2</v>
      </c>
      <c r="P218" s="208">
        <v>416107.28249999997</v>
      </c>
      <c r="Q218" s="208">
        <v>136</v>
      </c>
      <c r="R218" s="208">
        <v>3</v>
      </c>
      <c r="S218" s="208">
        <v>5.5697912669943173E-2</v>
      </c>
      <c r="T218" s="208" t="s">
        <v>769</v>
      </c>
      <c r="U218" s="208">
        <v>0.75860000000000005</v>
      </c>
      <c r="V218" s="208">
        <v>70000</v>
      </c>
      <c r="W218" s="208" t="s">
        <v>356</v>
      </c>
      <c r="X218" s="208" t="s">
        <v>769</v>
      </c>
      <c r="Y218" s="208" t="s">
        <v>769</v>
      </c>
      <c r="Z218" s="208" t="s">
        <v>769</v>
      </c>
      <c r="AA218" s="208" t="s">
        <v>769</v>
      </c>
      <c r="AB218" s="208">
        <v>17520</v>
      </c>
      <c r="AC218" s="208">
        <v>1.0000000000000001E-5</v>
      </c>
      <c r="AD218" s="208">
        <v>1.3</v>
      </c>
      <c r="AE218" s="208">
        <v>5.6000000000000001E-2</v>
      </c>
      <c r="AF218" s="208" t="s">
        <v>255</v>
      </c>
      <c r="AG218" s="208">
        <v>75.679989644459795</v>
      </c>
      <c r="AH218" s="208">
        <v>10626</v>
      </c>
      <c r="AI218" s="208">
        <v>405481.28249999997</v>
      </c>
      <c r="AJ218" s="208">
        <v>4062.712579476181</v>
      </c>
      <c r="AK218" s="208">
        <v>13591.04043908243</v>
      </c>
      <c r="AL218" s="208">
        <v>36087.059634154422</v>
      </c>
      <c r="AM218" s="208">
        <v>239.80270217221872</v>
      </c>
    </row>
    <row r="219" spans="3:39" x14ac:dyDescent="0.2">
      <c r="C219" s="13" t="s">
        <v>232</v>
      </c>
      <c r="D219" s="22" t="s">
        <v>26</v>
      </c>
      <c r="E219" s="208" t="s">
        <v>769</v>
      </c>
      <c r="F219" s="208" t="s">
        <v>769</v>
      </c>
      <c r="G219" s="208" t="s">
        <v>769</v>
      </c>
      <c r="H219" s="208" t="s">
        <v>769</v>
      </c>
      <c r="I219" s="208" t="s">
        <v>769</v>
      </c>
      <c r="J219" s="208" t="s">
        <v>769</v>
      </c>
      <c r="K219" s="208" t="s">
        <v>769</v>
      </c>
      <c r="L219" s="208">
        <v>5617682</v>
      </c>
      <c r="M219" s="208" t="s">
        <v>769</v>
      </c>
      <c r="N219" s="208" t="s">
        <v>769</v>
      </c>
      <c r="O219" s="208" t="s">
        <v>769</v>
      </c>
      <c r="P219" s="208" t="s">
        <v>769</v>
      </c>
      <c r="Q219" s="208" t="s">
        <v>769</v>
      </c>
      <c r="R219" s="208" t="s">
        <v>769</v>
      </c>
      <c r="S219" s="208" t="s">
        <v>769</v>
      </c>
      <c r="T219" s="208" t="s">
        <v>769</v>
      </c>
      <c r="U219" s="208" t="s">
        <v>769</v>
      </c>
      <c r="V219" s="208">
        <v>139000</v>
      </c>
      <c r="W219" s="208" t="s">
        <v>357</v>
      </c>
      <c r="X219" s="208" t="s">
        <v>769</v>
      </c>
      <c r="Y219" s="208" t="s">
        <v>769</v>
      </c>
      <c r="Z219" s="208" t="s">
        <v>769</v>
      </c>
      <c r="AA219" s="208" t="s">
        <v>769</v>
      </c>
      <c r="AB219" s="208">
        <v>68790</v>
      </c>
      <c r="AC219" s="208">
        <v>1.0000000000000001E-5</v>
      </c>
      <c r="AD219" s="208">
        <v>1.3</v>
      </c>
      <c r="AE219" s="208">
        <v>5.6000000000000001E-2</v>
      </c>
      <c r="AF219" s="208" t="s">
        <v>769</v>
      </c>
      <c r="AG219" s="208">
        <v>131.866305266122</v>
      </c>
      <c r="AH219" s="208" t="s">
        <v>769</v>
      </c>
      <c r="AI219" s="208" t="s">
        <v>769</v>
      </c>
      <c r="AJ219" s="208">
        <v>2133.7030219299363</v>
      </c>
      <c r="AK219" s="208">
        <v>5224.5418677527387</v>
      </c>
      <c r="AL219" s="208">
        <v>14070.367027071725</v>
      </c>
      <c r="AM219" s="208">
        <v>668.78793968241882</v>
      </c>
    </row>
    <row r="220" spans="3:39" x14ac:dyDescent="0.2">
      <c r="C220" s="13" t="s">
        <v>233</v>
      </c>
      <c r="D220" s="22" t="s">
        <v>24</v>
      </c>
      <c r="E220" s="208">
        <v>1.1850000000000001</v>
      </c>
      <c r="F220" s="208">
        <v>1.2234071575331965E-7</v>
      </c>
      <c r="G220" s="208">
        <v>2.576170995737373E-7</v>
      </c>
      <c r="H220" s="208">
        <v>1.6514581863902606E-8</v>
      </c>
      <c r="I220" s="208">
        <v>1.9840571621331537E-8</v>
      </c>
      <c r="J220" s="208">
        <v>2.5584961E-4</v>
      </c>
      <c r="K220" s="208">
        <v>2.35</v>
      </c>
      <c r="L220" s="208">
        <v>30771140</v>
      </c>
      <c r="M220" s="208">
        <v>0.25140000000000001</v>
      </c>
      <c r="N220" s="208">
        <v>7735864.5959999999</v>
      </c>
      <c r="O220" s="208">
        <v>0.31379999999999997</v>
      </c>
      <c r="P220" s="208">
        <v>9655983.7319999989</v>
      </c>
      <c r="Q220" s="208">
        <v>535</v>
      </c>
      <c r="R220" s="208">
        <v>63</v>
      </c>
      <c r="S220" s="208">
        <v>0.40126430000000002</v>
      </c>
      <c r="T220" s="208" t="s">
        <v>769</v>
      </c>
      <c r="U220" s="208" t="s">
        <v>769</v>
      </c>
      <c r="V220" s="208">
        <v>263000</v>
      </c>
      <c r="W220" s="208" t="s">
        <v>356</v>
      </c>
      <c r="X220" s="208" t="s">
        <v>769</v>
      </c>
      <c r="Y220" s="208" t="s">
        <v>769</v>
      </c>
      <c r="Z220" s="208" t="s">
        <v>769</v>
      </c>
      <c r="AA220" s="208" t="s">
        <v>769</v>
      </c>
      <c r="AB220" s="208">
        <v>53130</v>
      </c>
      <c r="AC220" s="208">
        <v>1.0000000000000001E-5</v>
      </c>
      <c r="AD220" s="208">
        <v>1.3</v>
      </c>
      <c r="AE220" s="208">
        <v>5.6000000000000001E-2</v>
      </c>
      <c r="AF220" s="208" t="s">
        <v>255</v>
      </c>
      <c r="AG220" s="208">
        <v>277.04828669449802</v>
      </c>
      <c r="AH220" s="208">
        <v>300070</v>
      </c>
      <c r="AI220" s="208">
        <v>9355913.7319999989</v>
      </c>
      <c r="AJ220" s="208">
        <v>6969.75564220249</v>
      </c>
      <c r="AK220" s="208">
        <v>23224.372028486327</v>
      </c>
      <c r="AL220" s="208">
        <v>83845.970363713699</v>
      </c>
      <c r="AM220" s="208">
        <v>444.11349641008513</v>
      </c>
    </row>
    <row r="221" spans="3:39" x14ac:dyDescent="0.2">
      <c r="C221" s="13" t="s">
        <v>234</v>
      </c>
      <c r="D221" s="22" t="s">
        <v>49</v>
      </c>
      <c r="E221" s="208">
        <v>1.1839999999999999</v>
      </c>
      <c r="F221" s="208">
        <v>5.8922586562349113E-7</v>
      </c>
      <c r="G221" s="208">
        <v>3.936324317515413E-7</v>
      </c>
      <c r="H221" s="208">
        <v>9.4182436300272223E-9</v>
      </c>
      <c r="I221" s="208">
        <v>1.7479205021798919E-8</v>
      </c>
      <c r="J221" s="208">
        <v>3.8597963999999999E-4</v>
      </c>
      <c r="K221" s="208">
        <v>2.4900000000000002</v>
      </c>
      <c r="L221" s="208">
        <v>265224528</v>
      </c>
      <c r="M221" s="208">
        <v>0.52600000000000002</v>
      </c>
      <c r="N221" s="208">
        <v>139508101.72800002</v>
      </c>
      <c r="O221" s="208">
        <v>0.128</v>
      </c>
      <c r="P221" s="208">
        <v>33948739.583999999</v>
      </c>
      <c r="Q221" s="208">
        <v>2635</v>
      </c>
      <c r="R221" s="208">
        <v>223</v>
      </c>
      <c r="S221" s="208">
        <v>0.15927231931571248</v>
      </c>
      <c r="T221" s="208" t="s">
        <v>769</v>
      </c>
      <c r="U221" s="208">
        <v>1</v>
      </c>
      <c r="V221" s="208">
        <v>226000</v>
      </c>
      <c r="W221" s="208" t="s">
        <v>356</v>
      </c>
      <c r="X221" s="208" t="s">
        <v>769</v>
      </c>
      <c r="Y221" s="208" t="s">
        <v>769</v>
      </c>
      <c r="Z221" s="208" t="s">
        <v>769</v>
      </c>
      <c r="AA221" s="208" t="s">
        <v>769</v>
      </c>
      <c r="AB221" s="208">
        <v>71610</v>
      </c>
      <c r="AC221" s="208">
        <v>1.0000000000000001E-5</v>
      </c>
      <c r="AD221" s="208">
        <v>1.3</v>
      </c>
      <c r="AE221" s="208">
        <v>5.6000000000000001E-2</v>
      </c>
      <c r="AF221" s="208" t="s">
        <v>255</v>
      </c>
      <c r="AG221" s="208">
        <v>36.2997410198723</v>
      </c>
      <c r="AH221" s="208" t="s">
        <v>769</v>
      </c>
      <c r="AI221" s="208" t="s">
        <v>769</v>
      </c>
      <c r="AJ221" s="208">
        <v>4165.8554055057102</v>
      </c>
      <c r="AK221" s="208">
        <v>13865.002981022628</v>
      </c>
      <c r="AL221" s="208">
        <v>36872.795975726884</v>
      </c>
      <c r="AM221" s="208">
        <v>331.66897437615063</v>
      </c>
    </row>
    <row r="222" spans="3:39" x14ac:dyDescent="0.2">
      <c r="C222" s="13" t="s">
        <v>235</v>
      </c>
      <c r="D222" s="22" t="s">
        <v>33</v>
      </c>
      <c r="E222" s="208">
        <v>5.8999999999999997E-2</v>
      </c>
      <c r="F222" s="208">
        <v>1.6498577075098812E-7</v>
      </c>
      <c r="G222" s="208">
        <v>2.1196600790513825E-7</v>
      </c>
      <c r="H222" s="208">
        <v>2.6449802371541498E-8</v>
      </c>
      <c r="I222" s="208">
        <v>3.1441897233201572E-8</v>
      </c>
      <c r="J222" s="208">
        <v>1.12648224E-4</v>
      </c>
      <c r="K222" s="208">
        <v>3.02</v>
      </c>
      <c r="L222" s="208">
        <v>1260139.5090000001</v>
      </c>
      <c r="M222" s="208">
        <v>0.64</v>
      </c>
      <c r="N222" s="208">
        <v>806489.28576000012</v>
      </c>
      <c r="O222" s="208">
        <v>0.11</v>
      </c>
      <c r="P222" s="208">
        <v>138615.34599</v>
      </c>
      <c r="Q222" s="208">
        <v>8</v>
      </c>
      <c r="R222" s="208">
        <v>1</v>
      </c>
      <c r="S222" s="208">
        <v>0.14075852269581329</v>
      </c>
      <c r="T222" s="208" t="s">
        <v>769</v>
      </c>
      <c r="U222" s="208">
        <v>0.98</v>
      </c>
      <c r="V222" s="208">
        <v>127000</v>
      </c>
      <c r="W222" s="208" t="s">
        <v>356</v>
      </c>
      <c r="X222" s="208">
        <v>0.105</v>
      </c>
      <c r="Y222" s="208">
        <v>0.105</v>
      </c>
      <c r="Z222" s="208">
        <v>0.105</v>
      </c>
      <c r="AA222" s="208">
        <v>0.105</v>
      </c>
      <c r="AB222" s="208">
        <v>26280</v>
      </c>
      <c r="AC222" s="208">
        <v>1.0000000000000001E-5</v>
      </c>
      <c r="AD222" s="208">
        <v>1.3</v>
      </c>
      <c r="AE222" s="208">
        <v>5.6000000000000001E-2</v>
      </c>
      <c r="AF222" s="208" t="s">
        <v>255</v>
      </c>
      <c r="AG222" s="208">
        <v>19.5763912695692</v>
      </c>
      <c r="AH222" s="208" t="s">
        <v>769</v>
      </c>
      <c r="AI222" s="208" t="s">
        <v>769</v>
      </c>
      <c r="AJ222" s="208">
        <v>3720.7768100229464</v>
      </c>
      <c r="AK222" s="208">
        <v>12963.310491709037</v>
      </c>
      <c r="AL222" s="208">
        <v>32928.855288838313</v>
      </c>
      <c r="AM222" s="208">
        <v>249.01902424912316</v>
      </c>
    </row>
    <row r="223" spans="3:39" x14ac:dyDescent="0.2">
      <c r="C223" s="13" t="s">
        <v>236</v>
      </c>
      <c r="D223" s="22" t="s">
        <v>24</v>
      </c>
      <c r="E223" s="208" t="s">
        <v>769</v>
      </c>
      <c r="F223" s="208">
        <v>1.2317932584269662E-7</v>
      </c>
      <c r="G223" s="208">
        <v>3.3700738362760843E-7</v>
      </c>
      <c r="H223" s="208">
        <v>4.7524237560192622E-9</v>
      </c>
      <c r="I223" s="208">
        <v>6.2846869983948635E-9</v>
      </c>
      <c r="J223" s="208">
        <v>1.1676029000000001E-3</v>
      </c>
      <c r="K223" s="208">
        <v>5.22</v>
      </c>
      <c r="L223" s="208">
        <v>4000000</v>
      </c>
      <c r="M223" s="208" t="s">
        <v>769</v>
      </c>
      <c r="N223" s="208" t="s">
        <v>769</v>
      </c>
      <c r="O223" s="208" t="s">
        <v>769</v>
      </c>
      <c r="P223" s="208" t="s">
        <v>769</v>
      </c>
      <c r="Q223" s="208" t="s">
        <v>769</v>
      </c>
      <c r="R223" s="208" t="s">
        <v>769</v>
      </c>
      <c r="S223" s="208" t="s">
        <v>769</v>
      </c>
      <c r="T223" s="208" t="s">
        <v>769</v>
      </c>
      <c r="U223" s="208" t="s">
        <v>769</v>
      </c>
      <c r="V223" s="208">
        <v>54000</v>
      </c>
      <c r="W223" s="208" t="s">
        <v>357</v>
      </c>
      <c r="X223" s="208" t="s">
        <v>769</v>
      </c>
      <c r="Y223" s="208" t="s">
        <v>769</v>
      </c>
      <c r="Z223" s="208" t="s">
        <v>769</v>
      </c>
      <c r="AA223" s="208" t="s">
        <v>769</v>
      </c>
      <c r="AB223" s="208">
        <v>8200</v>
      </c>
      <c r="AC223" s="208">
        <v>1.0000000000000001E-5</v>
      </c>
      <c r="AD223" s="208">
        <v>1.3</v>
      </c>
      <c r="AE223" s="208">
        <v>5.6000000000000001E-2</v>
      </c>
      <c r="AF223" s="208" t="s">
        <v>769</v>
      </c>
      <c r="AG223" s="208">
        <v>79.234908193067994</v>
      </c>
      <c r="AH223" s="208" t="s">
        <v>769</v>
      </c>
      <c r="AI223" s="208" t="s">
        <v>769</v>
      </c>
      <c r="AJ223" s="208">
        <v>3955.7910857123265</v>
      </c>
      <c r="AK223" s="208">
        <v>13158.932870616763</v>
      </c>
      <c r="AL223" s="208">
        <v>33756.412672864659</v>
      </c>
      <c r="AM223" s="208">
        <v>251.52493121503153</v>
      </c>
    </row>
    <row r="224" spans="3:39" x14ac:dyDescent="0.2">
      <c r="C224" s="13" t="s">
        <v>237</v>
      </c>
      <c r="D224" s="22" t="s">
        <v>28</v>
      </c>
      <c r="E224" s="208" t="s">
        <v>769</v>
      </c>
      <c r="F224" s="208">
        <v>1.4965714285714289E-6</v>
      </c>
      <c r="G224" s="208">
        <v>6.6342857142857152E-7</v>
      </c>
      <c r="H224" s="208">
        <v>4.0114285714285718E-8</v>
      </c>
      <c r="I224" s="208">
        <v>5.5542857142857143E-8</v>
      </c>
      <c r="J224" s="208">
        <v>5.7142860000000001E-4</v>
      </c>
      <c r="K224" s="208">
        <v>5.08</v>
      </c>
      <c r="L224" s="208">
        <v>70225.489000000001</v>
      </c>
      <c r="M224" s="208" t="s">
        <v>769</v>
      </c>
      <c r="N224" s="208" t="s">
        <v>769</v>
      </c>
      <c r="O224" s="208" t="s">
        <v>769</v>
      </c>
      <c r="P224" s="208" t="s">
        <v>769</v>
      </c>
      <c r="Q224" s="208" t="s">
        <v>769</v>
      </c>
      <c r="R224" s="208" t="s">
        <v>769</v>
      </c>
      <c r="S224" s="208" t="s">
        <v>769</v>
      </c>
      <c r="T224" s="208" t="s">
        <v>769</v>
      </c>
      <c r="U224" s="208">
        <v>0.12</v>
      </c>
      <c r="V224" s="208" t="s">
        <v>769</v>
      </c>
      <c r="W224" s="208" t="s">
        <v>358</v>
      </c>
      <c r="X224" s="208" t="s">
        <v>769</v>
      </c>
      <c r="Y224" s="208" t="s">
        <v>769</v>
      </c>
      <c r="Z224" s="208" t="s">
        <v>769</v>
      </c>
      <c r="AA224" s="208" t="s">
        <v>769</v>
      </c>
      <c r="AB224" s="208">
        <v>3440</v>
      </c>
      <c r="AC224" s="208">
        <v>1.0000000000000001E-5</v>
      </c>
      <c r="AD224" s="208">
        <v>1.3</v>
      </c>
      <c r="AE224" s="208">
        <v>5.6000000000000001E-2</v>
      </c>
      <c r="AF224" s="208" t="s">
        <v>769</v>
      </c>
      <c r="AG224" s="208">
        <v>26.180229696472505</v>
      </c>
      <c r="AH224" s="208" t="s">
        <v>769</v>
      </c>
      <c r="AI224" s="208" t="s">
        <v>769</v>
      </c>
      <c r="AJ224" s="208">
        <v>837.70127209278326</v>
      </c>
      <c r="AK224" s="208">
        <v>2425.8422065005298</v>
      </c>
      <c r="AL224" s="208">
        <v>7027.7606303714674</v>
      </c>
      <c r="AM224" s="208">
        <v>72.76662226990716</v>
      </c>
    </row>
    <row r="225" spans="3:39" x14ac:dyDescent="0.2">
      <c r="C225" s="13" t="s">
        <v>238</v>
      </c>
      <c r="D225" s="22" t="s">
        <v>33</v>
      </c>
      <c r="E225" s="208">
        <v>-1.079</v>
      </c>
      <c r="F225" s="208">
        <v>1.1628029766123317E-7</v>
      </c>
      <c r="G225" s="208">
        <v>1.0161729270021265E-7</v>
      </c>
      <c r="H225" s="208">
        <v>3.6193479801559182E-9</v>
      </c>
      <c r="I225" s="208">
        <v>4.8163713678242376E-9</v>
      </c>
      <c r="J225" s="208">
        <v>1.8580202E-4</v>
      </c>
      <c r="K225" s="208">
        <v>4.33</v>
      </c>
      <c r="L225" s="208">
        <v>9779093.1400000006</v>
      </c>
      <c r="M225" s="208">
        <v>0.61</v>
      </c>
      <c r="N225" s="208">
        <v>5965246.8154000007</v>
      </c>
      <c r="O225" s="208">
        <v>0.05</v>
      </c>
      <c r="P225" s="208">
        <v>488954.65700000006</v>
      </c>
      <c r="Q225" s="208">
        <v>57</v>
      </c>
      <c r="R225" s="208">
        <v>3</v>
      </c>
      <c r="S225" s="208">
        <v>7.9045867296149375E-2</v>
      </c>
      <c r="T225" s="208" t="s">
        <v>769</v>
      </c>
      <c r="U225" s="208">
        <v>1</v>
      </c>
      <c r="V225" s="208">
        <v>27000</v>
      </c>
      <c r="W225" s="208" t="s">
        <v>357</v>
      </c>
      <c r="X225" s="208" t="s">
        <v>769</v>
      </c>
      <c r="Y225" s="208" t="s">
        <v>769</v>
      </c>
      <c r="Z225" s="208" t="s">
        <v>769</v>
      </c>
      <c r="AA225" s="208" t="s">
        <v>769</v>
      </c>
      <c r="AB225" s="208" t="s">
        <v>676</v>
      </c>
      <c r="AC225" s="208">
        <v>1.0000000000000001E-5</v>
      </c>
      <c r="AD225" s="208">
        <v>1.3</v>
      </c>
      <c r="AE225" s="208">
        <v>5.6000000000000001E-2</v>
      </c>
      <c r="AF225" s="208" t="s">
        <v>255</v>
      </c>
      <c r="AG225" s="208">
        <v>31.9708259168981</v>
      </c>
      <c r="AH225" s="208" t="s">
        <v>769</v>
      </c>
      <c r="AI225" s="208" t="s">
        <v>769</v>
      </c>
      <c r="AJ225" s="208">
        <v>3792.5521043705617</v>
      </c>
      <c r="AK225" s="208">
        <v>13007.571409390974</v>
      </c>
      <c r="AL225" s="208">
        <v>33175.144306152826</v>
      </c>
      <c r="AM225" s="208">
        <v>251.51199937863015</v>
      </c>
    </row>
    <row r="226" spans="3:39" x14ac:dyDescent="0.2">
      <c r="C226" s="13" t="s">
        <v>239</v>
      </c>
      <c r="D226" s="22" t="s">
        <v>28</v>
      </c>
      <c r="E226" s="208">
        <v>-0.77</v>
      </c>
      <c r="F226" s="208">
        <v>1.1491999676898221E-6</v>
      </c>
      <c r="G226" s="208">
        <v>5.3974784214170311E-7</v>
      </c>
      <c r="H226" s="208">
        <v>1.3196302792522501E-8</v>
      </c>
      <c r="I226" s="208">
        <v>2.8620443111008538E-8</v>
      </c>
      <c r="J226" s="208">
        <v>4.0980071999999998E-4</v>
      </c>
      <c r="K226" s="208">
        <v>3.44</v>
      </c>
      <c r="L226" s="208">
        <v>9570300</v>
      </c>
      <c r="M226" s="208">
        <v>0.62</v>
      </c>
      <c r="N226" s="208">
        <v>5933586</v>
      </c>
      <c r="O226" s="208">
        <v>0.125</v>
      </c>
      <c r="P226" s="208">
        <v>1196287.5</v>
      </c>
      <c r="Q226" s="208">
        <v>904</v>
      </c>
      <c r="R226" s="208">
        <v>8</v>
      </c>
      <c r="S226" s="208">
        <v>0.15618668654572929</v>
      </c>
      <c r="T226" s="208">
        <v>0.18</v>
      </c>
      <c r="U226" s="208">
        <v>0.72</v>
      </c>
      <c r="V226" s="208">
        <v>136000</v>
      </c>
      <c r="W226" s="208" t="s">
        <v>355</v>
      </c>
      <c r="X226" s="208" t="s">
        <v>769</v>
      </c>
      <c r="Y226" s="208" t="s">
        <v>769</v>
      </c>
      <c r="Z226" s="208" t="s">
        <v>769</v>
      </c>
      <c r="AA226" s="208" t="s">
        <v>769</v>
      </c>
      <c r="AB226" s="208">
        <v>11600</v>
      </c>
      <c r="AC226" s="208">
        <v>1.0000000000000001E-5</v>
      </c>
      <c r="AD226" s="208">
        <v>1.3</v>
      </c>
      <c r="AE226" s="208">
        <v>5.6000000000000001E-2</v>
      </c>
      <c r="AF226" s="208" t="s">
        <v>255</v>
      </c>
      <c r="AG226" s="208">
        <v>310.97323157716698</v>
      </c>
      <c r="AH226" s="208" t="s">
        <v>769</v>
      </c>
      <c r="AI226" s="208" t="s">
        <v>769</v>
      </c>
      <c r="AJ226" s="208">
        <v>6286.9304276687417</v>
      </c>
      <c r="AK226" s="208">
        <v>21307.477800530069</v>
      </c>
      <c r="AL226" s="208">
        <v>63466.399512581549</v>
      </c>
      <c r="AM226" s="208">
        <v>395.21114623348274</v>
      </c>
    </row>
    <row r="227" spans="3:39" x14ac:dyDescent="0.2">
      <c r="C227" s="13" t="s">
        <v>240</v>
      </c>
      <c r="D227" s="22" t="s">
        <v>33</v>
      </c>
      <c r="E227" s="208" t="s">
        <v>769</v>
      </c>
      <c r="F227" s="208" t="s">
        <v>769</v>
      </c>
      <c r="G227" s="208" t="s">
        <v>769</v>
      </c>
      <c r="H227" s="208" t="s">
        <v>769</v>
      </c>
      <c r="I227" s="208" t="s">
        <v>769</v>
      </c>
      <c r="J227" s="208" t="s">
        <v>769</v>
      </c>
      <c r="K227" s="208" t="s">
        <v>769</v>
      </c>
      <c r="L227" s="208">
        <v>146500</v>
      </c>
      <c r="M227" s="208" t="s">
        <v>769</v>
      </c>
      <c r="N227" s="208" t="s">
        <v>769</v>
      </c>
      <c r="O227" s="208" t="s">
        <v>769</v>
      </c>
      <c r="P227" s="208" t="s">
        <v>769</v>
      </c>
      <c r="Q227" s="208" t="s">
        <v>769</v>
      </c>
      <c r="R227" s="208" t="s">
        <v>769</v>
      </c>
      <c r="S227" s="208" t="s">
        <v>769</v>
      </c>
      <c r="T227" s="208" t="s">
        <v>769</v>
      </c>
      <c r="U227" s="208" t="s">
        <v>769</v>
      </c>
      <c r="V227" s="208" t="s">
        <v>769</v>
      </c>
      <c r="W227" s="208" t="s">
        <v>357</v>
      </c>
      <c r="X227" s="208" t="s">
        <v>769</v>
      </c>
      <c r="Y227" s="208" t="s">
        <v>769</v>
      </c>
      <c r="Z227" s="208" t="s">
        <v>769</v>
      </c>
      <c r="AA227" s="208" t="s">
        <v>769</v>
      </c>
      <c r="AB227" s="208" t="s">
        <v>676</v>
      </c>
      <c r="AC227" s="208">
        <v>1.0000000000000001E-5</v>
      </c>
      <c r="AD227" s="208">
        <v>1.3</v>
      </c>
      <c r="AE227" s="208">
        <v>5.6000000000000001E-2</v>
      </c>
      <c r="AF227" s="208" t="s">
        <v>769</v>
      </c>
      <c r="AG227" s="208">
        <v>302.48571428571398</v>
      </c>
      <c r="AH227" s="208" t="s">
        <v>769</v>
      </c>
      <c r="AI227" s="208" t="s">
        <v>769</v>
      </c>
      <c r="AJ227" s="208">
        <v>1389.8203084848692</v>
      </c>
      <c r="AK227" s="208">
        <v>4048.9561775682223</v>
      </c>
      <c r="AL227" s="208">
        <v>11466.198739639414</v>
      </c>
      <c r="AM227" s="208">
        <v>83.140048978670478</v>
      </c>
    </row>
    <row r="228" spans="3:39" x14ac:dyDescent="0.2">
      <c r="C228" s="13" t="s">
        <v>241</v>
      </c>
      <c r="D228" s="22" t="s">
        <v>26</v>
      </c>
      <c r="E228" s="208" t="s">
        <v>769</v>
      </c>
      <c r="F228" s="208" t="s">
        <v>769</v>
      </c>
      <c r="G228" s="208" t="s">
        <v>769</v>
      </c>
      <c r="H228" s="208" t="s">
        <v>769</v>
      </c>
      <c r="I228" s="208" t="s">
        <v>769</v>
      </c>
      <c r="J228" s="208" t="s">
        <v>769</v>
      </c>
      <c r="K228" s="208" t="s">
        <v>769</v>
      </c>
      <c r="L228" s="208">
        <v>1387000</v>
      </c>
      <c r="M228" s="208" t="s">
        <v>769</v>
      </c>
      <c r="N228" s="208" t="s">
        <v>769</v>
      </c>
      <c r="O228" s="208" t="s">
        <v>769</v>
      </c>
      <c r="P228" s="208" t="s">
        <v>769</v>
      </c>
      <c r="Q228" s="208" t="s">
        <v>769</v>
      </c>
      <c r="R228" s="208" t="s">
        <v>769</v>
      </c>
      <c r="S228" s="208" t="s">
        <v>769</v>
      </c>
      <c r="T228" s="208" t="s">
        <v>769</v>
      </c>
      <c r="U228" s="208">
        <v>0.91500000000000004</v>
      </c>
      <c r="V228" s="208" t="s">
        <v>769</v>
      </c>
      <c r="W228" s="208" t="s">
        <v>355</v>
      </c>
      <c r="X228" s="208" t="s">
        <v>769</v>
      </c>
      <c r="Y228" s="208" t="s">
        <v>769</v>
      </c>
      <c r="Z228" s="208" t="s">
        <v>769</v>
      </c>
      <c r="AA228" s="208" t="s">
        <v>769</v>
      </c>
      <c r="AB228" s="208">
        <v>6800</v>
      </c>
      <c r="AC228" s="208">
        <v>1.0000000000000001E-5</v>
      </c>
      <c r="AD228" s="208">
        <v>1.3</v>
      </c>
      <c r="AE228" s="208">
        <v>5.6000000000000001E-2</v>
      </c>
      <c r="AF228" s="208" t="s">
        <v>769</v>
      </c>
      <c r="AG228" s="208">
        <v>817.05377593361004</v>
      </c>
      <c r="AH228" s="208" t="s">
        <v>769</v>
      </c>
      <c r="AI228" s="208" t="s">
        <v>769</v>
      </c>
      <c r="AJ228" s="208">
        <v>3207.7683782593713</v>
      </c>
      <c r="AK228" s="208">
        <v>8520.8233739428051</v>
      </c>
      <c r="AL228" s="208">
        <v>23841.936633715653</v>
      </c>
      <c r="AM228" s="208">
        <v>350.81824282680327</v>
      </c>
    </row>
    <row r="229" spans="3:39" x14ac:dyDescent="0.2">
      <c r="C229" s="13" t="s">
        <v>242</v>
      </c>
      <c r="D229" s="22" t="s">
        <v>26</v>
      </c>
      <c r="E229" s="208" t="s">
        <v>769</v>
      </c>
      <c r="F229" s="208" t="s">
        <v>769</v>
      </c>
      <c r="G229" s="208" t="s">
        <v>769</v>
      </c>
      <c r="H229" s="208" t="s">
        <v>769</v>
      </c>
      <c r="I229" s="208" t="s">
        <v>769</v>
      </c>
      <c r="J229" s="208" t="s">
        <v>769</v>
      </c>
      <c r="K229" s="208" t="s">
        <v>769</v>
      </c>
      <c r="L229" s="208">
        <v>4836820</v>
      </c>
      <c r="M229" s="208" t="s">
        <v>769</v>
      </c>
      <c r="N229" s="208" t="s">
        <v>769</v>
      </c>
      <c r="O229" s="208" t="s">
        <v>769</v>
      </c>
      <c r="P229" s="208" t="s">
        <v>769</v>
      </c>
      <c r="Q229" s="208" t="s">
        <v>769</v>
      </c>
      <c r="R229" s="208" t="s">
        <v>769</v>
      </c>
      <c r="S229" s="208" t="s">
        <v>769</v>
      </c>
      <c r="T229" s="208" t="s">
        <v>769</v>
      </c>
      <c r="U229" s="208">
        <v>0.2</v>
      </c>
      <c r="V229" s="208" t="s">
        <v>769</v>
      </c>
      <c r="W229" s="208" t="s">
        <v>357</v>
      </c>
      <c r="X229" s="208" t="s">
        <v>769</v>
      </c>
      <c r="Y229" s="208" t="s">
        <v>769</v>
      </c>
      <c r="Z229" s="208" t="s">
        <v>769</v>
      </c>
      <c r="AA229" s="208" t="s">
        <v>769</v>
      </c>
      <c r="AB229" s="208" t="s">
        <v>676</v>
      </c>
      <c r="AC229" s="208">
        <v>1.0000000000000001E-5</v>
      </c>
      <c r="AD229" s="208">
        <v>1.3</v>
      </c>
      <c r="AE229" s="208">
        <v>5.6000000000000001E-2</v>
      </c>
      <c r="AF229" s="208" t="s">
        <v>769</v>
      </c>
      <c r="AG229" s="208">
        <v>62.468778529083103</v>
      </c>
      <c r="AH229" s="208" t="s">
        <v>769</v>
      </c>
      <c r="AI229" s="208" t="s">
        <v>769</v>
      </c>
      <c r="AJ229" s="208">
        <v>3857.8625641912863</v>
      </c>
      <c r="AK229" s="208">
        <v>13002.985363657031</v>
      </c>
      <c r="AL229" s="208">
        <v>32723.774924848436</v>
      </c>
      <c r="AM229" s="208">
        <v>350.95474980152994</v>
      </c>
    </row>
    <row r="230" spans="3:39" x14ac:dyDescent="0.2">
      <c r="C230" s="13" t="s">
        <v>243</v>
      </c>
      <c r="D230" s="22" t="s">
        <v>31</v>
      </c>
      <c r="E230" s="208" t="s">
        <v>769</v>
      </c>
      <c r="F230" s="208">
        <v>3.2765731895223425E-7</v>
      </c>
      <c r="G230" s="208">
        <v>1.4689922958397539E-7</v>
      </c>
      <c r="H230" s="208">
        <v>4.0825885978428358E-9</v>
      </c>
      <c r="I230" s="208">
        <v>8.5497688751926032E-9</v>
      </c>
      <c r="J230" s="208">
        <v>1.1196713E-4</v>
      </c>
      <c r="K230" s="208">
        <v>5</v>
      </c>
      <c r="L230" s="208">
        <v>2608268</v>
      </c>
      <c r="M230" s="208" t="s">
        <v>769</v>
      </c>
      <c r="N230" s="208" t="s">
        <v>769</v>
      </c>
      <c r="O230" s="208" t="s">
        <v>769</v>
      </c>
      <c r="P230" s="208" t="s">
        <v>769</v>
      </c>
      <c r="Q230" s="208" t="s">
        <v>769</v>
      </c>
      <c r="R230" s="208" t="s">
        <v>769</v>
      </c>
      <c r="S230" s="208" t="s">
        <v>769</v>
      </c>
      <c r="T230" s="208" t="s">
        <v>769</v>
      </c>
      <c r="U230" s="208">
        <v>0.2</v>
      </c>
      <c r="V230" s="208" t="s">
        <v>769</v>
      </c>
      <c r="W230" s="208" t="s">
        <v>355</v>
      </c>
      <c r="X230" s="208" t="s">
        <v>769</v>
      </c>
      <c r="Y230" s="208" t="s">
        <v>769</v>
      </c>
      <c r="Z230" s="208" t="s">
        <v>769</v>
      </c>
      <c r="AA230" s="208" t="s">
        <v>769</v>
      </c>
      <c r="AB230" s="208">
        <v>3220</v>
      </c>
      <c r="AC230" s="208">
        <v>1.0000000000000001E-5</v>
      </c>
      <c r="AD230" s="208">
        <v>1.3</v>
      </c>
      <c r="AE230" s="208">
        <v>5.6000000000000001E-2</v>
      </c>
      <c r="AF230" s="208" t="s">
        <v>769</v>
      </c>
      <c r="AG230" s="208">
        <v>26.1950322172749</v>
      </c>
      <c r="AH230" s="208" t="s">
        <v>769</v>
      </c>
      <c r="AI230" s="208" t="s">
        <v>769</v>
      </c>
      <c r="AJ230" s="208">
        <v>3820.8885542537264</v>
      </c>
      <c r="AK230" s="208">
        <v>12951.006693814195</v>
      </c>
      <c r="AL230" s="208">
        <v>32919.191354668204</v>
      </c>
      <c r="AM230" s="208">
        <v>237.043423608734</v>
      </c>
    </row>
    <row r="231" spans="3:39" x14ac:dyDescent="0.2">
      <c r="C231" s="13" t="s">
        <v>244</v>
      </c>
      <c r="D231" s="22" t="s">
        <v>31</v>
      </c>
      <c r="E231" s="208" t="s">
        <v>769</v>
      </c>
      <c r="F231" s="208">
        <v>9.6571108622620386E-7</v>
      </c>
      <c r="G231" s="208">
        <v>4.3228219484882428E-7</v>
      </c>
      <c r="H231" s="208">
        <v>1.192474804031355E-8</v>
      </c>
      <c r="I231" s="208">
        <v>2.5075027995520721E-8</v>
      </c>
      <c r="J231" s="208">
        <v>2.9787234000000002E-4</v>
      </c>
      <c r="K231" s="208">
        <v>4.0199999999999996</v>
      </c>
      <c r="L231" s="208">
        <v>1449752</v>
      </c>
      <c r="M231" s="208" t="s">
        <v>769</v>
      </c>
      <c r="N231" s="208" t="s">
        <v>769</v>
      </c>
      <c r="O231" s="208" t="s">
        <v>769</v>
      </c>
      <c r="P231" s="208" t="s">
        <v>769</v>
      </c>
      <c r="Q231" s="208" t="s">
        <v>769</v>
      </c>
      <c r="R231" s="208" t="s">
        <v>769</v>
      </c>
      <c r="S231" s="208" t="s">
        <v>769</v>
      </c>
      <c r="T231" s="208" t="s">
        <v>769</v>
      </c>
      <c r="U231" s="208" t="s">
        <v>769</v>
      </c>
      <c r="V231" s="208" t="s">
        <v>769</v>
      </c>
      <c r="W231" s="208" t="s">
        <v>357</v>
      </c>
      <c r="X231" s="208" t="s">
        <v>769</v>
      </c>
      <c r="Y231" s="208" t="s">
        <v>769</v>
      </c>
      <c r="Z231" s="208" t="s">
        <v>769</v>
      </c>
      <c r="AA231" s="208" t="s">
        <v>769</v>
      </c>
      <c r="AB231" s="208">
        <v>3220</v>
      </c>
      <c r="AC231" s="208">
        <v>1.0000000000000001E-5</v>
      </c>
      <c r="AD231" s="208">
        <v>1.3</v>
      </c>
      <c r="AE231" s="208">
        <v>5.6000000000000001E-2</v>
      </c>
      <c r="AF231" s="208" t="s">
        <v>769</v>
      </c>
      <c r="AG231" s="208">
        <v>41.342959803541397</v>
      </c>
      <c r="AH231" s="208" t="s">
        <v>769</v>
      </c>
      <c r="AI231" s="208" t="s">
        <v>769</v>
      </c>
      <c r="AJ231" s="208">
        <v>3813.1810127267422</v>
      </c>
      <c r="AK231" s="208">
        <v>12921.409995252076</v>
      </c>
      <c r="AL231" s="208">
        <v>32763.633028641241</v>
      </c>
      <c r="AM231" s="208">
        <v>238.20184825421128</v>
      </c>
    </row>
  </sheetData>
  <phoneticPr fontId="40"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6BAC3"/>
  </sheetPr>
  <dimension ref="B1:E994"/>
  <sheetViews>
    <sheetView showGridLines="0" zoomScaleNormal="100" workbookViewId="0"/>
  </sheetViews>
  <sheetFormatPr baseColWidth="10" defaultColWidth="14.5" defaultRowHeight="15" customHeight="1" x14ac:dyDescent="0.2"/>
  <cols>
    <col min="2" max="2" width="21.83203125" customWidth="1"/>
    <col min="3" max="3" width="28.83203125" customWidth="1"/>
    <col min="4" max="4" width="23.83203125" bestFit="1" customWidth="1"/>
    <col min="5" max="5" width="19.1640625" bestFit="1" customWidth="1"/>
    <col min="6" max="6" width="8.5" customWidth="1"/>
    <col min="7" max="7" width="13.1640625" customWidth="1"/>
    <col min="8" max="9" width="24.5" customWidth="1"/>
    <col min="10" max="26" width="8.5" customWidth="1"/>
  </cols>
  <sheetData>
    <row r="1" spans="2:5" ht="14.25" customHeight="1" x14ac:dyDescent="0.2"/>
    <row r="2" spans="2:5" ht="21" x14ac:dyDescent="0.25">
      <c r="B2" s="1" t="s">
        <v>822</v>
      </c>
    </row>
    <row r="3" spans="2:5" ht="14.25" customHeight="1" x14ac:dyDescent="0.2"/>
    <row r="4" spans="2:5" ht="14.25" customHeight="1" x14ac:dyDescent="0.2">
      <c r="B4" s="3" t="s">
        <v>813</v>
      </c>
    </row>
    <row r="5" spans="2:5" ht="14.25" customHeight="1" x14ac:dyDescent="0.2">
      <c r="B5" s="188" t="s">
        <v>829</v>
      </c>
    </row>
    <row r="6" spans="2:5" ht="14.25" customHeight="1" x14ac:dyDescent="0.2">
      <c r="B6" s="129"/>
    </row>
    <row r="7" spans="2:5" ht="14.25" customHeight="1" x14ac:dyDescent="0.2"/>
    <row r="8" spans="2:5" ht="14.25" customHeight="1" x14ac:dyDescent="0.2">
      <c r="C8" s="209" t="s">
        <v>349</v>
      </c>
      <c r="D8" s="209" t="s">
        <v>350</v>
      </c>
      <c r="E8" s="209" t="s">
        <v>657</v>
      </c>
    </row>
    <row r="9" spans="2:5" ht="14.25" customHeight="1" x14ac:dyDescent="0.2">
      <c r="B9" s="198" t="s">
        <v>789</v>
      </c>
      <c r="C9" s="210" t="s">
        <v>1</v>
      </c>
      <c r="D9" s="210" t="s">
        <v>1</v>
      </c>
      <c r="E9" s="210" t="s">
        <v>1</v>
      </c>
    </row>
    <row r="10" spans="2:5" ht="14.25" customHeight="1" x14ac:dyDescent="0.2">
      <c r="B10" s="198" t="s">
        <v>800</v>
      </c>
      <c r="C10" s="210">
        <v>2024</v>
      </c>
      <c r="D10" s="210">
        <v>2024</v>
      </c>
      <c r="E10" s="210">
        <v>2025</v>
      </c>
    </row>
    <row r="11" spans="2:5" ht="14.25" customHeight="1" x14ac:dyDescent="0.2">
      <c r="B11" s="193" t="s">
        <v>801</v>
      </c>
      <c r="C11" s="312" t="s">
        <v>352</v>
      </c>
      <c r="D11" s="312" t="s">
        <v>351</v>
      </c>
      <c r="E11" s="312" t="s">
        <v>658</v>
      </c>
    </row>
    <row r="12" spans="2:5" ht="14.25" customHeight="1" x14ac:dyDescent="0.2">
      <c r="B12" s="194"/>
      <c r="C12" s="22" t="s">
        <v>34</v>
      </c>
      <c r="D12" s="22" t="s">
        <v>33</v>
      </c>
      <c r="E12" s="311" t="s">
        <v>578</v>
      </c>
    </row>
    <row r="13" spans="2:5" ht="14.25" customHeight="1" x14ac:dyDescent="0.2">
      <c r="C13" s="22" t="s">
        <v>37</v>
      </c>
      <c r="D13" s="22" t="s">
        <v>28</v>
      </c>
      <c r="E13" s="311" t="s">
        <v>579</v>
      </c>
    </row>
    <row r="14" spans="2:5" ht="14.25" customHeight="1" x14ac:dyDescent="0.2">
      <c r="C14" s="22" t="s">
        <v>38</v>
      </c>
      <c r="D14" s="22" t="s">
        <v>24</v>
      </c>
      <c r="E14" s="311" t="s">
        <v>579</v>
      </c>
    </row>
    <row r="15" spans="2:5" ht="14.25" customHeight="1" x14ac:dyDescent="0.2">
      <c r="C15" s="22" t="s">
        <v>42</v>
      </c>
      <c r="D15" s="22" t="s">
        <v>22</v>
      </c>
      <c r="E15" s="311" t="s">
        <v>580</v>
      </c>
    </row>
    <row r="16" spans="2:5" ht="14.25" customHeight="1" x14ac:dyDescent="0.2">
      <c r="C16" s="22" t="s">
        <v>45</v>
      </c>
      <c r="D16" s="22" t="s">
        <v>24</v>
      </c>
      <c r="E16" s="311" t="s">
        <v>579</v>
      </c>
    </row>
    <row r="17" spans="3:5" ht="14.25" customHeight="1" x14ac:dyDescent="0.2">
      <c r="C17" s="22" t="s">
        <v>51</v>
      </c>
      <c r="D17" s="22" t="s">
        <v>33</v>
      </c>
      <c r="E17" s="311" t="s">
        <v>580</v>
      </c>
    </row>
    <row r="18" spans="3:5" ht="14.25" customHeight="1" x14ac:dyDescent="0.2">
      <c r="C18" s="22" t="s">
        <v>54</v>
      </c>
      <c r="D18" s="22" t="s">
        <v>33</v>
      </c>
      <c r="E18" s="311" t="s">
        <v>578</v>
      </c>
    </row>
    <row r="19" spans="3:5" ht="14.25" customHeight="1" x14ac:dyDescent="0.2">
      <c r="C19" s="22" t="s">
        <v>57</v>
      </c>
      <c r="D19" s="22" t="s">
        <v>24</v>
      </c>
      <c r="E19" s="311" t="s">
        <v>578</v>
      </c>
    </row>
    <row r="20" spans="3:5" ht="14.25" customHeight="1" x14ac:dyDescent="0.2">
      <c r="C20" s="22" t="s">
        <v>63</v>
      </c>
      <c r="D20" s="22" t="s">
        <v>49</v>
      </c>
      <c r="E20" s="311" t="s">
        <v>579</v>
      </c>
    </row>
    <row r="21" spans="3:5" ht="14.25" customHeight="1" x14ac:dyDescent="0.2">
      <c r="C21" s="22" t="s">
        <v>68</v>
      </c>
      <c r="D21" s="22" t="s">
        <v>33</v>
      </c>
      <c r="E21" s="311" t="s">
        <v>579</v>
      </c>
    </row>
    <row r="22" spans="3:5" ht="14.25" customHeight="1" x14ac:dyDescent="0.2">
      <c r="C22" s="22" t="s">
        <v>69</v>
      </c>
      <c r="D22" s="22" t="s">
        <v>28</v>
      </c>
      <c r="E22" s="311" t="s">
        <v>578</v>
      </c>
    </row>
    <row r="23" spans="3:5" ht="14.25" customHeight="1" x14ac:dyDescent="0.2">
      <c r="C23" s="22" t="s">
        <v>70</v>
      </c>
      <c r="D23" s="22" t="s">
        <v>33</v>
      </c>
      <c r="E23" s="311" t="s">
        <v>578</v>
      </c>
    </row>
    <row r="24" spans="3:5" ht="14.25" customHeight="1" x14ac:dyDescent="0.2">
      <c r="C24" s="22" t="s">
        <v>74</v>
      </c>
      <c r="D24" s="22" t="s">
        <v>33</v>
      </c>
      <c r="E24" s="311" t="s">
        <v>578</v>
      </c>
    </row>
    <row r="25" spans="3:5" ht="14.25" customHeight="1" x14ac:dyDescent="0.2">
      <c r="C25" s="22" t="s">
        <v>80</v>
      </c>
      <c r="D25" s="22" t="s">
        <v>24</v>
      </c>
      <c r="E25" s="311" t="s">
        <v>579</v>
      </c>
    </row>
    <row r="26" spans="3:5" ht="14.25" customHeight="1" x14ac:dyDescent="0.2">
      <c r="C26" s="22" t="s">
        <v>81</v>
      </c>
      <c r="D26" s="22" t="s">
        <v>24</v>
      </c>
      <c r="E26" s="311" t="s">
        <v>579</v>
      </c>
    </row>
    <row r="27" spans="3:5" ht="14.25" customHeight="1" x14ac:dyDescent="0.2">
      <c r="C27" s="22" t="s">
        <v>84</v>
      </c>
      <c r="D27" s="22" t="s">
        <v>33</v>
      </c>
      <c r="E27" s="311" t="s">
        <v>578</v>
      </c>
    </row>
    <row r="28" spans="3:5" ht="14.25" customHeight="1" x14ac:dyDescent="0.2">
      <c r="C28" s="22" t="s">
        <v>85</v>
      </c>
      <c r="D28" s="22" t="s">
        <v>33</v>
      </c>
      <c r="E28" s="311" t="s">
        <v>578</v>
      </c>
    </row>
    <row r="29" spans="3:5" ht="14.25" customHeight="1" x14ac:dyDescent="0.2">
      <c r="C29" s="22" t="s">
        <v>86</v>
      </c>
      <c r="D29" s="22" t="s">
        <v>26</v>
      </c>
      <c r="E29" s="311" t="s">
        <v>580</v>
      </c>
    </row>
    <row r="30" spans="3:5" ht="14.25" customHeight="1" x14ac:dyDescent="0.2">
      <c r="C30" s="22" t="s">
        <v>90</v>
      </c>
      <c r="D30" s="22" t="s">
        <v>24</v>
      </c>
      <c r="E30" s="311" t="s">
        <v>579</v>
      </c>
    </row>
    <row r="31" spans="3:5" ht="14.25" customHeight="1" x14ac:dyDescent="0.2">
      <c r="C31" s="22" t="s">
        <v>95</v>
      </c>
      <c r="D31" s="22" t="s">
        <v>24</v>
      </c>
      <c r="E31" s="311" t="s">
        <v>579</v>
      </c>
    </row>
    <row r="32" spans="3:5" ht="14.25" customHeight="1" x14ac:dyDescent="0.2">
      <c r="C32" s="22" t="s">
        <v>96</v>
      </c>
      <c r="D32" s="22" t="s">
        <v>24</v>
      </c>
      <c r="E32" s="311" t="s">
        <v>579</v>
      </c>
    </row>
    <row r="33" spans="3:5" ht="14.25" customHeight="1" x14ac:dyDescent="0.2">
      <c r="C33" s="22" t="s">
        <v>101</v>
      </c>
      <c r="D33" s="22" t="s">
        <v>24</v>
      </c>
      <c r="E33" s="311" t="s">
        <v>579</v>
      </c>
    </row>
    <row r="34" spans="3:5" ht="14.25" customHeight="1" x14ac:dyDescent="0.2">
      <c r="C34" s="22" t="s">
        <v>104</v>
      </c>
      <c r="D34" s="22" t="s">
        <v>24</v>
      </c>
      <c r="E34" s="311" t="s">
        <v>579</v>
      </c>
    </row>
    <row r="35" spans="3:5" ht="14.25" customHeight="1" x14ac:dyDescent="0.2">
      <c r="C35" s="22" t="s">
        <v>108</v>
      </c>
      <c r="D35" s="22" t="s">
        <v>33</v>
      </c>
      <c r="E35" s="311" t="s">
        <v>578</v>
      </c>
    </row>
    <row r="36" spans="3:5" ht="14.25" customHeight="1" x14ac:dyDescent="0.2">
      <c r="C36" s="22" t="s">
        <v>115</v>
      </c>
      <c r="D36" s="22" t="s">
        <v>24</v>
      </c>
      <c r="E36" s="311" t="s">
        <v>579</v>
      </c>
    </row>
    <row r="37" spans="3:5" ht="14.25" customHeight="1" x14ac:dyDescent="0.2">
      <c r="C37" s="22" t="s">
        <v>117</v>
      </c>
      <c r="D37" s="22" t="s">
        <v>22</v>
      </c>
      <c r="E37" s="311" t="s">
        <v>580</v>
      </c>
    </row>
    <row r="38" spans="3:5" ht="14.25" customHeight="1" x14ac:dyDescent="0.2">
      <c r="C38" s="22" t="s">
        <v>118</v>
      </c>
      <c r="D38" s="22" t="s">
        <v>28</v>
      </c>
      <c r="E38" s="311" t="s">
        <v>578</v>
      </c>
    </row>
    <row r="39" spans="3:5" ht="14.25" customHeight="1" x14ac:dyDescent="0.2">
      <c r="C39" s="22" t="s">
        <v>121</v>
      </c>
      <c r="D39" s="22" t="s">
        <v>24</v>
      </c>
      <c r="E39" s="311" t="s">
        <v>579</v>
      </c>
    </row>
    <row r="40" spans="3:5" ht="14.25" customHeight="1" x14ac:dyDescent="0.2">
      <c r="C40" s="22" t="s">
        <v>123</v>
      </c>
      <c r="D40" s="22" t="s">
        <v>26</v>
      </c>
      <c r="E40" s="311" t="s">
        <v>579</v>
      </c>
    </row>
    <row r="41" spans="3:5" ht="14.25" customHeight="1" x14ac:dyDescent="0.2">
      <c r="C41" s="22" t="s">
        <v>124</v>
      </c>
      <c r="D41" s="22" t="s">
        <v>24</v>
      </c>
      <c r="E41" s="311" t="s">
        <v>579</v>
      </c>
    </row>
    <row r="42" spans="3:5" ht="14.25" customHeight="1" x14ac:dyDescent="0.2">
      <c r="C42" s="22" t="s">
        <v>125</v>
      </c>
      <c r="D42" s="22" t="s">
        <v>33</v>
      </c>
      <c r="E42" s="311" t="s">
        <v>578</v>
      </c>
    </row>
    <row r="43" spans="3:5" ht="14.25" customHeight="1" x14ac:dyDescent="0.2">
      <c r="C43" s="22" t="s">
        <v>126</v>
      </c>
      <c r="D43" s="22" t="s">
        <v>28</v>
      </c>
      <c r="E43" s="311" t="s">
        <v>579</v>
      </c>
    </row>
    <row r="44" spans="3:5" ht="14.25" customHeight="1" x14ac:dyDescent="0.2">
      <c r="C44" s="22" t="s">
        <v>127</v>
      </c>
      <c r="D44" s="22" t="s">
        <v>26</v>
      </c>
      <c r="E44" s="311" t="s">
        <v>580</v>
      </c>
    </row>
    <row r="45" spans="3:5" ht="14.25" customHeight="1" x14ac:dyDescent="0.2">
      <c r="C45" s="22" t="s">
        <v>132</v>
      </c>
      <c r="D45" s="22" t="s">
        <v>28</v>
      </c>
      <c r="E45" s="311" t="s">
        <v>579</v>
      </c>
    </row>
    <row r="46" spans="3:5" ht="14.25" customHeight="1" x14ac:dyDescent="0.2">
      <c r="C46" s="22" t="s">
        <v>137</v>
      </c>
      <c r="D46" s="22" t="s">
        <v>24</v>
      </c>
      <c r="E46" s="311" t="s">
        <v>579</v>
      </c>
    </row>
    <row r="47" spans="3:5" ht="14.25" customHeight="1" x14ac:dyDescent="0.2">
      <c r="C47" s="22" t="s">
        <v>143</v>
      </c>
      <c r="D47" s="22" t="s">
        <v>24</v>
      </c>
      <c r="E47" s="311" t="s">
        <v>579</v>
      </c>
    </row>
    <row r="48" spans="3:5" ht="14.25" customHeight="1" x14ac:dyDescent="0.2">
      <c r="C48" s="22" t="s">
        <v>148</v>
      </c>
      <c r="D48" s="22" t="s">
        <v>28</v>
      </c>
      <c r="E48" s="311" t="s">
        <v>578</v>
      </c>
    </row>
    <row r="49" spans="3:5" ht="14.25" customHeight="1" x14ac:dyDescent="0.2">
      <c r="C49" s="22" t="s">
        <v>154</v>
      </c>
      <c r="D49" s="22" t="s">
        <v>31</v>
      </c>
      <c r="E49" s="311" t="s">
        <v>578</v>
      </c>
    </row>
    <row r="50" spans="3:5" ht="14.25" customHeight="1" x14ac:dyDescent="0.2">
      <c r="C50" s="22" t="s">
        <v>155</v>
      </c>
      <c r="D50" s="22" t="s">
        <v>33</v>
      </c>
      <c r="E50" s="311" t="s">
        <v>578</v>
      </c>
    </row>
    <row r="51" spans="3:5" ht="14.25" customHeight="1" x14ac:dyDescent="0.2">
      <c r="C51" s="22" t="s">
        <v>167</v>
      </c>
      <c r="D51" s="22" t="s">
        <v>24</v>
      </c>
      <c r="E51" s="311" t="s">
        <v>579</v>
      </c>
    </row>
    <row r="52" spans="3:5" ht="14.25" customHeight="1" x14ac:dyDescent="0.2">
      <c r="C52" s="22" t="s">
        <v>169</v>
      </c>
      <c r="D52" s="22" t="s">
        <v>28</v>
      </c>
      <c r="E52" s="311" t="s">
        <v>579</v>
      </c>
    </row>
    <row r="53" spans="3:5" ht="14.25" customHeight="1" x14ac:dyDescent="0.2">
      <c r="C53" s="22" t="s">
        <v>175</v>
      </c>
      <c r="D53" s="22" t="s">
        <v>24</v>
      </c>
      <c r="E53" s="311" t="s">
        <v>579</v>
      </c>
    </row>
    <row r="54" spans="3:5" ht="14.25" customHeight="1" x14ac:dyDescent="0.2">
      <c r="C54" s="22" t="s">
        <v>179</v>
      </c>
      <c r="D54" s="22" t="s">
        <v>33</v>
      </c>
      <c r="E54" s="311" t="s">
        <v>579</v>
      </c>
    </row>
    <row r="55" spans="3:5" ht="14.25" customHeight="1" x14ac:dyDescent="0.2">
      <c r="C55" s="22" t="s">
        <v>182</v>
      </c>
      <c r="D55" s="22" t="s">
        <v>33</v>
      </c>
      <c r="E55" s="311" t="s">
        <v>578</v>
      </c>
    </row>
    <row r="56" spans="3:5" ht="14.25" customHeight="1" x14ac:dyDescent="0.2">
      <c r="C56" s="22" t="s">
        <v>183</v>
      </c>
      <c r="D56" s="22" t="s">
        <v>28</v>
      </c>
      <c r="E56" s="311" t="s">
        <v>580</v>
      </c>
    </row>
    <row r="57" spans="3:5" ht="14.25" customHeight="1" x14ac:dyDescent="0.2">
      <c r="C57" s="22" t="s">
        <v>184</v>
      </c>
      <c r="D57" s="22" t="s">
        <v>24</v>
      </c>
      <c r="E57" s="311" t="s">
        <v>579</v>
      </c>
    </row>
    <row r="58" spans="3:5" ht="14.25" customHeight="1" x14ac:dyDescent="0.2">
      <c r="C58" s="22" t="s">
        <v>185</v>
      </c>
      <c r="D58" s="22" t="s">
        <v>24</v>
      </c>
      <c r="E58" s="311" t="s">
        <v>579</v>
      </c>
    </row>
    <row r="59" spans="3:5" ht="14.25" customHeight="1" x14ac:dyDescent="0.2">
      <c r="C59" s="22" t="s">
        <v>188</v>
      </c>
      <c r="D59" s="22" t="s">
        <v>24</v>
      </c>
      <c r="E59" s="311" t="s">
        <v>579</v>
      </c>
    </row>
    <row r="60" spans="3:5" ht="14.25" customHeight="1" x14ac:dyDescent="0.2">
      <c r="C60" s="22" t="s">
        <v>189</v>
      </c>
      <c r="D60" s="22" t="s">
        <v>24</v>
      </c>
      <c r="E60" s="311" t="s">
        <v>578</v>
      </c>
    </row>
    <row r="61" spans="3:5" ht="14.25" customHeight="1" x14ac:dyDescent="0.2">
      <c r="C61" s="22" t="s">
        <v>201</v>
      </c>
      <c r="D61" s="22" t="s">
        <v>24</v>
      </c>
      <c r="E61" s="311" t="s">
        <v>579</v>
      </c>
    </row>
    <row r="62" spans="3:5" ht="14.25" customHeight="1" x14ac:dyDescent="0.2">
      <c r="C62" s="22" t="s">
        <v>202</v>
      </c>
      <c r="D62" s="22" t="s">
        <v>24</v>
      </c>
      <c r="E62" s="311" t="s">
        <v>579</v>
      </c>
    </row>
    <row r="63" spans="3:5" ht="14.25" customHeight="1" x14ac:dyDescent="0.2">
      <c r="C63" s="22" t="s">
        <v>205</v>
      </c>
      <c r="D63" s="22" t="s">
        <v>31</v>
      </c>
      <c r="E63" s="311" t="s">
        <v>578</v>
      </c>
    </row>
    <row r="64" spans="3:5" ht="14.25" customHeight="1" x14ac:dyDescent="0.2">
      <c r="C64" s="22" t="s">
        <v>207</v>
      </c>
      <c r="D64" s="22" t="s">
        <v>24</v>
      </c>
      <c r="E64" s="311" t="s">
        <v>579</v>
      </c>
    </row>
    <row r="65" spans="3:5" ht="14.25" customHeight="1" x14ac:dyDescent="0.2">
      <c r="C65" s="22" t="s">
        <v>208</v>
      </c>
      <c r="D65" s="22" t="s">
        <v>22</v>
      </c>
      <c r="E65" s="311" t="s">
        <v>580</v>
      </c>
    </row>
    <row r="66" spans="3:5" ht="14.25" customHeight="1" x14ac:dyDescent="0.2">
      <c r="C66" s="22" t="s">
        <v>215</v>
      </c>
      <c r="D66" s="22" t="s">
        <v>24</v>
      </c>
      <c r="E66" s="311" t="s">
        <v>579</v>
      </c>
    </row>
    <row r="67" spans="3:5" ht="14.25" customHeight="1" x14ac:dyDescent="0.2">
      <c r="C67" s="22" t="s">
        <v>221</v>
      </c>
      <c r="D67" s="22" t="s">
        <v>28</v>
      </c>
      <c r="E67" s="311" t="s">
        <v>578</v>
      </c>
    </row>
    <row r="68" spans="3:5" ht="14.25" customHeight="1" x14ac:dyDescent="0.2">
      <c r="C68" s="22" t="s">
        <v>231</v>
      </c>
      <c r="D68" s="22" t="s">
        <v>24</v>
      </c>
      <c r="E68" s="311" t="s">
        <v>580</v>
      </c>
    </row>
    <row r="69" spans="3:5" ht="14.25" customHeight="1" x14ac:dyDescent="0.2">
      <c r="C69" s="22" t="s">
        <v>233</v>
      </c>
      <c r="D69" s="22" t="s">
        <v>24</v>
      </c>
      <c r="E69" s="311" t="s">
        <v>579</v>
      </c>
    </row>
    <row r="70" spans="3:5" ht="14.25" customHeight="1" x14ac:dyDescent="0.2">
      <c r="C70" s="22" t="s">
        <v>234</v>
      </c>
      <c r="D70" s="22" t="s">
        <v>49</v>
      </c>
      <c r="E70" s="311" t="s">
        <v>579</v>
      </c>
    </row>
    <row r="71" spans="3:5" ht="14.25" customHeight="1" x14ac:dyDescent="0.2">
      <c r="C71" s="22" t="s">
        <v>235</v>
      </c>
      <c r="D71" s="22" t="s">
        <v>33</v>
      </c>
      <c r="E71" s="311" t="s">
        <v>579</v>
      </c>
    </row>
    <row r="72" spans="3:5" ht="14.25" customHeight="1" x14ac:dyDescent="0.2">
      <c r="C72" s="22" t="s">
        <v>238</v>
      </c>
      <c r="D72" s="22" t="s">
        <v>33</v>
      </c>
      <c r="E72" s="311" t="s">
        <v>578</v>
      </c>
    </row>
    <row r="73" spans="3:5" ht="14.25" customHeight="1" x14ac:dyDescent="0.2">
      <c r="C73" s="22" t="s">
        <v>239</v>
      </c>
      <c r="D73" s="22" t="s">
        <v>28</v>
      </c>
      <c r="E73" s="311" t="s">
        <v>580</v>
      </c>
    </row>
    <row r="74" spans="3:5" ht="14.25" customHeight="1" x14ac:dyDescent="0.2"/>
    <row r="75" spans="3:5" ht="14.25" customHeight="1" x14ac:dyDescent="0.2"/>
    <row r="76" spans="3:5" ht="14.25" customHeight="1" x14ac:dyDescent="0.2"/>
    <row r="77" spans="3:5" ht="14.25" customHeight="1" x14ac:dyDescent="0.2"/>
    <row r="78" spans="3:5" ht="14.25" customHeight="1" x14ac:dyDescent="0.2"/>
    <row r="79" spans="3:5" ht="14.25" customHeight="1" x14ac:dyDescent="0.2"/>
    <row r="80" spans="3:5"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sheetData>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C65E9-AAC4-4E2D-AC72-0F8B632B1114}">
  <sheetPr codeName="Sheet18">
    <tabColor rgb="FFF6BAC3"/>
  </sheetPr>
  <dimension ref="A2:J31"/>
  <sheetViews>
    <sheetView showGridLines="0" zoomScaleNormal="100" workbookViewId="0"/>
  </sheetViews>
  <sheetFormatPr baseColWidth="10" defaultColWidth="8.83203125" defaultRowHeight="15" x14ac:dyDescent="0.2"/>
  <cols>
    <col min="1" max="1" width="26" customWidth="1"/>
    <col min="2" max="2" width="19.83203125" customWidth="1"/>
    <col min="3" max="3" width="17.83203125" bestFit="1" customWidth="1"/>
    <col min="4" max="4" width="28.1640625" customWidth="1"/>
    <col min="5" max="5" width="18" bestFit="1" customWidth="1"/>
    <col min="6" max="6" width="14.6640625" customWidth="1"/>
    <col min="7" max="7" width="6.1640625" customWidth="1"/>
  </cols>
  <sheetData>
    <row r="2" spans="1:10" ht="21" x14ac:dyDescent="0.25">
      <c r="A2" s="1" t="s">
        <v>822</v>
      </c>
    </row>
    <row r="3" spans="1:10" ht="21" x14ac:dyDescent="0.25">
      <c r="A3" s="1"/>
    </row>
    <row r="4" spans="1:10" x14ac:dyDescent="0.2">
      <c r="A4" s="3" t="s">
        <v>814</v>
      </c>
    </row>
    <row r="5" spans="1:10" x14ac:dyDescent="0.2">
      <c r="A5" s="10" t="s">
        <v>830</v>
      </c>
    </row>
    <row r="6" spans="1:10" ht="16" thickBot="1" x14ac:dyDescent="0.25"/>
    <row r="7" spans="1:10" x14ac:dyDescent="0.2">
      <c r="A7" s="246" t="s">
        <v>809</v>
      </c>
    </row>
    <row r="8" spans="1:10" x14ac:dyDescent="0.2">
      <c r="A8" s="244" t="s">
        <v>673</v>
      </c>
    </row>
    <row r="9" spans="1:10" ht="16" thickBot="1" x14ac:dyDescent="0.25">
      <c r="A9" s="245" t="s">
        <v>674</v>
      </c>
    </row>
    <row r="10" spans="1:10" x14ac:dyDescent="0.2">
      <c r="B10" s="153"/>
    </row>
    <row r="11" spans="1:10" ht="45" x14ac:dyDescent="0.2">
      <c r="B11" s="212" t="s">
        <v>16</v>
      </c>
      <c r="C11" s="213" t="s">
        <v>479</v>
      </c>
      <c r="D11" s="214" t="s">
        <v>480</v>
      </c>
    </row>
    <row r="12" spans="1:10" ht="16" x14ac:dyDescent="0.2">
      <c r="A12" s="16"/>
      <c r="B12" s="323">
        <v>2005</v>
      </c>
      <c r="C12" s="323">
        <v>3.4</v>
      </c>
      <c r="D12" s="324">
        <v>1</v>
      </c>
      <c r="F12" s="154"/>
      <c r="G12" s="211">
        <v>2005</v>
      </c>
      <c r="H12" s="211">
        <v>2023</v>
      </c>
      <c r="J12" s="70"/>
    </row>
    <row r="13" spans="1:10" ht="16" x14ac:dyDescent="0.2">
      <c r="A13" s="16"/>
      <c r="B13" s="323">
        <v>2006</v>
      </c>
      <c r="C13" s="323">
        <v>3.2</v>
      </c>
      <c r="D13" s="325">
        <f>(C13/100+1)*D12</f>
        <v>1.032</v>
      </c>
      <c r="F13" s="211" t="s">
        <v>481</v>
      </c>
      <c r="G13" s="217">
        <v>1</v>
      </c>
      <c r="H13" s="215">
        <f>G13*$D$30</f>
        <v>1.5592698264691909</v>
      </c>
    </row>
    <row r="14" spans="1:10" ht="16" x14ac:dyDescent="0.2">
      <c r="A14" s="16"/>
      <c r="B14" s="323">
        <v>2007</v>
      </c>
      <c r="C14" s="323">
        <v>2.9</v>
      </c>
      <c r="D14" s="325">
        <f>(C14/100+1)*D13</f>
        <v>1.061928</v>
      </c>
    </row>
    <row r="15" spans="1:10" ht="16" x14ac:dyDescent="0.2">
      <c r="A15" s="16"/>
      <c r="B15" s="323">
        <v>2008</v>
      </c>
      <c r="C15" s="323">
        <v>3.8</v>
      </c>
      <c r="D15" s="325">
        <f t="shared" ref="D15:D29" si="0">(C15/100+1)*D14</f>
        <v>1.1022812639999999</v>
      </c>
    </row>
    <row r="16" spans="1:10" ht="16" x14ac:dyDescent="0.2">
      <c r="A16" s="16"/>
      <c r="B16" s="323">
        <v>2009</v>
      </c>
      <c r="C16" s="323">
        <v>-0.4</v>
      </c>
      <c r="D16" s="325">
        <f>(C16/100+1)*D15</f>
        <v>1.0978721389439998</v>
      </c>
    </row>
    <row r="17" spans="1:7" ht="16" x14ac:dyDescent="0.2">
      <c r="A17" s="16"/>
      <c r="B17" s="323">
        <v>2010</v>
      </c>
      <c r="C17" s="323">
        <v>1.6</v>
      </c>
      <c r="D17" s="325">
        <f t="shared" si="0"/>
        <v>1.1154380931671037</v>
      </c>
    </row>
    <row r="18" spans="1:7" ht="16" x14ac:dyDescent="0.2">
      <c r="A18" s="16"/>
      <c r="B18" s="323">
        <v>2011</v>
      </c>
      <c r="C18" s="323">
        <v>3.2</v>
      </c>
      <c r="D18" s="325">
        <f t="shared" si="0"/>
        <v>1.151132112148451</v>
      </c>
    </row>
    <row r="19" spans="1:7" ht="16" x14ac:dyDescent="0.2">
      <c r="A19" s="16"/>
      <c r="B19" s="323">
        <v>2012</v>
      </c>
      <c r="C19" s="323">
        <v>2.1</v>
      </c>
      <c r="D19" s="325">
        <f t="shared" si="0"/>
        <v>1.1753058865035684</v>
      </c>
    </row>
    <row r="20" spans="1:7" ht="16" x14ac:dyDescent="0.2">
      <c r="A20" s="16"/>
      <c r="B20" s="323">
        <v>2013</v>
      </c>
      <c r="C20" s="323">
        <v>1.5</v>
      </c>
      <c r="D20" s="325">
        <f t="shared" si="0"/>
        <v>1.1929354748011218</v>
      </c>
    </row>
    <row r="21" spans="1:7" ht="16" x14ac:dyDescent="0.2">
      <c r="A21" s="16"/>
      <c r="B21" s="323">
        <v>2014</v>
      </c>
      <c r="C21" s="323">
        <v>1.6</v>
      </c>
      <c r="D21" s="325">
        <f t="shared" si="0"/>
        <v>1.2120224423979398</v>
      </c>
      <c r="G21" s="181"/>
    </row>
    <row r="22" spans="1:7" ht="16" x14ac:dyDescent="0.2">
      <c r="A22" s="16"/>
      <c r="B22" s="323">
        <v>2015</v>
      </c>
      <c r="C22" s="323">
        <v>0.1</v>
      </c>
      <c r="D22" s="325">
        <f t="shared" si="0"/>
        <v>1.2132344648403375</v>
      </c>
    </row>
    <row r="23" spans="1:7" ht="16" x14ac:dyDescent="0.2">
      <c r="A23" s="16"/>
      <c r="B23" s="323">
        <v>2016</v>
      </c>
      <c r="C23" s="323">
        <v>1.3</v>
      </c>
      <c r="D23" s="325">
        <f t="shared" si="0"/>
        <v>1.2290065128832617</v>
      </c>
      <c r="G23" s="78"/>
    </row>
    <row r="24" spans="1:7" ht="16" x14ac:dyDescent="0.2">
      <c r="A24" s="16"/>
      <c r="B24" s="323">
        <v>2017</v>
      </c>
      <c r="C24" s="323">
        <v>2.1</v>
      </c>
      <c r="D24" s="325">
        <f t="shared" si="0"/>
        <v>1.2548156496538101</v>
      </c>
    </row>
    <row r="25" spans="1:7" ht="16" x14ac:dyDescent="0.2">
      <c r="A25" s="16"/>
      <c r="B25" s="323">
        <v>2018</v>
      </c>
      <c r="C25" s="323">
        <v>2.4</v>
      </c>
      <c r="D25" s="325">
        <f t="shared" si="0"/>
        <v>1.2849312252455016</v>
      </c>
    </row>
    <row r="26" spans="1:7" ht="16" x14ac:dyDescent="0.2">
      <c r="A26" s="16"/>
      <c r="B26" s="323">
        <v>2019</v>
      </c>
      <c r="C26" s="323">
        <v>1.8</v>
      </c>
      <c r="D26" s="325">
        <f t="shared" si="0"/>
        <v>1.3080599872999208</v>
      </c>
    </row>
    <row r="27" spans="1:7" ht="16" x14ac:dyDescent="0.2">
      <c r="A27" s="16"/>
      <c r="B27" s="323">
        <v>2020</v>
      </c>
      <c r="C27" s="323">
        <v>1.2</v>
      </c>
      <c r="D27" s="325">
        <f t="shared" si="0"/>
        <v>1.3237567071475198</v>
      </c>
    </row>
    <row r="28" spans="1:7" ht="16" x14ac:dyDescent="0.2">
      <c r="A28" s="16"/>
      <c r="B28" s="323">
        <v>2021</v>
      </c>
      <c r="C28" s="323">
        <v>4.7</v>
      </c>
      <c r="D28" s="325">
        <f t="shared" si="0"/>
        <v>1.3859732723834532</v>
      </c>
    </row>
    <row r="29" spans="1:7" ht="16" x14ac:dyDescent="0.2">
      <c r="A29" s="16"/>
      <c r="B29" s="323">
        <v>2022</v>
      </c>
      <c r="C29" s="323">
        <v>8</v>
      </c>
      <c r="D29" s="325">
        <f t="shared" si="0"/>
        <v>1.4968511341741295</v>
      </c>
    </row>
    <row r="30" spans="1:7" ht="16" x14ac:dyDescent="0.2">
      <c r="A30" s="247" t="s">
        <v>810</v>
      </c>
      <c r="B30" s="323">
        <v>2023</v>
      </c>
      <c r="C30" s="323">
        <v>4.17</v>
      </c>
      <c r="D30" s="325">
        <f>(C30/100+1)*D29</f>
        <v>1.5592698264691909</v>
      </c>
    </row>
    <row r="31" spans="1:7" x14ac:dyDescent="0.2">
      <c r="A31" s="16"/>
      <c r="B31" s="16"/>
      <c r="C31" s="16"/>
      <c r="D31" s="16"/>
    </row>
  </sheetData>
  <hyperlinks>
    <hyperlink ref="A8" r:id="rId1" location="indicator-chart" xr:uid="{BC5995C3-BFBE-4550-9431-032D95E1CDFB}"/>
    <hyperlink ref="A9" r:id="rId2" location="indicator-chart" xr:uid="{44B300A2-7939-4CAE-8748-15FFE95CA3AC}"/>
  </hyperlinks>
  <pageMargins left="0.7" right="0.7" top="0.75" bottom="0.75" header="0.3" footer="0.3"/>
  <pageSetup paperSize="9"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9E3BB-6CFD-4799-A335-FA27C92DF5E3}">
  <sheetPr codeName="Sheet15">
    <tabColor rgb="FFF6BAC3"/>
  </sheetPr>
  <dimension ref="A1:M40"/>
  <sheetViews>
    <sheetView showGridLines="0" zoomScaleNormal="100" workbookViewId="0"/>
  </sheetViews>
  <sheetFormatPr baseColWidth="10" defaultColWidth="8.83203125" defaultRowHeight="15" x14ac:dyDescent="0.2"/>
  <cols>
    <col min="1" max="1" width="10.6640625" bestFit="1" customWidth="1"/>
    <col min="2" max="2" width="43.1640625" customWidth="1"/>
    <col min="3" max="3" width="27.6640625" bestFit="1" customWidth="1"/>
    <col min="4" max="4" width="10.6640625" bestFit="1" customWidth="1"/>
    <col min="5" max="5" width="33.83203125" customWidth="1"/>
    <col min="6" max="8" width="10.6640625" bestFit="1" customWidth="1"/>
    <col min="9" max="9" width="31" bestFit="1" customWidth="1"/>
    <col min="10" max="10" width="12.33203125" bestFit="1" customWidth="1"/>
    <col min="11" max="13" width="11.6640625" bestFit="1" customWidth="1"/>
    <col min="14" max="19" width="17.1640625" bestFit="1" customWidth="1"/>
    <col min="20" max="20" width="17.5" bestFit="1" customWidth="1"/>
    <col min="21" max="21" width="17.1640625" bestFit="1" customWidth="1"/>
    <col min="22" max="26" width="17.5" bestFit="1" customWidth="1"/>
  </cols>
  <sheetData>
    <row r="1" spans="1:13" s="197" customFormat="1" x14ac:dyDescent="0.2">
      <c r="A1" s="197" t="s">
        <v>245</v>
      </c>
      <c r="B1" s="197" t="s">
        <v>246</v>
      </c>
      <c r="C1" s="197" t="s">
        <v>247</v>
      </c>
      <c r="D1" s="197" t="s">
        <v>248</v>
      </c>
      <c r="E1" s="197" t="s">
        <v>249</v>
      </c>
      <c r="F1" s="197" t="s">
        <v>250</v>
      </c>
      <c r="G1" s="197" t="s">
        <v>251</v>
      </c>
      <c r="H1" s="197" t="s">
        <v>252</v>
      </c>
      <c r="I1" s="197" t="s">
        <v>315</v>
      </c>
      <c r="J1" s="197" t="s">
        <v>316</v>
      </c>
      <c r="K1" s="197" t="s">
        <v>317</v>
      </c>
      <c r="L1" s="197" t="s">
        <v>318</v>
      </c>
      <c r="M1" s="197" t="s">
        <v>319</v>
      </c>
    </row>
    <row r="3" spans="1:13" ht="21" x14ac:dyDescent="0.25">
      <c r="B3" s="1" t="s">
        <v>822</v>
      </c>
    </row>
    <row r="5" spans="1:13" x14ac:dyDescent="0.2">
      <c r="B5" s="3" t="s">
        <v>833</v>
      </c>
    </row>
    <row r="6" spans="1:13" x14ac:dyDescent="0.2">
      <c r="B6" s="188" t="s">
        <v>832</v>
      </c>
    </row>
    <row r="9" spans="1:13" x14ac:dyDescent="0.2">
      <c r="B9" s="216" t="s">
        <v>464</v>
      </c>
      <c r="C9" s="216" t="s">
        <v>475</v>
      </c>
      <c r="D9" s="216"/>
      <c r="E9" s="216" t="s">
        <v>465</v>
      </c>
      <c r="F9" s="216"/>
      <c r="I9" s="216" t="s">
        <v>466</v>
      </c>
      <c r="J9" s="216" t="s">
        <v>467</v>
      </c>
    </row>
    <row r="10" spans="1:13" x14ac:dyDescent="0.2">
      <c r="B10" s="216"/>
      <c r="C10" s="216" t="s">
        <v>468</v>
      </c>
      <c r="D10" s="216"/>
      <c r="E10" s="216"/>
      <c r="F10" s="216"/>
      <c r="I10" s="216"/>
      <c r="J10" s="216"/>
    </row>
    <row r="11" spans="1:13" x14ac:dyDescent="0.2">
      <c r="B11" s="216" t="s">
        <v>469</v>
      </c>
      <c r="C11" s="216" t="s">
        <v>470</v>
      </c>
      <c r="D11" s="216"/>
      <c r="E11" s="216" t="s">
        <v>471</v>
      </c>
      <c r="F11" s="216"/>
      <c r="I11" s="216" t="s">
        <v>463</v>
      </c>
      <c r="J11" s="216"/>
    </row>
    <row r="12" spans="1:13" x14ac:dyDescent="0.2">
      <c r="B12" s="216"/>
      <c r="C12" s="216" t="s">
        <v>476</v>
      </c>
      <c r="D12" s="216" t="s">
        <v>472</v>
      </c>
      <c r="E12" s="216" t="s">
        <v>476</v>
      </c>
      <c r="F12" s="216" t="s">
        <v>473</v>
      </c>
      <c r="I12" s="208">
        <v>3</v>
      </c>
      <c r="J12" s="208">
        <v>1</v>
      </c>
    </row>
    <row r="13" spans="1:13" x14ac:dyDescent="0.2">
      <c r="B13" s="208" t="s">
        <v>730</v>
      </c>
      <c r="C13" s="208">
        <v>5</v>
      </c>
      <c r="D13" s="208">
        <v>0.34499999999999997</v>
      </c>
      <c r="E13" s="208">
        <v>0.4</v>
      </c>
      <c r="F13" s="208">
        <v>2.76E-2</v>
      </c>
      <c r="I13" s="208">
        <v>2</v>
      </c>
      <c r="J13" s="208">
        <v>0.8</v>
      </c>
    </row>
    <row r="14" spans="1:13" x14ac:dyDescent="0.2">
      <c r="B14" s="208" t="s">
        <v>731</v>
      </c>
      <c r="C14" s="208">
        <v>8</v>
      </c>
      <c r="D14" s="208">
        <v>0.55200000000000005</v>
      </c>
      <c r="E14" s="208">
        <v>0.7</v>
      </c>
      <c r="F14" s="208">
        <v>4.8300000000000003E-2</v>
      </c>
      <c r="I14" s="208">
        <v>1.5</v>
      </c>
      <c r="J14" s="208">
        <v>0.6</v>
      </c>
    </row>
    <row r="15" spans="1:13" x14ac:dyDescent="0.2">
      <c r="B15" s="208" t="s">
        <v>732</v>
      </c>
      <c r="C15" s="208">
        <v>9</v>
      </c>
      <c r="D15" s="208">
        <v>0.621</v>
      </c>
      <c r="E15" s="208">
        <v>0.8</v>
      </c>
      <c r="F15" s="208">
        <v>5.5199999999999999E-2</v>
      </c>
      <c r="I15" s="208">
        <v>1</v>
      </c>
      <c r="J15" s="208">
        <v>0.4</v>
      </c>
    </row>
    <row r="16" spans="1:13" x14ac:dyDescent="0.2">
      <c r="B16" s="208" t="s">
        <v>733</v>
      </c>
      <c r="C16" s="208">
        <v>6</v>
      </c>
      <c r="D16" s="208">
        <v>0.41399999999999998</v>
      </c>
      <c r="E16" s="208">
        <v>0.5</v>
      </c>
      <c r="F16" s="208">
        <v>3.4500000000000003E-2</v>
      </c>
      <c r="I16" s="208">
        <v>0.5</v>
      </c>
      <c r="J16" s="208">
        <v>0.2</v>
      </c>
    </row>
    <row r="17" spans="2:10" x14ac:dyDescent="0.2">
      <c r="B17" s="208" t="s">
        <v>734</v>
      </c>
      <c r="C17" s="208">
        <v>10</v>
      </c>
      <c r="D17" s="208">
        <v>0.69</v>
      </c>
      <c r="E17" s="208">
        <v>0.9</v>
      </c>
      <c r="F17" s="208">
        <v>6.2100000000000002E-2</v>
      </c>
      <c r="I17" s="208">
        <v>0</v>
      </c>
      <c r="J17" s="208">
        <v>0</v>
      </c>
    </row>
    <row r="18" spans="2:10" x14ac:dyDescent="0.2">
      <c r="B18" s="208" t="s">
        <v>735</v>
      </c>
      <c r="C18" s="208">
        <v>12</v>
      </c>
      <c r="D18" s="208">
        <v>0.82799999999999996</v>
      </c>
      <c r="E18" s="208">
        <v>1</v>
      </c>
      <c r="F18" s="208">
        <v>6.9000000000000006E-2</v>
      </c>
      <c r="I18" s="208">
        <v>-0.5</v>
      </c>
      <c r="J18" s="208">
        <v>0</v>
      </c>
    </row>
    <row r="19" spans="2:10" x14ac:dyDescent="0.2">
      <c r="B19" s="208" t="s">
        <v>736</v>
      </c>
      <c r="C19" s="208">
        <v>8</v>
      </c>
      <c r="D19" s="208">
        <v>0.55200000000000005</v>
      </c>
      <c r="E19" s="208">
        <v>0.7</v>
      </c>
      <c r="F19" s="208">
        <v>4.8300000000000003E-2</v>
      </c>
      <c r="I19" s="208" t="s">
        <v>631</v>
      </c>
      <c r="J19" s="208" t="s">
        <v>477</v>
      </c>
    </row>
    <row r="20" spans="2:10" x14ac:dyDescent="0.2">
      <c r="B20" s="208" t="s">
        <v>737</v>
      </c>
      <c r="C20" s="208">
        <v>14</v>
      </c>
      <c r="D20" s="208">
        <v>0.96599999999999997</v>
      </c>
      <c r="E20" s="208">
        <v>1.2</v>
      </c>
      <c r="F20" s="208">
        <v>8.2799999999999999E-2</v>
      </c>
    </row>
    <row r="21" spans="2:10" x14ac:dyDescent="0.2">
      <c r="B21" s="208" t="s">
        <v>738</v>
      </c>
      <c r="C21" s="208">
        <v>16</v>
      </c>
      <c r="D21" s="208">
        <v>1.1040000000000001</v>
      </c>
      <c r="E21" s="208">
        <v>1.4</v>
      </c>
      <c r="F21" s="208">
        <v>9.6600000000000005E-2</v>
      </c>
    </row>
    <row r="22" spans="2:10" x14ac:dyDescent="0.2">
      <c r="B22" s="208" t="s">
        <v>739</v>
      </c>
      <c r="C22" s="208">
        <v>106</v>
      </c>
      <c r="D22" s="208">
        <v>7.3140000000000001</v>
      </c>
      <c r="E22" s="208">
        <v>9</v>
      </c>
      <c r="F22" s="208">
        <v>0.621</v>
      </c>
    </row>
    <row r="23" spans="2:10" x14ac:dyDescent="0.2">
      <c r="B23" s="208" t="s">
        <v>740</v>
      </c>
      <c r="C23" s="208">
        <v>180</v>
      </c>
      <c r="D23" s="208">
        <v>12.42</v>
      </c>
      <c r="E23" s="208">
        <v>16</v>
      </c>
      <c r="F23" s="208">
        <v>1.1040000000000001</v>
      </c>
    </row>
    <row r="24" spans="2:10" x14ac:dyDescent="0.2">
      <c r="B24" s="208" t="s">
        <v>741</v>
      </c>
      <c r="C24" s="208">
        <v>212</v>
      </c>
      <c r="D24" s="208">
        <v>14.628</v>
      </c>
      <c r="E24" s="208">
        <v>19</v>
      </c>
      <c r="F24" s="208">
        <v>1.3109999999999999</v>
      </c>
    </row>
    <row r="25" spans="2:10" x14ac:dyDescent="0.2">
      <c r="B25" s="208" t="s">
        <v>742</v>
      </c>
      <c r="C25" s="208">
        <v>135</v>
      </c>
      <c r="D25" s="208">
        <v>9.3149999999999995</v>
      </c>
      <c r="E25" s="208">
        <v>12</v>
      </c>
      <c r="F25" s="208">
        <v>0.82799999999999996</v>
      </c>
    </row>
    <row r="26" spans="2:10" x14ac:dyDescent="0.2">
      <c r="B26" s="208" t="s">
        <v>743</v>
      </c>
      <c r="C26" s="208">
        <v>229</v>
      </c>
      <c r="D26" s="208">
        <v>15.801</v>
      </c>
      <c r="E26" s="208">
        <v>20</v>
      </c>
      <c r="F26" s="208">
        <v>1.38</v>
      </c>
    </row>
    <row r="27" spans="2:10" x14ac:dyDescent="0.2">
      <c r="B27" s="208" t="s">
        <v>744</v>
      </c>
      <c r="C27" s="208">
        <v>270</v>
      </c>
      <c r="D27" s="208">
        <v>18.63</v>
      </c>
      <c r="E27" s="208">
        <v>24</v>
      </c>
      <c r="F27" s="208">
        <v>1.6559999999999999</v>
      </c>
    </row>
    <row r="28" spans="2:10" x14ac:dyDescent="0.2">
      <c r="B28" s="208" t="s">
        <v>745</v>
      </c>
      <c r="C28" s="208">
        <v>190</v>
      </c>
      <c r="D28" s="208">
        <v>13.11</v>
      </c>
      <c r="E28" s="208">
        <v>17</v>
      </c>
      <c r="F28" s="208">
        <v>1.173</v>
      </c>
    </row>
    <row r="29" spans="2:10" x14ac:dyDescent="0.2">
      <c r="B29" s="208" t="s">
        <v>746</v>
      </c>
      <c r="C29" s="208">
        <v>322</v>
      </c>
      <c r="D29" s="208">
        <v>22.218</v>
      </c>
      <c r="E29" s="208">
        <v>28</v>
      </c>
      <c r="F29" s="208">
        <v>1.9319999999999999</v>
      </c>
    </row>
    <row r="30" spans="2:10" x14ac:dyDescent="0.2">
      <c r="B30" s="208" t="s">
        <v>747</v>
      </c>
      <c r="C30" s="208">
        <v>379</v>
      </c>
      <c r="D30" s="208">
        <v>26.151</v>
      </c>
      <c r="E30" s="208">
        <v>33</v>
      </c>
      <c r="F30" s="208">
        <v>2.2770000000000001</v>
      </c>
    </row>
    <row r="31" spans="2:10" x14ac:dyDescent="0.2">
      <c r="B31" s="208" t="s">
        <v>748</v>
      </c>
      <c r="C31" s="208">
        <v>280</v>
      </c>
      <c r="D31" s="208">
        <v>19.32</v>
      </c>
      <c r="E31" s="208">
        <v>25</v>
      </c>
      <c r="F31" s="208">
        <v>1.7250000000000001</v>
      </c>
    </row>
    <row r="32" spans="2:10" x14ac:dyDescent="0.2">
      <c r="B32" s="208" t="s">
        <v>749</v>
      </c>
      <c r="C32" s="208">
        <v>476</v>
      </c>
      <c r="D32" s="208">
        <v>32.844000000000001</v>
      </c>
      <c r="E32" s="208">
        <v>42</v>
      </c>
      <c r="F32" s="208">
        <v>2.8980000000000001</v>
      </c>
    </row>
    <row r="33" spans="2:6" x14ac:dyDescent="0.2">
      <c r="B33" s="208" t="s">
        <v>750</v>
      </c>
      <c r="C33" s="208">
        <v>560</v>
      </c>
      <c r="D33" s="208">
        <v>38.64</v>
      </c>
      <c r="E33" s="208">
        <v>49</v>
      </c>
      <c r="F33" s="208">
        <v>3.3809999999999998</v>
      </c>
    </row>
    <row r="34" spans="2:6" x14ac:dyDescent="0.2">
      <c r="B34" s="208" t="s">
        <v>474</v>
      </c>
      <c r="C34" s="208">
        <v>356</v>
      </c>
      <c r="D34" s="208">
        <v>24.564</v>
      </c>
      <c r="E34" s="208">
        <v>31</v>
      </c>
      <c r="F34" s="208">
        <v>2.1389999999999998</v>
      </c>
    </row>
    <row r="35" spans="2:6" x14ac:dyDescent="0.2">
      <c r="B35" s="208" t="s">
        <v>751</v>
      </c>
      <c r="C35" s="208">
        <v>605</v>
      </c>
      <c r="D35" s="208">
        <v>41.744999999999997</v>
      </c>
      <c r="E35" s="208">
        <v>53</v>
      </c>
      <c r="F35" s="208">
        <v>3.657</v>
      </c>
    </row>
    <row r="36" spans="2:6" x14ac:dyDescent="0.2">
      <c r="B36" s="208" t="s">
        <v>752</v>
      </c>
      <c r="C36" s="208">
        <v>712</v>
      </c>
      <c r="D36" s="208">
        <v>39.128</v>
      </c>
      <c r="E36" s="208">
        <v>63</v>
      </c>
      <c r="F36" s="208">
        <v>4.3470000000000004</v>
      </c>
    </row>
    <row r="37" spans="2:6" x14ac:dyDescent="0.2">
      <c r="B37" s="208" t="s">
        <v>753</v>
      </c>
      <c r="C37" s="208">
        <v>500</v>
      </c>
      <c r="D37" s="208">
        <v>34.5</v>
      </c>
      <c r="E37" s="208">
        <v>44</v>
      </c>
      <c r="F37" s="208">
        <v>3.036</v>
      </c>
    </row>
    <row r="38" spans="2:6" x14ac:dyDescent="0.2">
      <c r="B38" s="208" t="s">
        <v>754</v>
      </c>
      <c r="C38" s="208">
        <v>850</v>
      </c>
      <c r="D38" s="208">
        <v>58.65</v>
      </c>
      <c r="E38" s="208">
        <v>75</v>
      </c>
      <c r="F38" s="208">
        <v>5.1749999999999998</v>
      </c>
    </row>
    <row r="39" spans="2:6" x14ac:dyDescent="0.2">
      <c r="B39" s="208" t="s">
        <v>755</v>
      </c>
      <c r="C39" s="208">
        <v>1000</v>
      </c>
      <c r="D39" s="208">
        <v>69</v>
      </c>
      <c r="E39" s="208">
        <v>88</v>
      </c>
      <c r="F39" s="208">
        <v>6.0720000000000001</v>
      </c>
    </row>
    <row r="40" spans="2:6" x14ac:dyDescent="0.2">
      <c r="B40" s="208" t="s">
        <v>632</v>
      </c>
      <c r="C40" s="208" t="s">
        <v>633</v>
      </c>
      <c r="D40" s="208"/>
      <c r="E40" s="208" t="s">
        <v>634</v>
      </c>
      <c r="F40" s="208"/>
    </row>
  </sheetData>
  <phoneticPr fontId="5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97905-438B-45D7-9B6C-2CC6596D766C}">
  <sheetPr codeName="Sheet16">
    <tabColor rgb="FFF6BAC3"/>
  </sheetPr>
  <dimension ref="A1:I18"/>
  <sheetViews>
    <sheetView showGridLines="0" zoomScaleNormal="100" workbookViewId="0"/>
  </sheetViews>
  <sheetFormatPr baseColWidth="10" defaultColWidth="8.83203125" defaultRowHeight="15" x14ac:dyDescent="0.2"/>
  <cols>
    <col min="1" max="1" width="8.1640625" bestFit="1" customWidth="1"/>
    <col min="2" max="2" width="34.5" customWidth="1"/>
    <col min="3" max="3" width="34.83203125" bestFit="1" customWidth="1"/>
    <col min="4" max="4" width="12.6640625" bestFit="1" customWidth="1"/>
    <col min="5" max="5" width="10.1640625" bestFit="1" customWidth="1"/>
    <col min="6" max="6" width="18.33203125" bestFit="1" customWidth="1"/>
    <col min="7" max="7" width="45.33203125" bestFit="1" customWidth="1"/>
    <col min="8" max="8" width="15.5" bestFit="1" customWidth="1"/>
    <col min="9" max="9" width="8.1640625" bestFit="1" customWidth="1"/>
    <col min="10" max="26" width="13.1640625" bestFit="1" customWidth="1"/>
    <col min="27" max="27" width="10.83203125" bestFit="1" customWidth="1"/>
  </cols>
  <sheetData>
    <row r="1" spans="1:9" s="197" customFormat="1" x14ac:dyDescent="0.2">
      <c r="A1" s="197" t="s">
        <v>245</v>
      </c>
      <c r="B1" s="197" t="s">
        <v>246</v>
      </c>
      <c r="C1" s="197" t="s">
        <v>247</v>
      </c>
      <c r="D1" s="197" t="s">
        <v>248</v>
      </c>
      <c r="E1" s="197" t="s">
        <v>249</v>
      </c>
      <c r="F1" s="197" t="s">
        <v>250</v>
      </c>
      <c r="G1" s="197" t="s">
        <v>251</v>
      </c>
      <c r="H1" s="197" t="s">
        <v>252</v>
      </c>
      <c r="I1" s="197" t="s">
        <v>315</v>
      </c>
    </row>
    <row r="2" spans="1:9" ht="21" x14ac:dyDescent="0.25">
      <c r="B2" s="1" t="s">
        <v>822</v>
      </c>
    </row>
    <row r="4" spans="1:9" x14ac:dyDescent="0.2">
      <c r="B4" s="3" t="s">
        <v>834</v>
      </c>
    </row>
    <row r="5" spans="1:9" x14ac:dyDescent="0.2">
      <c r="B5" s="188" t="s">
        <v>835</v>
      </c>
    </row>
    <row r="8" spans="1:9" x14ac:dyDescent="0.2">
      <c r="C8" s="216" t="s">
        <v>359</v>
      </c>
      <c r="D8" s="216"/>
      <c r="E8" s="216"/>
      <c r="F8" s="216"/>
      <c r="G8" s="216" t="s">
        <v>353</v>
      </c>
      <c r="H8" s="216"/>
    </row>
    <row r="9" spans="1:9" x14ac:dyDescent="0.2">
      <c r="C9" s="216" t="s">
        <v>355</v>
      </c>
      <c r="D9" s="216" t="s">
        <v>356</v>
      </c>
      <c r="E9" s="216" t="s">
        <v>357</v>
      </c>
      <c r="F9" s="216" t="s">
        <v>358</v>
      </c>
      <c r="G9" s="216" t="s">
        <v>354</v>
      </c>
      <c r="H9" s="216" t="s">
        <v>638</v>
      </c>
    </row>
    <row r="10" spans="1:9" x14ac:dyDescent="0.2">
      <c r="B10" s="216" t="s">
        <v>666</v>
      </c>
      <c r="C10" s="208">
        <v>0.06</v>
      </c>
      <c r="D10" s="208">
        <v>0.185</v>
      </c>
      <c r="E10" s="208">
        <v>8.5000000000000006E-2</v>
      </c>
      <c r="F10" s="208">
        <v>0.4</v>
      </c>
      <c r="G10" s="208" t="s">
        <v>770</v>
      </c>
      <c r="H10" s="208"/>
    </row>
    <row r="11" spans="1:9" x14ac:dyDescent="0.2">
      <c r="B11" s="216" t="s">
        <v>667</v>
      </c>
      <c r="C11" s="208">
        <v>0.05</v>
      </c>
      <c r="D11" s="208">
        <v>0.1</v>
      </c>
      <c r="E11" s="208">
        <v>6.5000000000000002E-2</v>
      </c>
      <c r="F11" s="208">
        <v>0.17</v>
      </c>
      <c r="G11" s="208" t="s">
        <v>771</v>
      </c>
      <c r="H11" s="208"/>
    </row>
    <row r="12" spans="1:9" x14ac:dyDescent="0.2">
      <c r="B12" s="216" t="s">
        <v>668</v>
      </c>
      <c r="C12" s="208">
        <v>0.04</v>
      </c>
      <c r="D12" s="208">
        <v>0.06</v>
      </c>
      <c r="E12" s="208">
        <v>4.4999999999999998E-2</v>
      </c>
      <c r="F12" s="208">
        <v>7.0000000000000007E-2</v>
      </c>
      <c r="G12" s="208" t="s">
        <v>772</v>
      </c>
      <c r="H12" s="208"/>
    </row>
    <row r="13" spans="1:9" x14ac:dyDescent="0.2">
      <c r="B13" s="216" t="s">
        <v>669</v>
      </c>
      <c r="C13" s="208">
        <v>0.02</v>
      </c>
      <c r="D13" s="208">
        <v>0.03</v>
      </c>
      <c r="E13" s="208">
        <v>2.5000000000000001E-2</v>
      </c>
      <c r="F13" s="208">
        <v>3.5000000000000003E-2</v>
      </c>
      <c r="G13" s="208" t="s">
        <v>773</v>
      </c>
      <c r="H13" s="208"/>
    </row>
    <row r="14" spans="1:9" x14ac:dyDescent="0.2">
      <c r="B14" s="216" t="s">
        <v>670</v>
      </c>
      <c r="C14" s="208">
        <v>0.04</v>
      </c>
      <c r="D14" s="208">
        <v>0.06</v>
      </c>
      <c r="E14" s="208">
        <v>4.4999999999999998E-2</v>
      </c>
      <c r="F14" s="208">
        <v>7.0000000000000007E-2</v>
      </c>
      <c r="G14" s="208" t="s">
        <v>774</v>
      </c>
      <c r="H14" s="208"/>
    </row>
    <row r="15" spans="1:9" x14ac:dyDescent="0.2">
      <c r="B15" s="216" t="s">
        <v>671</v>
      </c>
      <c r="C15" s="208">
        <v>0.05</v>
      </c>
      <c r="D15" s="208">
        <v>0.1</v>
      </c>
      <c r="E15" s="208">
        <v>6.5000000000000002E-2</v>
      </c>
      <c r="F15" s="208">
        <v>0.17</v>
      </c>
      <c r="G15" s="208" t="s">
        <v>774</v>
      </c>
      <c r="H15" s="208"/>
    </row>
    <row r="16" spans="1:9" x14ac:dyDescent="0.2">
      <c r="B16" s="216" t="s">
        <v>672</v>
      </c>
      <c r="C16" s="208">
        <v>0.06</v>
      </c>
      <c r="D16" s="208">
        <v>0.185</v>
      </c>
      <c r="E16" s="208">
        <v>8.5000000000000006E-2</v>
      </c>
      <c r="F16" s="208">
        <v>0.4</v>
      </c>
      <c r="G16" s="208" t="s">
        <v>775</v>
      </c>
      <c r="H16" s="208"/>
    </row>
    <row r="17" spans="2:8" x14ac:dyDescent="0.2">
      <c r="B17" s="216" t="s">
        <v>395</v>
      </c>
      <c r="C17" s="208">
        <v>0.05</v>
      </c>
      <c r="D17" s="208">
        <v>0.09</v>
      </c>
      <c r="E17" s="208">
        <v>6.5000000000000002E-2</v>
      </c>
      <c r="F17" s="208">
        <v>0.17</v>
      </c>
      <c r="G17" s="208" t="s">
        <v>770</v>
      </c>
      <c r="H17" s="208"/>
    </row>
    <row r="18" spans="2:8" x14ac:dyDescent="0.2">
      <c r="B18" s="216" t="s">
        <v>635</v>
      </c>
      <c r="C18" s="208"/>
      <c r="D18" s="208"/>
      <c r="E18" s="208"/>
      <c r="F18" s="208" t="s">
        <v>637</v>
      </c>
      <c r="G18" s="208" t="s">
        <v>636</v>
      </c>
      <c r="H18" s="208"/>
    </row>
  </sheetData>
  <phoneticPr fontId="4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FAD5C-D7B4-4739-877F-59943FF17832}">
  <sheetPr codeName="Sheet1">
    <tabColor theme="1" tint="0.249977111117893"/>
  </sheetPr>
  <dimension ref="A8:E8"/>
  <sheetViews>
    <sheetView workbookViewId="0"/>
  </sheetViews>
  <sheetFormatPr baseColWidth="10" defaultColWidth="8.83203125" defaultRowHeight="15" x14ac:dyDescent="0.2"/>
  <cols>
    <col min="1" max="16384" width="8.83203125" style="192"/>
  </cols>
  <sheetData>
    <row r="8" spans="1:5" x14ac:dyDescent="0.2">
      <c r="A8" s="191"/>
      <c r="B8" s="191" t="str">
        <f t="shared" ref="B8:D8" si="0">IFERROR(#REF!*$G$5,"")</f>
        <v/>
      </c>
      <c r="C8" s="191" t="str">
        <f t="shared" si="0"/>
        <v/>
      </c>
      <c r="D8" s="191" t="str">
        <f t="shared" si="0"/>
        <v/>
      </c>
      <c r="E8" s="191" t="str">
        <f t="shared" ref="E8" si="1">IFERROR(D8*$G$5,"")</f>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23FCA-E2C5-4B06-A6A5-3F28FB018E47}">
  <sheetPr codeName="Sheet13">
    <tabColor theme="5" tint="-0.499984740745262"/>
  </sheetPr>
  <dimension ref="B2:AC74"/>
  <sheetViews>
    <sheetView showGridLines="0" zoomScaleNormal="100" workbookViewId="0"/>
  </sheetViews>
  <sheetFormatPr baseColWidth="10" defaultColWidth="8.83203125" defaultRowHeight="15" x14ac:dyDescent="0.2"/>
  <cols>
    <col min="2" max="2" width="33.5" customWidth="1"/>
    <col min="3" max="3" width="26.1640625" customWidth="1"/>
    <col min="4" max="4" width="26.5" bestFit="1" customWidth="1"/>
    <col min="5" max="5" width="22.1640625" customWidth="1"/>
    <col min="6" max="6" width="25.5" customWidth="1"/>
    <col min="7" max="7" width="25.83203125" customWidth="1"/>
    <col min="8" max="8" width="26.5" customWidth="1"/>
    <col min="9" max="9" width="25.1640625" customWidth="1"/>
    <col min="10" max="10" width="21.5" customWidth="1"/>
    <col min="11" max="11" width="22.5" customWidth="1"/>
    <col min="12" max="12" width="22" customWidth="1"/>
    <col min="13" max="13" width="21.5" customWidth="1"/>
    <col min="14" max="14" width="23.83203125" customWidth="1"/>
    <col min="15" max="20" width="22.5" customWidth="1"/>
    <col min="21" max="21" width="25.1640625" customWidth="1"/>
    <col min="22" max="29" width="22.5" customWidth="1"/>
  </cols>
  <sheetData>
    <row r="2" spans="2:29" ht="21" x14ac:dyDescent="0.25">
      <c r="B2" s="1" t="s">
        <v>822</v>
      </c>
    </row>
    <row r="3" spans="2:29" x14ac:dyDescent="0.2">
      <c r="R3" s="71" t="s">
        <v>618</v>
      </c>
      <c r="S3" s="40">
        <f>Assump_LeachateWCcost</f>
        <v>143</v>
      </c>
      <c r="Y3" s="79" t="s">
        <v>620</v>
      </c>
      <c r="Z3" s="40">
        <f>'4. Inflation Calculations'!D30/'4. Inflation Calculations'!D28</f>
        <v>1.1250360000000001</v>
      </c>
    </row>
    <row r="4" spans="2:29" x14ac:dyDescent="0.2">
      <c r="B4" s="3" t="s">
        <v>592</v>
      </c>
      <c r="R4" s="71" t="s">
        <v>619</v>
      </c>
      <c r="S4" s="40">
        <f>'4. Inflation Calculations'!D30/'4. Inflation Calculations'!D20</f>
        <v>1.3070864765163781</v>
      </c>
      <c r="Y4" s="71" t="s">
        <v>621</v>
      </c>
      <c r="Z4" s="40">
        <f>Assump_USGNI</f>
        <v>80023</v>
      </c>
    </row>
    <row r="5" spans="2:29" x14ac:dyDescent="0.2">
      <c r="B5" s="349" t="s">
        <v>854</v>
      </c>
      <c r="C5" s="350"/>
      <c r="D5" s="350"/>
      <c r="E5" s="350"/>
      <c r="F5" s="350"/>
      <c r="G5" s="350"/>
      <c r="H5" s="350"/>
      <c r="I5" s="350"/>
      <c r="R5" s="71" t="s">
        <v>489</v>
      </c>
      <c r="S5" s="40">
        <f>Assump_LikelihoodBaseline</f>
        <v>1000</v>
      </c>
      <c r="Y5" s="71" t="s">
        <v>482</v>
      </c>
      <c r="Z5" s="40">
        <f>Assump_ElasticityLeachate</f>
        <v>1</v>
      </c>
    </row>
    <row r="6" spans="2:29" x14ac:dyDescent="0.2">
      <c r="B6" s="350"/>
      <c r="C6" s="350"/>
      <c r="D6" s="350"/>
      <c r="E6" s="350"/>
      <c r="F6" s="350"/>
      <c r="G6" s="350"/>
      <c r="H6" s="350"/>
      <c r="I6" s="350"/>
    </row>
    <row r="8" spans="2:29" ht="32" x14ac:dyDescent="0.2">
      <c r="B8" s="193" t="s">
        <v>788</v>
      </c>
      <c r="C8" s="2" t="s">
        <v>0</v>
      </c>
      <c r="D8" s="2" t="s">
        <v>20</v>
      </c>
      <c r="E8" s="2" t="s">
        <v>455</v>
      </c>
      <c r="F8" s="75" t="s">
        <v>253</v>
      </c>
      <c r="G8" s="77" t="s">
        <v>457</v>
      </c>
      <c r="H8" s="49" t="s">
        <v>458</v>
      </c>
      <c r="I8" s="49" t="s">
        <v>459</v>
      </c>
      <c r="J8" s="49" t="s">
        <v>460</v>
      </c>
      <c r="K8" s="49" t="s">
        <v>461</v>
      </c>
      <c r="L8" s="49" t="s">
        <v>462</v>
      </c>
      <c r="M8" s="49" t="s">
        <v>639</v>
      </c>
      <c r="N8" s="49" t="s">
        <v>478</v>
      </c>
      <c r="O8" s="49" t="s">
        <v>484</v>
      </c>
      <c r="P8" s="49" t="s">
        <v>485</v>
      </c>
      <c r="Q8" s="49" t="s">
        <v>487</v>
      </c>
      <c r="R8" s="49" t="s">
        <v>488</v>
      </c>
      <c r="S8" s="49" t="s">
        <v>640</v>
      </c>
      <c r="T8" s="49" t="s">
        <v>641</v>
      </c>
      <c r="U8" s="49" t="s">
        <v>642</v>
      </c>
      <c r="V8" s="49" t="s">
        <v>643</v>
      </c>
      <c r="W8" s="49" t="s">
        <v>490</v>
      </c>
      <c r="X8" s="49" t="s">
        <v>491</v>
      </c>
      <c r="Y8" s="49" t="s">
        <v>675</v>
      </c>
      <c r="Z8" s="49" t="s">
        <v>675</v>
      </c>
      <c r="AA8" s="49" t="s">
        <v>483</v>
      </c>
      <c r="AB8" s="49" t="s">
        <v>549</v>
      </c>
      <c r="AC8" s="49" t="s">
        <v>550</v>
      </c>
    </row>
    <row r="9" spans="2:29" x14ac:dyDescent="0.2">
      <c r="B9" s="193" t="s">
        <v>789</v>
      </c>
      <c r="C9" s="6"/>
      <c r="D9" s="11" t="s">
        <v>1</v>
      </c>
      <c r="E9" s="11" t="s">
        <v>1</v>
      </c>
      <c r="F9" s="76" t="s">
        <v>254</v>
      </c>
      <c r="G9" s="13"/>
      <c r="H9" s="13"/>
      <c r="I9" s="13"/>
      <c r="J9" s="132" t="s">
        <v>345</v>
      </c>
      <c r="K9" s="133" t="s">
        <v>599</v>
      </c>
      <c r="L9" s="133" t="s">
        <v>1</v>
      </c>
      <c r="M9" s="13"/>
      <c r="N9" s="13"/>
      <c r="O9" s="11"/>
      <c r="P9" s="11"/>
      <c r="Q9" s="11"/>
      <c r="R9" s="11"/>
      <c r="S9" s="11"/>
      <c r="T9" s="11"/>
      <c r="U9" s="11"/>
      <c r="V9" s="11"/>
      <c r="W9" s="11"/>
      <c r="X9" s="11"/>
      <c r="Y9" s="11" t="s">
        <v>1</v>
      </c>
      <c r="Z9" s="11"/>
      <c r="AA9" s="11"/>
      <c r="AB9" s="11"/>
      <c r="AC9" s="11"/>
    </row>
    <row r="10" spans="2:29" x14ac:dyDescent="0.2">
      <c r="B10" s="193" t="s">
        <v>790</v>
      </c>
      <c r="C10" s="6">
        <v>2024</v>
      </c>
      <c r="D10" s="6">
        <v>2024</v>
      </c>
      <c r="E10" s="6">
        <v>2021</v>
      </c>
      <c r="F10" s="45">
        <v>2011</v>
      </c>
      <c r="G10" s="13"/>
      <c r="H10" s="13"/>
      <c r="I10" s="13"/>
      <c r="J10" s="13"/>
      <c r="K10" s="23">
        <v>2002</v>
      </c>
      <c r="L10" s="23">
        <v>2024</v>
      </c>
      <c r="M10" s="13"/>
      <c r="N10" s="13"/>
      <c r="O10" s="6"/>
      <c r="P10" s="6"/>
      <c r="Q10" s="6"/>
      <c r="R10" s="6"/>
      <c r="S10" s="6">
        <v>2023</v>
      </c>
      <c r="T10" s="6">
        <v>2023</v>
      </c>
      <c r="U10" s="6">
        <v>2023</v>
      </c>
      <c r="V10" s="6">
        <v>2023</v>
      </c>
      <c r="W10" s="6">
        <v>2023</v>
      </c>
      <c r="X10" s="6">
        <v>2023</v>
      </c>
      <c r="Y10" s="6">
        <v>2021</v>
      </c>
      <c r="Z10" s="6">
        <v>2023</v>
      </c>
      <c r="AA10" s="6">
        <v>2023</v>
      </c>
      <c r="AB10" s="6">
        <v>2023</v>
      </c>
      <c r="AC10" s="6">
        <v>2023</v>
      </c>
    </row>
    <row r="11" spans="2:29" x14ac:dyDescent="0.2">
      <c r="B11" s="193" t="s">
        <v>791</v>
      </c>
      <c r="C11" s="6"/>
      <c r="D11" s="6"/>
      <c r="E11" s="6" t="s">
        <v>456</v>
      </c>
      <c r="F11" s="45" t="s">
        <v>474</v>
      </c>
      <c r="G11" s="131" t="s">
        <v>474</v>
      </c>
      <c r="H11" s="68" t="s">
        <v>258</v>
      </c>
      <c r="I11" s="68" t="s">
        <v>260</v>
      </c>
      <c r="J11" s="131" t="s">
        <v>284</v>
      </c>
      <c r="K11" s="68"/>
      <c r="L11" s="131" t="s">
        <v>284</v>
      </c>
      <c r="M11" s="131" t="s">
        <v>284</v>
      </c>
      <c r="N11" s="131" t="s">
        <v>284</v>
      </c>
      <c r="O11" s="69" t="s">
        <v>486</v>
      </c>
      <c r="P11" s="69" t="s">
        <v>486</v>
      </c>
      <c r="Q11" s="69" t="s">
        <v>486</v>
      </c>
      <c r="R11" s="69" t="s">
        <v>486</v>
      </c>
      <c r="S11" s="68" t="s">
        <v>390</v>
      </c>
      <c r="T11" s="68" t="s">
        <v>390</v>
      </c>
      <c r="U11" s="68" t="s">
        <v>390</v>
      </c>
      <c r="V11" s="68" t="s">
        <v>390</v>
      </c>
      <c r="W11" s="68" t="s">
        <v>390</v>
      </c>
      <c r="X11" s="68" t="s">
        <v>390</v>
      </c>
      <c r="Y11" s="131" t="s">
        <v>390</v>
      </c>
      <c r="Z11" s="131" t="s">
        <v>390</v>
      </c>
      <c r="AA11" s="13"/>
      <c r="AB11" s="68" t="s">
        <v>391</v>
      </c>
      <c r="AC11" s="68" t="s">
        <v>391</v>
      </c>
    </row>
    <row r="12" spans="2:29" x14ac:dyDescent="0.2">
      <c r="B12" s="193" t="s">
        <v>792</v>
      </c>
      <c r="C12" s="7"/>
      <c r="D12" s="7"/>
      <c r="E12" s="38"/>
      <c r="F12" s="46"/>
      <c r="G12" s="22"/>
      <c r="H12" s="22"/>
      <c r="I12" s="22"/>
      <c r="J12" s="22"/>
      <c r="K12" s="22"/>
      <c r="L12" s="22"/>
      <c r="M12" s="22"/>
      <c r="N12" s="22"/>
      <c r="O12" s="22"/>
      <c r="P12" s="22"/>
      <c r="Q12" s="22"/>
      <c r="R12" s="22"/>
      <c r="S12" s="22"/>
      <c r="T12" s="22"/>
      <c r="U12" s="22"/>
      <c r="V12" s="22"/>
      <c r="W12" s="22"/>
      <c r="X12" s="22"/>
      <c r="Y12" s="22"/>
      <c r="Z12" s="22"/>
      <c r="AA12" s="22"/>
      <c r="AB12" s="134" t="s">
        <v>600</v>
      </c>
      <c r="AC12" s="134" t="s">
        <v>601</v>
      </c>
    </row>
    <row r="13" spans="2:29" x14ac:dyDescent="0.2">
      <c r="C13" s="8" t="str" cm="1">
        <f t="array" ref="C13:C74">ModifiedCountries</f>
        <v>Argentina</v>
      </c>
      <c r="D13" s="56" t="str" cm="1">
        <f t="array" ref="D13:D74">ModifiedRegions</f>
        <v>Latin America &amp; Caribbean</v>
      </c>
      <c r="E13" s="218">
        <f t="shared" ref="E13:E44" si="0">INDEX(Input_PopulationDensity,MATCH(C13,Input_countries,0))</f>
        <v>16.7387416916056</v>
      </c>
      <c r="F13" s="219" t="str">
        <f t="shared" ref="F13:F44" si="1">INDEX(Input_SoilPermeability,MATCH(C13,Input_countries,0))</f>
        <v>W</v>
      </c>
      <c r="G13" s="220" t="str">
        <f>IF(E13&lt;=100,"B",IF(E13&lt;=250,"M","W"))</f>
        <v>B</v>
      </c>
      <c r="H13" s="220" t="str">
        <f>$H$11&amp;F13&amp;G13</f>
        <v>WWB</v>
      </c>
      <c r="I13" s="220" t="str">
        <f>$I$11&amp;F13&amp;G13</f>
        <v>BWB</v>
      </c>
      <c r="J13" s="208" t="str">
        <f>IF(INDEX(Input_LinedLandfill,MATCH(C13,Input_countries,0))="-","",INDEX(Input_LinedLandfill,MATCH(C13,Input_countries,0)))</f>
        <v/>
      </c>
      <c r="K13" s="208">
        <f t="shared" ref="K13:K44" si="2">INDEX(Input_ERQ,MATCH(C13,Input_countries,0))</f>
        <v>-0.73199999999999998</v>
      </c>
      <c r="L13" s="208">
        <f t="shared" ref="L13:L44" si="3">INDEX(Input_WasteCollection,MATCH(C13,Input_countries,0))</f>
        <v>0.89910000000000001</v>
      </c>
      <c r="M13" s="223">
        <f t="shared" ref="M13:M44" si="4">IF(J13="",IF(AND(K13&gt;1,L13&gt;99),1,INDEX(ERQ_Landfill,MATCH(K13,ERQ_Score,-1))),"-")</f>
        <v>0</v>
      </c>
      <c r="N13" s="223">
        <f>IF(J13="",M13,J13)</f>
        <v>0</v>
      </c>
      <c r="O13" s="223">
        <f>INDEX(HARAS_scoreLined,MATCH(H13,HARAS_code,0))</f>
        <v>44</v>
      </c>
      <c r="P13" s="223">
        <f t="shared" ref="P13:P44" si="5">INDEX(HARAS_scoreLined,MATCH(I13,HARAS_code,0))</f>
        <v>0.7</v>
      </c>
      <c r="Q13" s="223">
        <f t="shared" ref="Q13:Q44" si="6">INDEX(HARAS_scoreUnlined,MATCH(H13,HARAS_code,0))</f>
        <v>500</v>
      </c>
      <c r="R13" s="223">
        <f t="shared" ref="R13:R44" si="7">INDEX(HARAS_scoreUnlined,MATCH(I13,HARAS_code,0))</f>
        <v>8</v>
      </c>
      <c r="S13" s="224">
        <f>O13/$S$5*($S$3*$S$4)</f>
        <v>8.2241881102410499</v>
      </c>
      <c r="T13" s="224">
        <f t="shared" ref="T13:V28" si="8">P13/$S$5*($S$3*$S$4)</f>
        <v>0.13083935629928944</v>
      </c>
      <c r="U13" s="224">
        <f t="shared" si="8"/>
        <v>93.456683070921031</v>
      </c>
      <c r="V13" s="224">
        <f t="shared" si="8"/>
        <v>1.4953069291347365</v>
      </c>
      <c r="W13" s="224">
        <f>(N13*S13)+((1-N13)*U13)</f>
        <v>93.456683070921031</v>
      </c>
      <c r="X13" s="224">
        <f t="shared" ref="X13:X44" si="9">(N13*T13)+((1-N13)*V13)</f>
        <v>1.4953069291347365</v>
      </c>
      <c r="Y13" s="218">
        <f t="shared" ref="Y13:Y44" si="10">INDEX(Input_GNIPPP,MATCH(C13,Input_countries,0))</f>
        <v>25560</v>
      </c>
      <c r="Z13" s="57">
        <f>IFERROR(Y13*$Z$3,"No value")</f>
        <v>28755.920160000005</v>
      </c>
      <c r="AA13" s="57">
        <f>IFERROR((Z13/$Z$4)^$Z$5,"No value")</f>
        <v>0.35934569011409229</v>
      </c>
      <c r="AB13" s="84">
        <f>IFERROR($AA13*W13,"No value")</f>
        <v>33.583256273894122</v>
      </c>
      <c r="AC13" s="84">
        <f>IFERROR($AA13*X13,"No value")</f>
        <v>0.53733210038230594</v>
      </c>
    </row>
    <row r="14" spans="2:29" x14ac:dyDescent="0.2">
      <c r="C14" s="8" t="str">
        <v>Australia</v>
      </c>
      <c r="D14" s="56" t="str">
        <v>East Asia &amp; Pacific</v>
      </c>
      <c r="E14" s="218">
        <f t="shared" si="0"/>
        <v>3.33922844714392</v>
      </c>
      <c r="F14" s="219" t="str">
        <f t="shared" si="1"/>
        <v>M</v>
      </c>
      <c r="G14" s="220" t="str">
        <f t="shared" ref="G14:G74" si="11">IF(E14&lt;=100,"B",IF(E14&lt;=250,"M","W"))</f>
        <v>B</v>
      </c>
      <c r="H14" s="220" t="str">
        <f t="shared" ref="H14:H74" si="12">$H$11&amp;F14&amp;G14</f>
        <v>WMB</v>
      </c>
      <c r="I14" s="220" t="str">
        <f t="shared" ref="I14:I74" si="13">$I$11&amp;F14&amp;G14</f>
        <v>BMB</v>
      </c>
      <c r="J14" s="208">
        <f t="shared" ref="J14:J44" si="14">IF(INDEX(Input_LinedLandfill,MATCH(C14,Input_countries,0))="-","",INDEX(Input_LinedLandfill,MATCH(C14,Input_countries,0)))</f>
        <v>0.55000000000000004</v>
      </c>
      <c r="K14" s="208">
        <f t="shared" si="2"/>
        <v>1.083</v>
      </c>
      <c r="L14" s="208" t="str">
        <f t="shared" si="3"/>
        <v/>
      </c>
      <c r="M14" s="223" t="str">
        <f t="shared" si="4"/>
        <v>-</v>
      </c>
      <c r="N14" s="223">
        <f t="shared" ref="N14:N74" si="15">IF(J14="",M14,J14)</f>
        <v>0.55000000000000004</v>
      </c>
      <c r="O14" s="223">
        <f t="shared" ref="O14:O44" si="16">INDEX(HARAS_scoreLined,MATCH(H14,HARAS_code,0))</f>
        <v>31</v>
      </c>
      <c r="P14" s="223">
        <f t="shared" si="5"/>
        <v>0.5</v>
      </c>
      <c r="Q14" s="223">
        <f t="shared" si="6"/>
        <v>356</v>
      </c>
      <c r="R14" s="223">
        <f t="shared" si="7"/>
        <v>6</v>
      </c>
      <c r="S14" s="224">
        <f t="shared" ref="S14:S74" si="17">O14/$S$5*($S$3*$S$4)</f>
        <v>5.7943143503971042</v>
      </c>
      <c r="T14" s="224">
        <f>P14/$S$5*($S$3*$S$4)</f>
        <v>9.3456683070921032E-2</v>
      </c>
      <c r="U14" s="224">
        <f t="shared" si="8"/>
        <v>66.541158346495777</v>
      </c>
      <c r="V14" s="224">
        <f t="shared" si="8"/>
        <v>1.1214801968510524</v>
      </c>
      <c r="W14" s="224">
        <f t="shared" ref="W14:W44" si="18">(N14*S14)+((1-N14)*U14)</f>
        <v>33.130394148641507</v>
      </c>
      <c r="X14" s="224">
        <f t="shared" si="9"/>
        <v>0.55606726427198017</v>
      </c>
      <c r="Y14" s="218">
        <f t="shared" si="10"/>
        <v>56780</v>
      </c>
      <c r="Z14" s="57">
        <f t="shared" ref="Z14:Z44" si="19">IFERROR(Y14*$Z$3,"No value")</f>
        <v>63879.544080000007</v>
      </c>
      <c r="AA14" s="57">
        <f t="shared" ref="AA14:AA44" si="20">IFERROR((Z14/$Z$4)^$Z$5,"No value")</f>
        <v>0.7982647998700374</v>
      </c>
      <c r="AB14" s="84">
        <f t="shared" ref="AB14:AC74" si="21">IFERROR($AA14*W14,"No value")</f>
        <v>26.446827454680772</v>
      </c>
      <c r="AC14" s="84">
        <f t="shared" si="21"/>
        <v>0.44388892342835146</v>
      </c>
    </row>
    <row r="15" spans="2:29" x14ac:dyDescent="0.2">
      <c r="C15" s="8" t="str">
        <v>Austria</v>
      </c>
      <c r="D15" s="56" t="str">
        <v>Europe &amp; Central Asia</v>
      </c>
      <c r="E15" s="218">
        <f t="shared" si="0"/>
        <v>108.528805138148</v>
      </c>
      <c r="F15" s="219" t="str">
        <f t="shared" si="1"/>
        <v>M</v>
      </c>
      <c r="G15" s="220" t="str">
        <f t="shared" si="11"/>
        <v>M</v>
      </c>
      <c r="H15" s="220" t="str">
        <f t="shared" si="12"/>
        <v>WMM</v>
      </c>
      <c r="I15" s="220" t="str">
        <f t="shared" si="13"/>
        <v>BMM</v>
      </c>
      <c r="J15" s="208" t="str">
        <f t="shared" si="14"/>
        <v/>
      </c>
      <c r="K15" s="208">
        <f t="shared" si="2"/>
        <v>1.641</v>
      </c>
      <c r="L15" s="208" t="str">
        <f t="shared" si="3"/>
        <v/>
      </c>
      <c r="M15" s="223">
        <f t="shared" si="4"/>
        <v>1</v>
      </c>
      <c r="N15" s="223">
        <f t="shared" si="15"/>
        <v>1</v>
      </c>
      <c r="O15" s="223">
        <f t="shared" si="16"/>
        <v>53</v>
      </c>
      <c r="P15" s="223">
        <f t="shared" si="5"/>
        <v>0.9</v>
      </c>
      <c r="Q15" s="223">
        <f t="shared" si="6"/>
        <v>605</v>
      </c>
      <c r="R15" s="223">
        <f t="shared" si="7"/>
        <v>10</v>
      </c>
      <c r="S15" s="224">
        <f t="shared" si="17"/>
        <v>9.9064084055176291</v>
      </c>
      <c r="T15" s="224">
        <f t="shared" si="8"/>
        <v>0.16822202952765786</v>
      </c>
      <c r="U15" s="224">
        <f t="shared" si="8"/>
        <v>113.08258651581444</v>
      </c>
      <c r="V15" s="224">
        <f t="shared" si="8"/>
        <v>1.8691336614184206</v>
      </c>
      <c r="W15" s="224">
        <f t="shared" si="18"/>
        <v>9.9064084055176291</v>
      </c>
      <c r="X15" s="224">
        <f t="shared" si="9"/>
        <v>0.16822202952765786</v>
      </c>
      <c r="Y15" s="218">
        <f t="shared" si="10"/>
        <v>64410</v>
      </c>
      <c r="Z15" s="57">
        <f t="shared" si="19"/>
        <v>72463.568760000009</v>
      </c>
      <c r="AA15" s="57">
        <f t="shared" si="20"/>
        <v>0.90553426839783568</v>
      </c>
      <c r="AB15" s="84">
        <f t="shared" si="21"/>
        <v>8.9705922879405762</v>
      </c>
      <c r="AC15" s="84">
        <f t="shared" si="21"/>
        <v>0.15233081243672678</v>
      </c>
    </row>
    <row r="16" spans="2:29" x14ac:dyDescent="0.2">
      <c r="C16" s="8" t="str">
        <v>Bangladesh</v>
      </c>
      <c r="D16" s="56" t="str">
        <v>South Asia</v>
      </c>
      <c r="E16" s="218">
        <f t="shared" si="0"/>
        <v>1301.0390335714801</v>
      </c>
      <c r="F16" s="219" t="str">
        <f t="shared" si="1"/>
        <v>W</v>
      </c>
      <c r="G16" s="220" t="str">
        <f t="shared" si="11"/>
        <v>W</v>
      </c>
      <c r="H16" s="220" t="str">
        <f t="shared" si="12"/>
        <v>WWW</v>
      </c>
      <c r="I16" s="220" t="str">
        <f t="shared" si="13"/>
        <v>BWW</v>
      </c>
      <c r="J16" s="208" t="str">
        <f t="shared" si="14"/>
        <v/>
      </c>
      <c r="K16" s="208">
        <f t="shared" si="2"/>
        <v>-1.331</v>
      </c>
      <c r="L16" s="208" t="str">
        <f t="shared" si="3"/>
        <v/>
      </c>
      <c r="M16" s="223">
        <f t="shared" si="4"/>
        <v>0</v>
      </c>
      <c r="N16" s="223">
        <f t="shared" si="15"/>
        <v>0</v>
      </c>
      <c r="O16" s="223">
        <f t="shared" si="16"/>
        <v>88</v>
      </c>
      <c r="P16" s="223">
        <f t="shared" si="5"/>
        <v>1.4</v>
      </c>
      <c r="Q16" s="223">
        <f t="shared" si="6"/>
        <v>1000</v>
      </c>
      <c r="R16" s="223">
        <f t="shared" si="7"/>
        <v>16</v>
      </c>
      <c r="S16" s="224">
        <f t="shared" si="17"/>
        <v>16.4483762204821</v>
      </c>
      <c r="T16" s="224">
        <f t="shared" si="8"/>
        <v>0.26167871259857889</v>
      </c>
      <c r="U16" s="224">
        <f t="shared" si="8"/>
        <v>186.91336614184206</v>
      </c>
      <c r="V16" s="224">
        <f t="shared" si="8"/>
        <v>2.990613858269473</v>
      </c>
      <c r="W16" s="224">
        <f t="shared" si="18"/>
        <v>186.91336614184206</v>
      </c>
      <c r="X16" s="224">
        <f t="shared" si="9"/>
        <v>2.990613858269473</v>
      </c>
      <c r="Y16" s="218">
        <f t="shared" si="10"/>
        <v>7750</v>
      </c>
      <c r="Z16" s="57">
        <f t="shared" si="19"/>
        <v>8719.0290000000005</v>
      </c>
      <c r="AA16" s="57">
        <f t="shared" si="20"/>
        <v>0.10895653749547006</v>
      </c>
      <c r="AB16" s="84">
        <f t="shared" si="21"/>
        <v>20.365433186438139</v>
      </c>
      <c r="AC16" s="84">
        <f t="shared" si="21"/>
        <v>0.32584693098301021</v>
      </c>
    </row>
    <row r="17" spans="3:29" x14ac:dyDescent="0.2">
      <c r="C17" s="8" t="str">
        <v>Belgium</v>
      </c>
      <c r="D17" s="56" t="str">
        <v>Europe &amp; Central Asia</v>
      </c>
      <c r="E17" s="218">
        <f t="shared" si="0"/>
        <v>382.635237780713</v>
      </c>
      <c r="F17" s="219" t="str">
        <f t="shared" si="1"/>
        <v>M</v>
      </c>
      <c r="G17" s="220" t="str">
        <f t="shared" si="11"/>
        <v>W</v>
      </c>
      <c r="H17" s="220" t="str">
        <f t="shared" si="12"/>
        <v>WMW</v>
      </c>
      <c r="I17" s="220" t="str">
        <f t="shared" si="13"/>
        <v>BMW</v>
      </c>
      <c r="J17" s="208" t="str">
        <f t="shared" si="14"/>
        <v/>
      </c>
      <c r="K17" s="208">
        <f t="shared" si="2"/>
        <v>1.159</v>
      </c>
      <c r="L17" s="208" t="str">
        <f t="shared" si="3"/>
        <v/>
      </c>
      <c r="M17" s="223">
        <f t="shared" si="4"/>
        <v>1</v>
      </c>
      <c r="N17" s="223">
        <f t="shared" si="15"/>
        <v>1</v>
      </c>
      <c r="O17" s="223">
        <f t="shared" si="16"/>
        <v>63</v>
      </c>
      <c r="P17" s="223">
        <f t="shared" si="5"/>
        <v>1</v>
      </c>
      <c r="Q17" s="223">
        <f t="shared" si="6"/>
        <v>712</v>
      </c>
      <c r="R17" s="223">
        <f t="shared" si="7"/>
        <v>12</v>
      </c>
      <c r="S17" s="224">
        <f t="shared" si="17"/>
        <v>11.775542066936049</v>
      </c>
      <c r="T17" s="224">
        <f t="shared" si="8"/>
        <v>0.18691336614184206</v>
      </c>
      <c r="U17" s="224">
        <f t="shared" si="8"/>
        <v>133.08231669299155</v>
      </c>
      <c r="V17" s="224">
        <f t="shared" si="8"/>
        <v>2.2429603937021048</v>
      </c>
      <c r="W17" s="224">
        <f t="shared" si="18"/>
        <v>11.775542066936049</v>
      </c>
      <c r="X17" s="224">
        <f t="shared" si="9"/>
        <v>0.18691336614184206</v>
      </c>
      <c r="Y17" s="218">
        <f t="shared" si="10"/>
        <v>62770</v>
      </c>
      <c r="Z17" s="57">
        <f t="shared" si="19"/>
        <v>70618.509720000016</v>
      </c>
      <c r="AA17" s="57">
        <f t="shared" si="20"/>
        <v>0.88247765917298793</v>
      </c>
      <c r="AB17" s="84">
        <f t="shared" si="21"/>
        <v>10.391652798722772</v>
      </c>
      <c r="AC17" s="84">
        <f t="shared" si="21"/>
        <v>0.16494686982099641</v>
      </c>
    </row>
    <row r="18" spans="3:29" x14ac:dyDescent="0.2">
      <c r="C18" s="8" t="str">
        <v>Bolivia</v>
      </c>
      <c r="D18" s="56" t="str">
        <v>Latin America &amp; Caribbean</v>
      </c>
      <c r="E18" s="218">
        <f t="shared" si="0"/>
        <v>11.1506249423059</v>
      </c>
      <c r="F18" s="219" t="str">
        <f t="shared" si="1"/>
        <v>M</v>
      </c>
      <c r="G18" s="220" t="str">
        <f t="shared" si="11"/>
        <v>B</v>
      </c>
      <c r="H18" s="220" t="str">
        <f t="shared" si="12"/>
        <v>WMB</v>
      </c>
      <c r="I18" s="220" t="str">
        <f t="shared" si="13"/>
        <v>BMB</v>
      </c>
      <c r="J18" s="208" t="str">
        <f t="shared" si="14"/>
        <v/>
      </c>
      <c r="K18" s="208">
        <f t="shared" si="2"/>
        <v>-0.74299999999999999</v>
      </c>
      <c r="L18" s="208">
        <f t="shared" si="3"/>
        <v>0.57600000000000007</v>
      </c>
      <c r="M18" s="223">
        <f t="shared" si="4"/>
        <v>0</v>
      </c>
      <c r="N18" s="223">
        <f t="shared" si="15"/>
        <v>0</v>
      </c>
      <c r="O18" s="223">
        <f t="shared" si="16"/>
        <v>31</v>
      </c>
      <c r="P18" s="223">
        <f t="shared" si="5"/>
        <v>0.5</v>
      </c>
      <c r="Q18" s="223">
        <f t="shared" si="6"/>
        <v>356</v>
      </c>
      <c r="R18" s="223">
        <f t="shared" si="7"/>
        <v>6</v>
      </c>
      <c r="S18" s="224">
        <f t="shared" si="17"/>
        <v>5.7943143503971042</v>
      </c>
      <c r="T18" s="224">
        <f t="shared" si="8"/>
        <v>9.3456683070921032E-2</v>
      </c>
      <c r="U18" s="224">
        <f t="shared" si="8"/>
        <v>66.541158346495777</v>
      </c>
      <c r="V18" s="224">
        <f t="shared" si="8"/>
        <v>1.1214801968510524</v>
      </c>
      <c r="W18" s="224">
        <f t="shared" si="18"/>
        <v>66.541158346495777</v>
      </c>
      <c r="X18" s="224">
        <f t="shared" si="9"/>
        <v>1.1214801968510524</v>
      </c>
      <c r="Y18" s="218">
        <f t="shared" si="10"/>
        <v>9110</v>
      </c>
      <c r="Z18" s="57">
        <f t="shared" si="19"/>
        <v>10249.077960000001</v>
      </c>
      <c r="AA18" s="57">
        <f t="shared" si="20"/>
        <v>0.12807665246241706</v>
      </c>
      <c r="AB18" s="84">
        <f t="shared" si="21"/>
        <v>8.5223688119908019</v>
      </c>
      <c r="AC18" s="84">
        <f t="shared" si="21"/>
        <v>0.14363542941557531</v>
      </c>
    </row>
    <row r="19" spans="3:29" x14ac:dyDescent="0.2">
      <c r="C19" s="8" t="str">
        <v>Brazil</v>
      </c>
      <c r="D19" s="56" t="str">
        <v>Latin America &amp; Caribbean</v>
      </c>
      <c r="E19" s="218">
        <f t="shared" si="0"/>
        <v>25.642813233566301</v>
      </c>
      <c r="F19" s="219" t="str">
        <f t="shared" si="1"/>
        <v>W</v>
      </c>
      <c r="G19" s="220" t="str">
        <f t="shared" si="11"/>
        <v>B</v>
      </c>
      <c r="H19" s="220" t="str">
        <f t="shared" si="12"/>
        <v>WWB</v>
      </c>
      <c r="I19" s="220" t="str">
        <f t="shared" si="13"/>
        <v>BWB</v>
      </c>
      <c r="J19" s="208" t="str">
        <f t="shared" si="14"/>
        <v/>
      </c>
      <c r="K19" s="208">
        <f t="shared" si="2"/>
        <v>-7.6999999999999999E-2</v>
      </c>
      <c r="L19" s="208">
        <f t="shared" si="3"/>
        <v>0.91300000000000003</v>
      </c>
      <c r="M19" s="223">
        <f t="shared" si="4"/>
        <v>0</v>
      </c>
      <c r="N19" s="223">
        <f t="shared" si="15"/>
        <v>0</v>
      </c>
      <c r="O19" s="223">
        <f t="shared" si="16"/>
        <v>44</v>
      </c>
      <c r="P19" s="223">
        <f t="shared" si="5"/>
        <v>0.7</v>
      </c>
      <c r="Q19" s="223">
        <f t="shared" si="6"/>
        <v>500</v>
      </c>
      <c r="R19" s="223">
        <f t="shared" si="7"/>
        <v>8</v>
      </c>
      <c r="S19" s="224">
        <f t="shared" si="17"/>
        <v>8.2241881102410499</v>
      </c>
      <c r="T19" s="224">
        <f t="shared" si="8"/>
        <v>0.13083935629928944</v>
      </c>
      <c r="U19" s="224">
        <f t="shared" si="8"/>
        <v>93.456683070921031</v>
      </c>
      <c r="V19" s="224">
        <f t="shared" si="8"/>
        <v>1.4953069291347365</v>
      </c>
      <c r="W19" s="224">
        <f t="shared" si="18"/>
        <v>93.456683070921031</v>
      </c>
      <c r="X19" s="224">
        <f t="shared" si="9"/>
        <v>1.4953069291347365</v>
      </c>
      <c r="Y19" s="218">
        <f t="shared" si="10"/>
        <v>17120</v>
      </c>
      <c r="Z19" s="57">
        <f t="shared" si="19"/>
        <v>19260.616320000001</v>
      </c>
      <c r="AA19" s="57">
        <f t="shared" si="20"/>
        <v>0.24068850605450934</v>
      </c>
      <c r="AB19" s="84">
        <f t="shared" si="21"/>
        <v>22.493949429149737</v>
      </c>
      <c r="AC19" s="84">
        <f t="shared" si="21"/>
        <v>0.35990319086639577</v>
      </c>
    </row>
    <row r="20" spans="3:29" x14ac:dyDescent="0.2">
      <c r="C20" s="8" t="str">
        <v>Bulgaria</v>
      </c>
      <c r="D20" s="56" t="str">
        <v>Europe &amp; Central Asia</v>
      </c>
      <c r="E20" s="218">
        <f t="shared" si="0"/>
        <v>63.354301768607201</v>
      </c>
      <c r="F20" s="219" t="str">
        <f t="shared" si="1"/>
        <v>M</v>
      </c>
      <c r="G20" s="220" t="str">
        <f t="shared" si="11"/>
        <v>B</v>
      </c>
      <c r="H20" s="220" t="str">
        <f t="shared" si="12"/>
        <v>WMB</v>
      </c>
      <c r="I20" s="220" t="str">
        <f t="shared" si="13"/>
        <v>BMB</v>
      </c>
      <c r="J20" s="208" t="str">
        <f t="shared" si="14"/>
        <v/>
      </c>
      <c r="K20" s="208">
        <f t="shared" si="2"/>
        <v>-0.58399999999999996</v>
      </c>
      <c r="L20" s="208" t="str">
        <f t="shared" si="3"/>
        <v/>
      </c>
      <c r="M20" s="223">
        <f t="shared" si="4"/>
        <v>0</v>
      </c>
      <c r="N20" s="223">
        <f t="shared" si="15"/>
        <v>0</v>
      </c>
      <c r="O20" s="223">
        <f t="shared" si="16"/>
        <v>31</v>
      </c>
      <c r="P20" s="223">
        <f t="shared" si="5"/>
        <v>0.5</v>
      </c>
      <c r="Q20" s="223">
        <f t="shared" si="6"/>
        <v>356</v>
      </c>
      <c r="R20" s="223">
        <f t="shared" si="7"/>
        <v>6</v>
      </c>
      <c r="S20" s="224">
        <f t="shared" si="17"/>
        <v>5.7943143503971042</v>
      </c>
      <c r="T20" s="224">
        <f t="shared" si="8"/>
        <v>9.3456683070921032E-2</v>
      </c>
      <c r="U20" s="224">
        <f t="shared" si="8"/>
        <v>66.541158346495777</v>
      </c>
      <c r="V20" s="224">
        <f t="shared" si="8"/>
        <v>1.1214801968510524</v>
      </c>
      <c r="W20" s="224">
        <f t="shared" si="18"/>
        <v>66.541158346495777</v>
      </c>
      <c r="X20" s="224">
        <f t="shared" si="9"/>
        <v>1.1214801968510524</v>
      </c>
      <c r="Y20" s="218">
        <f t="shared" si="10"/>
        <v>28240</v>
      </c>
      <c r="Z20" s="57">
        <f t="shared" si="19"/>
        <v>31771.016640000005</v>
      </c>
      <c r="AA20" s="57">
        <f t="shared" si="20"/>
        <v>0.39702356372542902</v>
      </c>
      <c r="AB20" s="84">
        <f t="shared" si="21"/>
        <v>26.41840782114383</v>
      </c>
      <c r="AC20" s="84">
        <f t="shared" si="21"/>
        <v>0.4452540644013005</v>
      </c>
    </row>
    <row r="21" spans="3:29" x14ac:dyDescent="0.2">
      <c r="C21" s="8" t="str">
        <v>Canada</v>
      </c>
      <c r="D21" s="56" t="str">
        <v>North America</v>
      </c>
      <c r="E21" s="218">
        <f t="shared" si="0"/>
        <v>4.3510262041030003</v>
      </c>
      <c r="F21" s="219" t="str">
        <f t="shared" si="1"/>
        <v>M</v>
      </c>
      <c r="G21" s="220" t="str">
        <f t="shared" si="11"/>
        <v>B</v>
      </c>
      <c r="H21" s="220" t="str">
        <f t="shared" si="12"/>
        <v>WMB</v>
      </c>
      <c r="I21" s="220" t="str">
        <f t="shared" si="13"/>
        <v>BMB</v>
      </c>
      <c r="J21" s="208" t="str">
        <f t="shared" si="14"/>
        <v/>
      </c>
      <c r="K21" s="208">
        <f t="shared" si="2"/>
        <v>1.2969999999999999</v>
      </c>
      <c r="L21" s="208">
        <f t="shared" si="3"/>
        <v>0.99</v>
      </c>
      <c r="M21" s="223">
        <f t="shared" si="4"/>
        <v>0.6</v>
      </c>
      <c r="N21" s="223">
        <f t="shared" si="15"/>
        <v>0.6</v>
      </c>
      <c r="O21" s="223">
        <f t="shared" si="16"/>
        <v>31</v>
      </c>
      <c r="P21" s="223">
        <f t="shared" si="5"/>
        <v>0.5</v>
      </c>
      <c r="Q21" s="223">
        <f t="shared" si="6"/>
        <v>356</v>
      </c>
      <c r="R21" s="223">
        <f t="shared" si="7"/>
        <v>6</v>
      </c>
      <c r="S21" s="224">
        <f t="shared" si="17"/>
        <v>5.7943143503971042</v>
      </c>
      <c r="T21" s="224">
        <f t="shared" si="8"/>
        <v>9.3456683070921032E-2</v>
      </c>
      <c r="U21" s="224">
        <f t="shared" si="8"/>
        <v>66.541158346495777</v>
      </c>
      <c r="V21" s="224">
        <f t="shared" si="8"/>
        <v>1.1214801968510524</v>
      </c>
      <c r="W21" s="224">
        <f t="shared" si="18"/>
        <v>30.093051948836575</v>
      </c>
      <c r="X21" s="224">
        <f t="shared" si="9"/>
        <v>0.50466608858297357</v>
      </c>
      <c r="Y21" s="218">
        <f t="shared" si="10"/>
        <v>55300</v>
      </c>
      <c r="Z21" s="57">
        <f t="shared" si="19"/>
        <v>62214.490800000007</v>
      </c>
      <c r="AA21" s="57">
        <f t="shared" si="20"/>
        <v>0.77745761593541862</v>
      </c>
      <c r="AB21" s="84">
        <f t="shared" si="21"/>
        <v>23.396072424363187</v>
      </c>
      <c r="AC21" s="84">
        <f t="shared" si="21"/>
        <v>0.39235649407317141</v>
      </c>
    </row>
    <row r="22" spans="3:29" x14ac:dyDescent="0.2">
      <c r="C22" s="8" t="str">
        <v>Chile</v>
      </c>
      <c r="D22" s="56" t="str">
        <v>Latin America &amp; Caribbean</v>
      </c>
      <c r="E22" s="218">
        <f t="shared" si="0"/>
        <v>26.217007472442301</v>
      </c>
      <c r="F22" s="219" t="str">
        <f t="shared" si="1"/>
        <v>W</v>
      </c>
      <c r="G22" s="220" t="str">
        <f t="shared" si="11"/>
        <v>B</v>
      </c>
      <c r="H22" s="220" t="str">
        <f t="shared" si="12"/>
        <v>WWB</v>
      </c>
      <c r="I22" s="220" t="str">
        <f t="shared" si="13"/>
        <v>BWB</v>
      </c>
      <c r="J22" s="208">
        <f t="shared" si="14"/>
        <v>0.7</v>
      </c>
      <c r="K22" s="208">
        <f t="shared" si="2"/>
        <v>0.17699999999999999</v>
      </c>
      <c r="L22" s="208" t="str">
        <f t="shared" si="3"/>
        <v/>
      </c>
      <c r="M22" s="223" t="str">
        <f t="shared" si="4"/>
        <v>-</v>
      </c>
      <c r="N22" s="223">
        <f t="shared" si="15"/>
        <v>0.7</v>
      </c>
      <c r="O22" s="223">
        <f t="shared" si="16"/>
        <v>44</v>
      </c>
      <c r="P22" s="223">
        <f t="shared" si="5"/>
        <v>0.7</v>
      </c>
      <c r="Q22" s="223">
        <f t="shared" si="6"/>
        <v>500</v>
      </c>
      <c r="R22" s="223">
        <f t="shared" si="7"/>
        <v>8</v>
      </c>
      <c r="S22" s="224">
        <f t="shared" si="17"/>
        <v>8.2241881102410499</v>
      </c>
      <c r="T22" s="224">
        <f t="shared" si="8"/>
        <v>0.13083935629928944</v>
      </c>
      <c r="U22" s="224">
        <f t="shared" si="8"/>
        <v>93.456683070921031</v>
      </c>
      <c r="V22" s="224">
        <f t="shared" si="8"/>
        <v>1.4953069291347365</v>
      </c>
      <c r="W22" s="224">
        <f t="shared" si="18"/>
        <v>33.79393659844505</v>
      </c>
      <c r="X22" s="224">
        <f t="shared" si="9"/>
        <v>0.5401796281499236</v>
      </c>
      <c r="Y22" s="218">
        <f t="shared" si="10"/>
        <v>27410</v>
      </c>
      <c r="Z22" s="57">
        <f t="shared" si="19"/>
        <v>30837.236760000003</v>
      </c>
      <c r="AA22" s="57">
        <f t="shared" si="20"/>
        <v>0.38535467003236573</v>
      </c>
      <c r="AB22" s="84">
        <f t="shared" si="21"/>
        <v>13.022651286988481</v>
      </c>
      <c r="AC22" s="84">
        <f t="shared" si="21"/>
        <v>0.20816074236391982</v>
      </c>
    </row>
    <row r="23" spans="3:29" x14ac:dyDescent="0.2">
      <c r="C23" s="8" t="str">
        <v>China</v>
      </c>
      <c r="D23" s="56" t="str">
        <v>East Asia &amp; Pacific</v>
      </c>
      <c r="E23" s="218">
        <f t="shared" si="0"/>
        <v>150.43975369106599</v>
      </c>
      <c r="F23" s="219" t="str">
        <f t="shared" si="1"/>
        <v>W</v>
      </c>
      <c r="G23" s="220" t="str">
        <f t="shared" si="11"/>
        <v>M</v>
      </c>
      <c r="H23" s="220" t="str">
        <f t="shared" si="12"/>
        <v>WWM</v>
      </c>
      <c r="I23" s="220" t="str">
        <f t="shared" si="13"/>
        <v>BWM</v>
      </c>
      <c r="J23" s="208" t="str">
        <f t="shared" si="14"/>
        <v/>
      </c>
      <c r="K23" s="208">
        <f t="shared" si="2"/>
        <v>-0.34799999999999998</v>
      </c>
      <c r="L23" s="208">
        <f t="shared" si="3"/>
        <v>0.94</v>
      </c>
      <c r="M23" s="223">
        <f t="shared" si="4"/>
        <v>0</v>
      </c>
      <c r="N23" s="223">
        <f t="shared" si="15"/>
        <v>0</v>
      </c>
      <c r="O23" s="223">
        <f t="shared" si="16"/>
        <v>75</v>
      </c>
      <c r="P23" s="223">
        <f t="shared" si="5"/>
        <v>1.2</v>
      </c>
      <c r="Q23" s="223">
        <f t="shared" si="6"/>
        <v>850</v>
      </c>
      <c r="R23" s="223">
        <f t="shared" si="7"/>
        <v>14</v>
      </c>
      <c r="S23" s="224">
        <f t="shared" si="17"/>
        <v>14.018502460638155</v>
      </c>
      <c r="T23" s="224">
        <f t="shared" si="8"/>
        <v>0.22429603937021045</v>
      </c>
      <c r="U23" s="224">
        <f t="shared" si="8"/>
        <v>158.87636122056574</v>
      </c>
      <c r="V23" s="224">
        <f t="shared" si="8"/>
        <v>2.6167871259857889</v>
      </c>
      <c r="W23" s="224">
        <f t="shared" si="18"/>
        <v>158.87636122056574</v>
      </c>
      <c r="X23" s="224">
        <f t="shared" si="9"/>
        <v>2.6167871259857889</v>
      </c>
      <c r="Y23" s="218">
        <f t="shared" si="10"/>
        <v>20260</v>
      </c>
      <c r="Z23" s="57">
        <f t="shared" si="19"/>
        <v>22793.229360000001</v>
      </c>
      <c r="AA23" s="57">
        <f t="shared" si="20"/>
        <v>0.28483347737525461</v>
      </c>
      <c r="AB23" s="84">
        <f t="shared" si="21"/>
        <v>45.25330643918079</v>
      </c>
      <c r="AC23" s="84">
        <f t="shared" si="21"/>
        <v>0.74534857664533072</v>
      </c>
    </row>
    <row r="24" spans="3:29" x14ac:dyDescent="0.2">
      <c r="C24" s="8" t="str">
        <v>Colombia</v>
      </c>
      <c r="D24" s="56" t="str">
        <v>Latin America &amp; Caribbean</v>
      </c>
      <c r="E24" s="218">
        <f t="shared" si="0"/>
        <v>46.432232537178898</v>
      </c>
      <c r="F24" s="219" t="str">
        <f t="shared" si="1"/>
        <v>M</v>
      </c>
      <c r="G24" s="220" t="str">
        <f t="shared" si="11"/>
        <v>B</v>
      </c>
      <c r="H24" s="220" t="str">
        <f t="shared" si="12"/>
        <v>WMB</v>
      </c>
      <c r="I24" s="220" t="str">
        <f t="shared" si="13"/>
        <v>BMB</v>
      </c>
      <c r="J24" s="208" t="str">
        <f t="shared" si="14"/>
        <v/>
      </c>
      <c r="K24" s="208">
        <f t="shared" si="2"/>
        <v>-0.41599999999999998</v>
      </c>
      <c r="L24" s="208">
        <f t="shared" si="3"/>
        <v>0.80600000000000005</v>
      </c>
      <c r="M24" s="223">
        <f t="shared" si="4"/>
        <v>0</v>
      </c>
      <c r="N24" s="223">
        <f t="shared" si="15"/>
        <v>0</v>
      </c>
      <c r="O24" s="223">
        <f t="shared" si="16"/>
        <v>31</v>
      </c>
      <c r="P24" s="223">
        <f t="shared" si="5"/>
        <v>0.5</v>
      </c>
      <c r="Q24" s="223">
        <f t="shared" si="6"/>
        <v>356</v>
      </c>
      <c r="R24" s="223">
        <f t="shared" si="7"/>
        <v>6</v>
      </c>
      <c r="S24" s="224">
        <f t="shared" si="17"/>
        <v>5.7943143503971042</v>
      </c>
      <c r="T24" s="224">
        <f t="shared" si="8"/>
        <v>9.3456683070921032E-2</v>
      </c>
      <c r="U24" s="224">
        <f t="shared" si="8"/>
        <v>66.541158346495777</v>
      </c>
      <c r="V24" s="224">
        <f t="shared" si="8"/>
        <v>1.1214801968510524</v>
      </c>
      <c r="W24" s="224">
        <f t="shared" si="18"/>
        <v>66.541158346495777</v>
      </c>
      <c r="X24" s="224">
        <f t="shared" si="9"/>
        <v>1.1214801968510524</v>
      </c>
      <c r="Y24" s="218">
        <f t="shared" si="10"/>
        <v>17310</v>
      </c>
      <c r="Z24" s="57">
        <f t="shared" si="19"/>
        <v>19474.373160000003</v>
      </c>
      <c r="AA24" s="57">
        <f t="shared" si="20"/>
        <v>0.24335969858665638</v>
      </c>
      <c r="AB24" s="84">
        <f t="shared" si="21"/>
        <v>16.193436238810186</v>
      </c>
      <c r="AC24" s="84">
        <f t="shared" si="21"/>
        <v>0.27292308267657617</v>
      </c>
    </row>
    <row r="25" spans="3:29" x14ac:dyDescent="0.2">
      <c r="C25" s="8" t="str">
        <v>Costa Rica</v>
      </c>
      <c r="D25" s="56" t="str">
        <v>Latin America &amp; Caribbean</v>
      </c>
      <c r="E25" s="218">
        <f t="shared" si="0"/>
        <v>100.939228358794</v>
      </c>
      <c r="F25" s="219" t="str">
        <f t="shared" si="1"/>
        <v>M</v>
      </c>
      <c r="G25" s="220" t="str">
        <f t="shared" si="11"/>
        <v>M</v>
      </c>
      <c r="H25" s="220" t="str">
        <f t="shared" si="12"/>
        <v>WMM</v>
      </c>
      <c r="I25" s="220" t="str">
        <f t="shared" si="13"/>
        <v>BMM</v>
      </c>
      <c r="J25" s="208" t="str">
        <f t="shared" si="14"/>
        <v/>
      </c>
      <c r="K25" s="208">
        <f t="shared" si="2"/>
        <v>-7.8E-2</v>
      </c>
      <c r="L25" s="208">
        <f t="shared" si="3"/>
        <v>0.90400000000000003</v>
      </c>
      <c r="M25" s="223">
        <f t="shared" si="4"/>
        <v>0</v>
      </c>
      <c r="N25" s="223">
        <f t="shared" si="15"/>
        <v>0</v>
      </c>
      <c r="O25" s="223">
        <f t="shared" si="16"/>
        <v>53</v>
      </c>
      <c r="P25" s="223">
        <f t="shared" si="5"/>
        <v>0.9</v>
      </c>
      <c r="Q25" s="223">
        <f t="shared" si="6"/>
        <v>605</v>
      </c>
      <c r="R25" s="223">
        <f t="shared" si="7"/>
        <v>10</v>
      </c>
      <c r="S25" s="224">
        <f t="shared" si="17"/>
        <v>9.9064084055176291</v>
      </c>
      <c r="T25" s="224">
        <f t="shared" si="8"/>
        <v>0.16822202952765786</v>
      </c>
      <c r="U25" s="224">
        <f t="shared" si="8"/>
        <v>113.08258651581444</v>
      </c>
      <c r="V25" s="224">
        <f t="shared" si="8"/>
        <v>1.8691336614184206</v>
      </c>
      <c r="W25" s="224">
        <f t="shared" si="18"/>
        <v>113.08258651581444</v>
      </c>
      <c r="X25" s="224">
        <f t="shared" si="9"/>
        <v>1.8691336614184206</v>
      </c>
      <c r="Y25" s="218">
        <f t="shared" si="10"/>
        <v>22150</v>
      </c>
      <c r="Z25" s="57">
        <f t="shared" si="19"/>
        <v>24919.547400000003</v>
      </c>
      <c r="AA25" s="57">
        <f t="shared" si="20"/>
        <v>0.31140481361608541</v>
      </c>
      <c r="AB25" s="84">
        <f t="shared" si="21"/>
        <v>35.214461777182052</v>
      </c>
      <c r="AC25" s="84">
        <f t="shared" si="21"/>
        <v>0.58205721945755462</v>
      </c>
    </row>
    <row r="26" spans="3:29" x14ac:dyDescent="0.2">
      <c r="C26" s="8" t="str">
        <v>Czechia</v>
      </c>
      <c r="D26" s="56" t="str">
        <v>Europe &amp; Central Asia</v>
      </c>
      <c r="E26" s="218">
        <f t="shared" si="0"/>
        <v>136.108349053848</v>
      </c>
      <c r="F26" s="219" t="str">
        <f t="shared" si="1"/>
        <v>M</v>
      </c>
      <c r="G26" s="220" t="str">
        <f t="shared" si="11"/>
        <v>M</v>
      </c>
      <c r="H26" s="220" t="str">
        <f t="shared" si="12"/>
        <v>WMM</v>
      </c>
      <c r="I26" s="220" t="str">
        <f t="shared" si="13"/>
        <v>BMM</v>
      </c>
      <c r="J26" s="208" t="str">
        <f t="shared" si="14"/>
        <v/>
      </c>
      <c r="K26" s="208">
        <f t="shared" si="2"/>
        <v>7.2999999999999995E-2</v>
      </c>
      <c r="L26" s="208" t="str">
        <f t="shared" si="3"/>
        <v/>
      </c>
      <c r="M26" s="223">
        <f>IF(J26="",IF(AND(K26&gt;1,L26&gt;99),1,INDEX(ERQ_Landfill,MATCH(K26,ERQ_Score,-1))),"-")</f>
        <v>0.2</v>
      </c>
      <c r="N26" s="223">
        <f t="shared" si="15"/>
        <v>0.2</v>
      </c>
      <c r="O26" s="223">
        <f t="shared" si="16"/>
        <v>53</v>
      </c>
      <c r="P26" s="223">
        <f t="shared" si="5"/>
        <v>0.9</v>
      </c>
      <c r="Q26" s="223">
        <f t="shared" si="6"/>
        <v>605</v>
      </c>
      <c r="R26" s="223">
        <f t="shared" si="7"/>
        <v>10</v>
      </c>
      <c r="S26" s="224">
        <f t="shared" si="17"/>
        <v>9.9064084055176291</v>
      </c>
      <c r="T26" s="224">
        <f t="shared" si="8"/>
        <v>0.16822202952765786</v>
      </c>
      <c r="U26" s="224">
        <f t="shared" si="8"/>
        <v>113.08258651581444</v>
      </c>
      <c r="V26" s="224">
        <f t="shared" si="8"/>
        <v>1.8691336614184206</v>
      </c>
      <c r="W26" s="224">
        <f t="shared" si="18"/>
        <v>92.447350893755086</v>
      </c>
      <c r="X26" s="224">
        <f t="shared" si="9"/>
        <v>1.5289513350402681</v>
      </c>
      <c r="Y26" s="218">
        <f t="shared" si="10"/>
        <v>46440</v>
      </c>
      <c r="Z26" s="57">
        <f t="shared" si="19"/>
        <v>52246.67184000001</v>
      </c>
      <c r="AA26" s="57">
        <f t="shared" si="20"/>
        <v>0.65289569048898455</v>
      </c>
      <c r="AB26" s="84">
        <f t="shared" si="21"/>
        <v>60.358476995655671</v>
      </c>
      <c r="AC26" s="84">
        <f t="shared" si="21"/>
        <v>0.99824573761517066</v>
      </c>
    </row>
    <row r="27" spans="3:29" x14ac:dyDescent="0.2">
      <c r="C27" s="8" t="str">
        <v>Denmark</v>
      </c>
      <c r="D27" s="56" t="str">
        <v>Europe &amp; Central Asia</v>
      </c>
      <c r="E27" s="218">
        <f t="shared" si="0"/>
        <v>146.41832500000001</v>
      </c>
      <c r="F27" s="219" t="str">
        <f t="shared" si="1"/>
        <v>M</v>
      </c>
      <c r="G27" s="220" t="str">
        <f t="shared" si="11"/>
        <v>M</v>
      </c>
      <c r="H27" s="220" t="str">
        <f t="shared" si="12"/>
        <v>WMM</v>
      </c>
      <c r="I27" s="220" t="str">
        <f t="shared" si="13"/>
        <v>BMM</v>
      </c>
      <c r="J27" s="208" t="str">
        <f t="shared" si="14"/>
        <v/>
      </c>
      <c r="K27" s="208">
        <f t="shared" si="2"/>
        <v>1.3839999999999999</v>
      </c>
      <c r="L27" s="208" t="str">
        <f t="shared" si="3"/>
        <v/>
      </c>
      <c r="M27" s="223">
        <f t="shared" si="4"/>
        <v>1</v>
      </c>
      <c r="N27" s="223">
        <f t="shared" si="15"/>
        <v>1</v>
      </c>
      <c r="O27" s="223">
        <f t="shared" si="16"/>
        <v>53</v>
      </c>
      <c r="P27" s="223">
        <f t="shared" si="5"/>
        <v>0.9</v>
      </c>
      <c r="Q27" s="223">
        <f t="shared" si="6"/>
        <v>605</v>
      </c>
      <c r="R27" s="223">
        <f t="shared" si="7"/>
        <v>10</v>
      </c>
      <c r="S27" s="224">
        <f t="shared" si="17"/>
        <v>9.9064084055176291</v>
      </c>
      <c r="T27" s="224">
        <f t="shared" si="8"/>
        <v>0.16822202952765786</v>
      </c>
      <c r="U27" s="224">
        <f t="shared" si="8"/>
        <v>113.08258651581444</v>
      </c>
      <c r="V27" s="224">
        <f t="shared" si="8"/>
        <v>1.8691336614184206</v>
      </c>
      <c r="W27" s="224">
        <f t="shared" si="18"/>
        <v>9.9064084055176291</v>
      </c>
      <c r="X27" s="224">
        <f t="shared" si="9"/>
        <v>0.16822202952765786</v>
      </c>
      <c r="Y27" s="218">
        <f t="shared" si="10"/>
        <v>72640</v>
      </c>
      <c r="Z27" s="57">
        <f t="shared" si="19"/>
        <v>81722.615040000004</v>
      </c>
      <c r="AA27" s="57">
        <f t="shared" si="20"/>
        <v>1.0212390817639929</v>
      </c>
      <c r="AB27" s="84">
        <f t="shared" si="21"/>
        <v>10.116811423629924</v>
      </c>
      <c r="AC27" s="84">
        <f t="shared" si="21"/>
        <v>0.17179491096730062</v>
      </c>
    </row>
    <row r="28" spans="3:29" x14ac:dyDescent="0.2">
      <c r="C28" s="8" t="str">
        <v>Dominican Republic</v>
      </c>
      <c r="D28" s="56" t="str">
        <v>Latin America &amp; Caribbean</v>
      </c>
      <c r="E28" s="218">
        <f t="shared" si="0"/>
        <v>233.90782857503501</v>
      </c>
      <c r="F28" s="219" t="str">
        <f t="shared" si="1"/>
        <v>M</v>
      </c>
      <c r="G28" s="220" t="str">
        <f t="shared" si="11"/>
        <v>M</v>
      </c>
      <c r="H28" s="220" t="str">
        <f t="shared" si="12"/>
        <v>WMM</v>
      </c>
      <c r="I28" s="220" t="str">
        <f t="shared" si="13"/>
        <v>BMM</v>
      </c>
      <c r="J28" s="208" t="str">
        <f t="shared" si="14"/>
        <v/>
      </c>
      <c r="K28" s="208">
        <f t="shared" si="2"/>
        <v>-1.014</v>
      </c>
      <c r="L28" s="208" t="str">
        <f t="shared" si="3"/>
        <v/>
      </c>
      <c r="M28" s="223">
        <f t="shared" si="4"/>
        <v>0</v>
      </c>
      <c r="N28" s="223">
        <f t="shared" si="15"/>
        <v>0</v>
      </c>
      <c r="O28" s="223">
        <f t="shared" si="16"/>
        <v>53</v>
      </c>
      <c r="P28" s="223">
        <f t="shared" si="5"/>
        <v>0.9</v>
      </c>
      <c r="Q28" s="223">
        <f t="shared" si="6"/>
        <v>605</v>
      </c>
      <c r="R28" s="223">
        <f t="shared" si="7"/>
        <v>10</v>
      </c>
      <c r="S28" s="224">
        <f t="shared" si="17"/>
        <v>9.9064084055176291</v>
      </c>
      <c r="T28" s="224">
        <f t="shared" si="8"/>
        <v>0.16822202952765786</v>
      </c>
      <c r="U28" s="224">
        <f t="shared" si="8"/>
        <v>113.08258651581444</v>
      </c>
      <c r="V28" s="224">
        <f t="shared" si="8"/>
        <v>1.8691336614184206</v>
      </c>
      <c r="W28" s="224">
        <f t="shared" si="18"/>
        <v>113.08258651581444</v>
      </c>
      <c r="X28" s="224">
        <f t="shared" si="9"/>
        <v>1.8691336614184206</v>
      </c>
      <c r="Y28" s="218">
        <f t="shared" si="10"/>
        <v>20830</v>
      </c>
      <c r="Z28" s="57">
        <f t="shared" si="19"/>
        <v>23434.499880000003</v>
      </c>
      <c r="AA28" s="57">
        <f t="shared" si="20"/>
        <v>0.29284705497169566</v>
      </c>
      <c r="AB28" s="84">
        <f t="shared" si="21"/>
        <v>33.115902429738242</v>
      </c>
      <c r="AC28" s="84">
        <f t="shared" si="21"/>
        <v>0.547370288094847</v>
      </c>
    </row>
    <row r="29" spans="3:29" x14ac:dyDescent="0.2">
      <c r="C29" s="8" t="str">
        <v>Ecuador</v>
      </c>
      <c r="D29" s="56" t="str">
        <v>Latin America &amp; Caribbean</v>
      </c>
      <c r="E29" s="218">
        <f t="shared" si="0"/>
        <v>71.661044451602507</v>
      </c>
      <c r="F29" s="219" t="str">
        <f t="shared" si="1"/>
        <v>M</v>
      </c>
      <c r="G29" s="220" t="str">
        <f t="shared" si="11"/>
        <v>B</v>
      </c>
      <c r="H29" s="220" t="str">
        <f t="shared" si="12"/>
        <v>WMB</v>
      </c>
      <c r="I29" s="220" t="str">
        <f t="shared" si="13"/>
        <v>BMB</v>
      </c>
      <c r="J29" s="208" t="str">
        <f t="shared" si="14"/>
        <v/>
      </c>
      <c r="K29" s="208">
        <f t="shared" si="2"/>
        <v>-1.6160000000000001</v>
      </c>
      <c r="L29" s="208" t="str">
        <f t="shared" si="3"/>
        <v/>
      </c>
      <c r="M29" s="223">
        <f t="shared" si="4"/>
        <v>0</v>
      </c>
      <c r="N29" s="223">
        <f t="shared" si="15"/>
        <v>0</v>
      </c>
      <c r="O29" s="223">
        <f t="shared" si="16"/>
        <v>31</v>
      </c>
      <c r="P29" s="223">
        <f t="shared" si="5"/>
        <v>0.5</v>
      </c>
      <c r="Q29" s="223">
        <f t="shared" si="6"/>
        <v>356</v>
      </c>
      <c r="R29" s="223">
        <f t="shared" si="7"/>
        <v>6</v>
      </c>
      <c r="S29" s="224">
        <f t="shared" si="17"/>
        <v>5.7943143503971042</v>
      </c>
      <c r="T29" s="224">
        <f t="shared" ref="T29:T74" si="22">P29/$S$5*($S$3*$S$4)</f>
        <v>9.3456683070921032E-2</v>
      </c>
      <c r="U29" s="224">
        <f t="shared" ref="U29:U74" si="23">Q29/$S$5*($S$3*$S$4)</f>
        <v>66.541158346495777</v>
      </c>
      <c r="V29" s="224">
        <f t="shared" ref="V29:V74" si="24">R29/$S$5*($S$3*$S$4)</f>
        <v>1.1214801968510524</v>
      </c>
      <c r="W29" s="224">
        <f t="shared" si="18"/>
        <v>66.541158346495777</v>
      </c>
      <c r="X29" s="224">
        <f t="shared" si="9"/>
        <v>1.1214801968510524</v>
      </c>
      <c r="Y29" s="218">
        <f t="shared" si="10"/>
        <v>13240</v>
      </c>
      <c r="Z29" s="57">
        <f t="shared" si="19"/>
        <v>14895.476640000003</v>
      </c>
      <c r="AA29" s="57">
        <f t="shared" si="20"/>
        <v>0.18613994276645468</v>
      </c>
      <c r="AB29" s="84">
        <f t="shared" si="21"/>
        <v>12.385967406230321</v>
      </c>
      <c r="AC29" s="84">
        <f t="shared" si="21"/>
        <v>0.20875225965556721</v>
      </c>
    </row>
    <row r="30" spans="3:29" x14ac:dyDescent="0.2">
      <c r="C30" s="8" t="str">
        <v>Egypt, Arab Rep.</v>
      </c>
      <c r="D30" s="56" t="str">
        <v>Middle East &amp; North Africa</v>
      </c>
      <c r="E30" s="218">
        <f t="shared" si="0"/>
        <v>109.761593249284</v>
      </c>
      <c r="F30" s="219" t="str">
        <f t="shared" si="1"/>
        <v>M</v>
      </c>
      <c r="G30" s="220" t="str">
        <f t="shared" si="11"/>
        <v>M</v>
      </c>
      <c r="H30" s="220" t="str">
        <f t="shared" si="12"/>
        <v>WMM</v>
      </c>
      <c r="I30" s="220" t="str">
        <f t="shared" si="13"/>
        <v>BMM</v>
      </c>
      <c r="J30" s="208" t="str">
        <f t="shared" si="14"/>
        <v/>
      </c>
      <c r="K30" s="208">
        <f t="shared" si="2"/>
        <v>-0.224</v>
      </c>
      <c r="L30" s="208" t="str">
        <f t="shared" si="3"/>
        <v/>
      </c>
      <c r="M30" s="223">
        <f t="shared" si="4"/>
        <v>0</v>
      </c>
      <c r="N30" s="223">
        <f t="shared" si="15"/>
        <v>0</v>
      </c>
      <c r="O30" s="223">
        <f t="shared" si="16"/>
        <v>53</v>
      </c>
      <c r="P30" s="223">
        <f t="shared" si="5"/>
        <v>0.9</v>
      </c>
      <c r="Q30" s="223">
        <f t="shared" si="6"/>
        <v>605</v>
      </c>
      <c r="R30" s="223">
        <f t="shared" si="7"/>
        <v>10</v>
      </c>
      <c r="S30" s="224">
        <f t="shared" si="17"/>
        <v>9.9064084055176291</v>
      </c>
      <c r="T30" s="224">
        <f t="shared" si="22"/>
        <v>0.16822202952765786</v>
      </c>
      <c r="U30" s="224">
        <f t="shared" si="23"/>
        <v>113.08258651581444</v>
      </c>
      <c r="V30" s="224">
        <f t="shared" si="24"/>
        <v>1.8691336614184206</v>
      </c>
      <c r="W30" s="224">
        <f t="shared" si="18"/>
        <v>113.08258651581444</v>
      </c>
      <c r="X30" s="224">
        <f t="shared" si="9"/>
        <v>1.8691336614184206</v>
      </c>
      <c r="Y30" s="218">
        <f t="shared" si="10"/>
        <v>15360</v>
      </c>
      <c r="Z30" s="57">
        <f t="shared" si="19"/>
        <v>17280.552960000001</v>
      </c>
      <c r="AA30" s="57">
        <f t="shared" si="20"/>
        <v>0.21594482786198968</v>
      </c>
      <c r="AB30" s="84">
        <f t="shared" si="21"/>
        <v>24.419599679346106</v>
      </c>
      <c r="AC30" s="84">
        <f t="shared" si="21"/>
        <v>0.40362974676605134</v>
      </c>
    </row>
    <row r="31" spans="3:29" x14ac:dyDescent="0.2">
      <c r="C31" s="8" t="str">
        <v>Estonia</v>
      </c>
      <c r="D31" s="56" t="str">
        <v>Europe &amp; Central Asia</v>
      </c>
      <c r="E31" s="218">
        <f t="shared" si="0"/>
        <v>31.132912280701799</v>
      </c>
      <c r="F31" s="219" t="str">
        <f t="shared" si="1"/>
        <v>M</v>
      </c>
      <c r="G31" s="220" t="str">
        <f t="shared" si="11"/>
        <v>B</v>
      </c>
      <c r="H31" s="220" t="str">
        <f>$H$11&amp;F31&amp;G31</f>
        <v>WMB</v>
      </c>
      <c r="I31" s="220" t="str">
        <f t="shared" si="13"/>
        <v>BMB</v>
      </c>
      <c r="J31" s="208" t="str">
        <f t="shared" si="14"/>
        <v/>
      </c>
      <c r="K31" s="208">
        <f t="shared" si="2"/>
        <v>0.29599999999999999</v>
      </c>
      <c r="L31" s="208" t="str">
        <f t="shared" si="3"/>
        <v/>
      </c>
      <c r="M31" s="223">
        <f t="shared" si="4"/>
        <v>0.2</v>
      </c>
      <c r="N31" s="223">
        <f t="shared" si="15"/>
        <v>0.2</v>
      </c>
      <c r="O31" s="223">
        <f t="shared" si="16"/>
        <v>31</v>
      </c>
      <c r="P31" s="223">
        <f t="shared" si="5"/>
        <v>0.5</v>
      </c>
      <c r="Q31" s="223">
        <f t="shared" si="6"/>
        <v>356</v>
      </c>
      <c r="R31" s="223">
        <f t="shared" si="7"/>
        <v>6</v>
      </c>
      <c r="S31" s="224">
        <f t="shared" si="17"/>
        <v>5.7943143503971042</v>
      </c>
      <c r="T31" s="224">
        <f t="shared" si="22"/>
        <v>9.3456683070921032E-2</v>
      </c>
      <c r="U31" s="224">
        <f t="shared" si="23"/>
        <v>66.541158346495777</v>
      </c>
      <c r="V31" s="224">
        <f t="shared" si="24"/>
        <v>1.1214801968510524</v>
      </c>
      <c r="W31" s="224">
        <f t="shared" si="18"/>
        <v>54.391789547276041</v>
      </c>
      <c r="X31" s="224">
        <f t="shared" si="9"/>
        <v>0.91587549409502611</v>
      </c>
      <c r="Y31" s="218">
        <f t="shared" si="10"/>
        <v>43940</v>
      </c>
      <c r="Z31" s="57">
        <f t="shared" si="19"/>
        <v>49434.081840000006</v>
      </c>
      <c r="AA31" s="57">
        <f t="shared" si="20"/>
        <v>0.61774842032915545</v>
      </c>
      <c r="AB31" s="84">
        <f t="shared" si="21"/>
        <v>33.600442071705643</v>
      </c>
      <c r="AC31" s="84">
        <f t="shared" si="21"/>
        <v>0.56578063969538717</v>
      </c>
    </row>
    <row r="32" spans="3:29" x14ac:dyDescent="0.2">
      <c r="C32" s="8" t="str">
        <v>Finland</v>
      </c>
      <c r="D32" s="56" t="str">
        <v>Europe &amp; Central Asia</v>
      </c>
      <c r="E32" s="218">
        <f t="shared" si="0"/>
        <v>18.230165913412101</v>
      </c>
      <c r="F32" s="219" t="str">
        <f t="shared" si="1"/>
        <v>M</v>
      </c>
      <c r="G32" s="220" t="str">
        <f t="shared" si="11"/>
        <v>B</v>
      </c>
      <c r="H32" s="220" t="str">
        <f t="shared" si="12"/>
        <v>WMB</v>
      </c>
      <c r="I32" s="220" t="str">
        <f t="shared" si="13"/>
        <v>BMB</v>
      </c>
      <c r="J32" s="208" t="str">
        <f t="shared" si="14"/>
        <v/>
      </c>
      <c r="K32" s="208">
        <f t="shared" si="2"/>
        <v>2.3029999999999999</v>
      </c>
      <c r="L32" s="208" t="str">
        <f t="shared" si="3"/>
        <v/>
      </c>
      <c r="M32" s="223">
        <f t="shared" si="4"/>
        <v>1</v>
      </c>
      <c r="N32" s="223">
        <f t="shared" si="15"/>
        <v>1</v>
      </c>
      <c r="O32" s="223">
        <f t="shared" si="16"/>
        <v>31</v>
      </c>
      <c r="P32" s="223">
        <f t="shared" si="5"/>
        <v>0.5</v>
      </c>
      <c r="Q32" s="223">
        <f t="shared" si="6"/>
        <v>356</v>
      </c>
      <c r="R32" s="223">
        <f t="shared" si="7"/>
        <v>6</v>
      </c>
      <c r="S32" s="224">
        <f t="shared" si="17"/>
        <v>5.7943143503971042</v>
      </c>
      <c r="T32" s="224">
        <f t="shared" si="22"/>
        <v>9.3456683070921032E-2</v>
      </c>
      <c r="U32" s="224">
        <f t="shared" si="23"/>
        <v>66.541158346495777</v>
      </c>
      <c r="V32" s="224">
        <f t="shared" si="24"/>
        <v>1.1214801968510524</v>
      </c>
      <c r="W32" s="224">
        <f t="shared" si="18"/>
        <v>5.7943143503971042</v>
      </c>
      <c r="X32" s="224">
        <f t="shared" si="9"/>
        <v>9.3456683070921032E-2</v>
      </c>
      <c r="Y32" s="218">
        <f t="shared" si="10"/>
        <v>58690</v>
      </c>
      <c r="Z32" s="57">
        <f t="shared" si="19"/>
        <v>66028.362840000002</v>
      </c>
      <c r="AA32" s="57">
        <f t="shared" si="20"/>
        <v>0.82511731427214674</v>
      </c>
      <c r="AB32" s="84">
        <f t="shared" si="21"/>
        <v>4.7809890948482172</v>
      </c>
      <c r="AC32" s="84">
        <f t="shared" si="21"/>
        <v>7.7112727336261566E-2</v>
      </c>
    </row>
    <row r="33" spans="3:29" x14ac:dyDescent="0.2">
      <c r="C33" s="8" t="str">
        <v>France</v>
      </c>
      <c r="D33" s="56" t="str">
        <v>Europe &amp; Central Asia</v>
      </c>
      <c r="E33" s="218">
        <f t="shared" si="0"/>
        <v>123.757533918843</v>
      </c>
      <c r="F33" s="219" t="str">
        <f t="shared" si="1"/>
        <v>M</v>
      </c>
      <c r="G33" s="220" t="str">
        <f t="shared" si="11"/>
        <v>M</v>
      </c>
      <c r="H33" s="220" t="str">
        <f t="shared" si="12"/>
        <v>WMM</v>
      </c>
      <c r="I33" s="220" t="str">
        <f t="shared" si="13"/>
        <v>BMM</v>
      </c>
      <c r="J33" s="208" t="str">
        <f t="shared" si="14"/>
        <v/>
      </c>
      <c r="K33" s="208">
        <f t="shared" si="2"/>
        <v>1.464</v>
      </c>
      <c r="L33" s="208" t="str">
        <f t="shared" si="3"/>
        <v/>
      </c>
      <c r="M33" s="223">
        <f t="shared" si="4"/>
        <v>1</v>
      </c>
      <c r="N33" s="223">
        <f t="shared" si="15"/>
        <v>1</v>
      </c>
      <c r="O33" s="223">
        <f t="shared" si="16"/>
        <v>53</v>
      </c>
      <c r="P33" s="223">
        <f t="shared" si="5"/>
        <v>0.9</v>
      </c>
      <c r="Q33" s="223">
        <f t="shared" si="6"/>
        <v>605</v>
      </c>
      <c r="R33" s="223">
        <f t="shared" si="7"/>
        <v>10</v>
      </c>
      <c r="S33" s="224">
        <f t="shared" si="17"/>
        <v>9.9064084055176291</v>
      </c>
      <c r="T33" s="224">
        <f t="shared" si="22"/>
        <v>0.16822202952765786</v>
      </c>
      <c r="U33" s="224">
        <f t="shared" si="23"/>
        <v>113.08258651581444</v>
      </c>
      <c r="V33" s="224">
        <f t="shared" si="24"/>
        <v>1.8691336614184206</v>
      </c>
      <c r="W33" s="224">
        <f t="shared" si="18"/>
        <v>9.9064084055176291</v>
      </c>
      <c r="X33" s="224">
        <f t="shared" si="9"/>
        <v>0.16822202952765786</v>
      </c>
      <c r="Y33" s="218">
        <f t="shared" si="10"/>
        <v>55020</v>
      </c>
      <c r="Z33" s="57">
        <f t="shared" si="19"/>
        <v>61899.480720000007</v>
      </c>
      <c r="AA33" s="57">
        <f t="shared" si="20"/>
        <v>0.77352112167751785</v>
      </c>
      <c r="AB33" s="84">
        <f t="shared" si="21"/>
        <v>7.6628161416315876</v>
      </c>
      <c r="AC33" s="84">
        <f t="shared" si="21"/>
        <v>0.13012329297110242</v>
      </c>
    </row>
    <row r="34" spans="3:29" x14ac:dyDescent="0.2">
      <c r="C34" s="8" t="str">
        <v>Germany</v>
      </c>
      <c r="D34" s="56" t="str">
        <v>Europe &amp; Central Asia</v>
      </c>
      <c r="E34" s="218">
        <f t="shared" si="0"/>
        <v>238.11808580669199</v>
      </c>
      <c r="F34" s="219" t="str">
        <f t="shared" si="1"/>
        <v>M</v>
      </c>
      <c r="G34" s="220" t="str">
        <f t="shared" si="11"/>
        <v>M</v>
      </c>
      <c r="H34" s="220" t="str">
        <f t="shared" si="12"/>
        <v>WMM</v>
      </c>
      <c r="I34" s="220" t="str">
        <f t="shared" si="13"/>
        <v>BMM</v>
      </c>
      <c r="J34" s="208" t="str">
        <f t="shared" si="14"/>
        <v/>
      </c>
      <c r="K34" s="208">
        <f t="shared" si="2"/>
        <v>1.522</v>
      </c>
      <c r="L34" s="208" t="str">
        <f t="shared" si="3"/>
        <v/>
      </c>
      <c r="M34" s="223">
        <f t="shared" si="4"/>
        <v>1</v>
      </c>
      <c r="N34" s="223">
        <f t="shared" si="15"/>
        <v>1</v>
      </c>
      <c r="O34" s="223">
        <f t="shared" si="16"/>
        <v>53</v>
      </c>
      <c r="P34" s="223">
        <f t="shared" si="5"/>
        <v>0.9</v>
      </c>
      <c r="Q34" s="223">
        <f t="shared" si="6"/>
        <v>605</v>
      </c>
      <c r="R34" s="223">
        <f t="shared" si="7"/>
        <v>10</v>
      </c>
      <c r="S34" s="224">
        <f t="shared" si="17"/>
        <v>9.9064084055176291</v>
      </c>
      <c r="T34" s="224">
        <f t="shared" si="22"/>
        <v>0.16822202952765786</v>
      </c>
      <c r="U34" s="224">
        <f t="shared" si="23"/>
        <v>113.08258651581444</v>
      </c>
      <c r="V34" s="224">
        <f t="shared" si="24"/>
        <v>1.8691336614184206</v>
      </c>
      <c r="W34" s="224">
        <f t="shared" si="18"/>
        <v>9.9064084055176291</v>
      </c>
      <c r="X34" s="224">
        <f t="shared" si="9"/>
        <v>0.16822202952765786</v>
      </c>
      <c r="Y34" s="218">
        <f t="shared" si="10"/>
        <v>64330</v>
      </c>
      <c r="Z34" s="57">
        <f t="shared" si="19"/>
        <v>72373.565880000009</v>
      </c>
      <c r="AA34" s="57">
        <f t="shared" si="20"/>
        <v>0.90440955575272119</v>
      </c>
      <c r="AB34" s="84">
        <f t="shared" si="21"/>
        <v>8.959450425139222</v>
      </c>
      <c r="AC34" s="84">
        <f t="shared" si="21"/>
        <v>0.15214161099293019</v>
      </c>
    </row>
    <row r="35" spans="3:29" x14ac:dyDescent="0.2">
      <c r="C35" s="8" t="str">
        <v>Greece</v>
      </c>
      <c r="D35" s="56" t="str">
        <v>Europe &amp; Central Asia</v>
      </c>
      <c r="E35" s="218">
        <f t="shared" si="0"/>
        <v>81.995399534522889</v>
      </c>
      <c r="F35" s="219" t="str">
        <f t="shared" si="1"/>
        <v>M</v>
      </c>
      <c r="G35" s="220" t="str">
        <f t="shared" si="11"/>
        <v>B</v>
      </c>
      <c r="H35" s="220" t="str">
        <f t="shared" si="12"/>
        <v>WMB</v>
      </c>
      <c r="I35" s="220" t="str">
        <f t="shared" si="13"/>
        <v>BMB</v>
      </c>
      <c r="J35" s="208" t="str">
        <f t="shared" si="14"/>
        <v/>
      </c>
      <c r="K35" s="208">
        <f t="shared" si="2"/>
        <v>-0.61899999999999999</v>
      </c>
      <c r="L35" s="208" t="str">
        <f t="shared" si="3"/>
        <v/>
      </c>
      <c r="M35" s="223">
        <f t="shared" si="4"/>
        <v>0</v>
      </c>
      <c r="N35" s="223">
        <f t="shared" si="15"/>
        <v>0</v>
      </c>
      <c r="O35" s="223">
        <f t="shared" si="16"/>
        <v>31</v>
      </c>
      <c r="P35" s="223">
        <f t="shared" si="5"/>
        <v>0.5</v>
      </c>
      <c r="Q35" s="223">
        <f t="shared" si="6"/>
        <v>356</v>
      </c>
      <c r="R35" s="223">
        <f t="shared" si="7"/>
        <v>6</v>
      </c>
      <c r="S35" s="224">
        <f t="shared" si="17"/>
        <v>5.7943143503971042</v>
      </c>
      <c r="T35" s="224">
        <f t="shared" si="22"/>
        <v>9.3456683070921032E-2</v>
      </c>
      <c r="U35" s="224">
        <f t="shared" si="23"/>
        <v>66.541158346495777</v>
      </c>
      <c r="V35" s="224">
        <f t="shared" si="24"/>
        <v>1.1214801968510524</v>
      </c>
      <c r="W35" s="224">
        <f t="shared" si="18"/>
        <v>66.541158346495777</v>
      </c>
      <c r="X35" s="224">
        <f t="shared" si="9"/>
        <v>1.1214801968510524</v>
      </c>
      <c r="Y35" s="218">
        <f t="shared" si="10"/>
        <v>32760</v>
      </c>
      <c r="Z35" s="57">
        <f t="shared" si="19"/>
        <v>36856.179360000002</v>
      </c>
      <c r="AA35" s="57">
        <f t="shared" si="20"/>
        <v>0.4605698281743999</v>
      </c>
      <c r="AB35" s="84">
        <f t="shared" si="21"/>
        <v>30.646849866171095</v>
      </c>
      <c r="AC35" s="84">
        <f t="shared" si="21"/>
        <v>0.5165199415646814</v>
      </c>
    </row>
    <row r="36" spans="3:29" x14ac:dyDescent="0.2">
      <c r="C36" s="8" t="str">
        <v>Guatemala</v>
      </c>
      <c r="D36" s="56" t="str">
        <v>Latin America &amp; Caribbean</v>
      </c>
      <c r="E36" s="218">
        <f t="shared" si="0"/>
        <v>159.66541620007499</v>
      </c>
      <c r="F36" s="219" t="str">
        <f t="shared" si="1"/>
        <v>M</v>
      </c>
      <c r="G36" s="220" t="str">
        <f t="shared" si="11"/>
        <v>M</v>
      </c>
      <c r="H36" s="220" t="str">
        <f t="shared" si="12"/>
        <v>WMM</v>
      </c>
      <c r="I36" s="220" t="str">
        <f t="shared" si="13"/>
        <v>BMM</v>
      </c>
      <c r="J36" s="208" t="str">
        <f t="shared" si="14"/>
        <v/>
      </c>
      <c r="K36" s="208">
        <f t="shared" si="2"/>
        <v>-1.532</v>
      </c>
      <c r="L36" s="208">
        <f t="shared" si="3"/>
        <v>0.77700000000000002</v>
      </c>
      <c r="M36" s="223">
        <f t="shared" si="4"/>
        <v>0</v>
      </c>
      <c r="N36" s="223">
        <f t="shared" si="15"/>
        <v>0</v>
      </c>
      <c r="O36" s="223">
        <f t="shared" si="16"/>
        <v>53</v>
      </c>
      <c r="P36" s="223">
        <f t="shared" si="5"/>
        <v>0.9</v>
      </c>
      <c r="Q36" s="223">
        <f t="shared" si="6"/>
        <v>605</v>
      </c>
      <c r="R36" s="223">
        <f t="shared" si="7"/>
        <v>10</v>
      </c>
      <c r="S36" s="224">
        <f t="shared" si="17"/>
        <v>9.9064084055176291</v>
      </c>
      <c r="T36" s="224">
        <f t="shared" si="22"/>
        <v>0.16822202952765786</v>
      </c>
      <c r="U36" s="224">
        <f t="shared" si="23"/>
        <v>113.08258651581444</v>
      </c>
      <c r="V36" s="224">
        <f t="shared" si="24"/>
        <v>1.8691336614184206</v>
      </c>
      <c r="W36" s="224">
        <f t="shared" si="18"/>
        <v>113.08258651581444</v>
      </c>
      <c r="X36" s="224">
        <f t="shared" si="9"/>
        <v>1.8691336614184206</v>
      </c>
      <c r="Y36" s="218">
        <f t="shared" si="10"/>
        <v>11810</v>
      </c>
      <c r="Z36" s="57">
        <f t="shared" si="19"/>
        <v>13286.675160000003</v>
      </c>
      <c r="AA36" s="57">
        <f t="shared" si="20"/>
        <v>0.16603570423503247</v>
      </c>
      <c r="AB36" s="84">
        <f t="shared" si="21"/>
        <v>18.775746888872238</v>
      </c>
      <c r="AC36" s="84">
        <f t="shared" si="21"/>
        <v>0.3103429237830122</v>
      </c>
    </row>
    <row r="37" spans="3:29" x14ac:dyDescent="0.2">
      <c r="C37" s="8" t="str">
        <v>Hungary</v>
      </c>
      <c r="D37" s="56" t="str">
        <v>Europe &amp; Central Asia</v>
      </c>
      <c r="E37" s="218">
        <f t="shared" si="0"/>
        <v>106.398104317335</v>
      </c>
      <c r="F37" s="219" t="str">
        <f t="shared" si="1"/>
        <v>M</v>
      </c>
      <c r="G37" s="220" t="str">
        <f t="shared" si="11"/>
        <v>M</v>
      </c>
      <c r="H37" s="220" t="str">
        <f t="shared" si="12"/>
        <v>WMM</v>
      </c>
      <c r="I37" s="220" t="str">
        <f t="shared" si="13"/>
        <v>BMM</v>
      </c>
      <c r="J37" s="208" t="str">
        <f t="shared" si="14"/>
        <v/>
      </c>
      <c r="K37" s="208">
        <f t="shared" si="2"/>
        <v>0.28299999999999997</v>
      </c>
      <c r="L37" s="208" t="str">
        <f t="shared" si="3"/>
        <v/>
      </c>
      <c r="M37" s="223">
        <f t="shared" si="4"/>
        <v>0.2</v>
      </c>
      <c r="N37" s="223">
        <f t="shared" si="15"/>
        <v>0.2</v>
      </c>
      <c r="O37" s="223">
        <f t="shared" si="16"/>
        <v>53</v>
      </c>
      <c r="P37" s="223">
        <f t="shared" si="5"/>
        <v>0.9</v>
      </c>
      <c r="Q37" s="223">
        <f t="shared" si="6"/>
        <v>605</v>
      </c>
      <c r="R37" s="223">
        <f t="shared" si="7"/>
        <v>10</v>
      </c>
      <c r="S37" s="224">
        <f t="shared" si="17"/>
        <v>9.9064084055176291</v>
      </c>
      <c r="T37" s="224">
        <f t="shared" si="22"/>
        <v>0.16822202952765786</v>
      </c>
      <c r="U37" s="224">
        <f t="shared" si="23"/>
        <v>113.08258651581444</v>
      </c>
      <c r="V37" s="224">
        <f t="shared" si="24"/>
        <v>1.8691336614184206</v>
      </c>
      <c r="W37" s="224">
        <f t="shared" si="18"/>
        <v>92.447350893755086</v>
      </c>
      <c r="X37" s="224">
        <f t="shared" si="9"/>
        <v>1.5289513350402681</v>
      </c>
      <c r="Y37" s="218">
        <f t="shared" si="10"/>
        <v>37420</v>
      </c>
      <c r="Z37" s="57">
        <f t="shared" si="19"/>
        <v>42098.847120000006</v>
      </c>
      <c r="AA37" s="57">
        <f t="shared" si="20"/>
        <v>0.52608433975232127</v>
      </c>
      <c r="AB37" s="84">
        <f t="shared" si="21"/>
        <v>48.635103556792309</v>
      </c>
      <c r="AC37" s="84">
        <f t="shared" si="21"/>
        <v>0.80435735360808958</v>
      </c>
    </row>
    <row r="38" spans="3:29" x14ac:dyDescent="0.2">
      <c r="C38" s="8" t="str">
        <v>India</v>
      </c>
      <c r="D38" s="56" t="str">
        <v>South Asia</v>
      </c>
      <c r="E38" s="218">
        <f t="shared" si="0"/>
        <v>473.41873274160093</v>
      </c>
      <c r="F38" s="219" t="str">
        <f t="shared" si="1"/>
        <v>W</v>
      </c>
      <c r="G38" s="220" t="str">
        <f t="shared" si="11"/>
        <v>W</v>
      </c>
      <c r="H38" s="220" t="str">
        <f t="shared" si="12"/>
        <v>WWW</v>
      </c>
      <c r="I38" s="220" t="str">
        <f t="shared" si="13"/>
        <v>BWW</v>
      </c>
      <c r="J38" s="208">
        <f t="shared" si="14"/>
        <v>0.6</v>
      </c>
      <c r="K38" s="208">
        <f t="shared" si="2"/>
        <v>-0.75900000000000001</v>
      </c>
      <c r="L38" s="208" t="str">
        <f t="shared" si="3"/>
        <v/>
      </c>
      <c r="M38" s="223" t="str">
        <f t="shared" si="4"/>
        <v>-</v>
      </c>
      <c r="N38" s="223">
        <f t="shared" si="15"/>
        <v>0.6</v>
      </c>
      <c r="O38" s="223">
        <f t="shared" si="16"/>
        <v>88</v>
      </c>
      <c r="P38" s="223">
        <f t="shared" si="5"/>
        <v>1.4</v>
      </c>
      <c r="Q38" s="223">
        <f t="shared" si="6"/>
        <v>1000</v>
      </c>
      <c r="R38" s="223">
        <f t="shared" si="7"/>
        <v>16</v>
      </c>
      <c r="S38" s="224">
        <f t="shared" si="17"/>
        <v>16.4483762204821</v>
      </c>
      <c r="T38" s="224">
        <f t="shared" si="22"/>
        <v>0.26167871259857889</v>
      </c>
      <c r="U38" s="224">
        <f t="shared" si="23"/>
        <v>186.91336614184206</v>
      </c>
      <c r="V38" s="224">
        <f t="shared" si="24"/>
        <v>2.990613858269473</v>
      </c>
      <c r="W38" s="224">
        <f t="shared" si="18"/>
        <v>84.634372189026081</v>
      </c>
      <c r="X38" s="224">
        <f t="shared" si="9"/>
        <v>1.3532527708669366</v>
      </c>
      <c r="Y38" s="218">
        <f t="shared" si="10"/>
        <v>7990</v>
      </c>
      <c r="Z38" s="57">
        <f t="shared" si="19"/>
        <v>8989.0376400000005</v>
      </c>
      <c r="AA38" s="57">
        <f t="shared" si="20"/>
        <v>0.11233067543081365</v>
      </c>
      <c r="AB38" s="84">
        <f t="shared" si="21"/>
        <v>9.5070361926561695</v>
      </c>
      <c r="AC38" s="84">
        <f t="shared" si="21"/>
        <v>0.1520117977801031</v>
      </c>
    </row>
    <row r="39" spans="3:29" x14ac:dyDescent="0.2">
      <c r="C39" s="8" t="str">
        <v>Indonesia</v>
      </c>
      <c r="D39" s="56" t="str">
        <v>East Asia &amp; Pacific</v>
      </c>
      <c r="E39" s="218">
        <f t="shared" si="0"/>
        <v>144.64738040148401</v>
      </c>
      <c r="F39" s="219" t="str">
        <f t="shared" si="1"/>
        <v>M</v>
      </c>
      <c r="G39" s="220" t="str">
        <f t="shared" si="11"/>
        <v>M</v>
      </c>
      <c r="H39" s="220" t="str">
        <f t="shared" si="12"/>
        <v>WMM</v>
      </c>
      <c r="I39" s="220" t="str">
        <f t="shared" si="13"/>
        <v>BMM</v>
      </c>
      <c r="J39" s="208" t="str">
        <f t="shared" si="14"/>
        <v/>
      </c>
      <c r="K39" s="208">
        <f t="shared" si="2"/>
        <v>-0.75800000000000001</v>
      </c>
      <c r="L39" s="208">
        <f t="shared" si="3"/>
        <v>0.45</v>
      </c>
      <c r="M39" s="223">
        <f t="shared" si="4"/>
        <v>0</v>
      </c>
      <c r="N39" s="223">
        <f t="shared" si="15"/>
        <v>0</v>
      </c>
      <c r="O39" s="223">
        <f t="shared" si="16"/>
        <v>53</v>
      </c>
      <c r="P39" s="223">
        <f t="shared" si="5"/>
        <v>0.9</v>
      </c>
      <c r="Q39" s="223">
        <f t="shared" si="6"/>
        <v>605</v>
      </c>
      <c r="R39" s="223">
        <f t="shared" si="7"/>
        <v>10</v>
      </c>
      <c r="S39" s="224">
        <f t="shared" si="17"/>
        <v>9.9064084055176291</v>
      </c>
      <c r="T39" s="224">
        <f t="shared" si="22"/>
        <v>0.16822202952765786</v>
      </c>
      <c r="U39" s="224">
        <f t="shared" si="23"/>
        <v>113.08258651581444</v>
      </c>
      <c r="V39" s="224">
        <f t="shared" si="24"/>
        <v>1.8691336614184206</v>
      </c>
      <c r="W39" s="224">
        <f t="shared" si="18"/>
        <v>113.08258651581444</v>
      </c>
      <c r="X39" s="224">
        <f t="shared" si="9"/>
        <v>1.8691336614184206</v>
      </c>
      <c r="Y39" s="218">
        <f t="shared" si="10"/>
        <v>12550</v>
      </c>
      <c r="Z39" s="57">
        <f t="shared" si="19"/>
        <v>14119.201800000003</v>
      </c>
      <c r="AA39" s="57">
        <f t="shared" si="20"/>
        <v>0.17643929620234186</v>
      </c>
      <c r="AB39" s="84">
        <f t="shared" si="21"/>
        <v>19.952211977590732</v>
      </c>
      <c r="AC39" s="84">
        <f t="shared" si="21"/>
        <v>0.32978862772877249</v>
      </c>
    </row>
    <row r="40" spans="3:29" x14ac:dyDescent="0.2">
      <c r="C40" s="8" t="str">
        <v>Ireland</v>
      </c>
      <c r="D40" s="56" t="str">
        <v>Europe &amp; Central Asia</v>
      </c>
      <c r="E40" s="218">
        <f t="shared" si="0"/>
        <v>73.060879663231205</v>
      </c>
      <c r="F40" s="219" t="str">
        <f t="shared" si="1"/>
        <v>M</v>
      </c>
      <c r="G40" s="220" t="str">
        <f t="shared" si="11"/>
        <v>B</v>
      </c>
      <c r="H40" s="220" t="str">
        <f t="shared" si="12"/>
        <v>WMB</v>
      </c>
      <c r="I40" s="220" t="str">
        <f t="shared" si="13"/>
        <v>BMB</v>
      </c>
      <c r="J40" s="208" t="str">
        <f t="shared" si="14"/>
        <v/>
      </c>
      <c r="K40" s="208">
        <f t="shared" si="2"/>
        <v>0.54600000000000004</v>
      </c>
      <c r="L40" s="208" t="str">
        <f t="shared" si="3"/>
        <v/>
      </c>
      <c r="M40" s="223">
        <f t="shared" si="4"/>
        <v>0.4</v>
      </c>
      <c r="N40" s="223">
        <f t="shared" si="15"/>
        <v>0.4</v>
      </c>
      <c r="O40" s="223">
        <f t="shared" si="16"/>
        <v>31</v>
      </c>
      <c r="P40" s="223">
        <f t="shared" si="5"/>
        <v>0.5</v>
      </c>
      <c r="Q40" s="223">
        <f t="shared" si="6"/>
        <v>356</v>
      </c>
      <c r="R40" s="223">
        <f t="shared" si="7"/>
        <v>6</v>
      </c>
      <c r="S40" s="224">
        <f t="shared" si="17"/>
        <v>5.7943143503971042</v>
      </c>
      <c r="T40" s="224">
        <f t="shared" si="22"/>
        <v>9.3456683070921032E-2</v>
      </c>
      <c r="U40" s="224">
        <f t="shared" si="23"/>
        <v>66.541158346495777</v>
      </c>
      <c r="V40" s="224">
        <f t="shared" si="24"/>
        <v>1.1214801968510524</v>
      </c>
      <c r="W40" s="224">
        <f t="shared" si="18"/>
        <v>42.242420748056304</v>
      </c>
      <c r="X40" s="224">
        <f t="shared" si="9"/>
        <v>0.71027079133899984</v>
      </c>
      <c r="Y40" s="218">
        <f t="shared" si="10"/>
        <v>85210</v>
      </c>
      <c r="Z40" s="57">
        <f t="shared" si="19"/>
        <v>95864.31756000001</v>
      </c>
      <c r="AA40" s="57">
        <f t="shared" si="20"/>
        <v>1.1979595561276135</v>
      </c>
      <c r="AB40" s="84">
        <f t="shared" si="21"/>
        <v>50.604711609097421</v>
      </c>
      <c r="AC40" s="84">
        <f t="shared" si="21"/>
        <v>0.85087568192287699</v>
      </c>
    </row>
    <row r="41" spans="3:29" x14ac:dyDescent="0.2">
      <c r="C41" s="8" t="str">
        <v>Israel</v>
      </c>
      <c r="D41" s="56" t="str">
        <v>Middle East &amp; North Africa</v>
      </c>
      <c r="E41" s="218">
        <f t="shared" si="0"/>
        <v>433.05914972273598</v>
      </c>
      <c r="F41" s="219" t="str">
        <f t="shared" si="1"/>
        <v>M</v>
      </c>
      <c r="G41" s="220" t="str">
        <f t="shared" si="11"/>
        <v>W</v>
      </c>
      <c r="H41" s="220" t="str">
        <f t="shared" si="12"/>
        <v>WMW</v>
      </c>
      <c r="I41" s="220" t="str">
        <f t="shared" si="13"/>
        <v>BMW</v>
      </c>
      <c r="J41" s="208" t="str">
        <f t="shared" si="14"/>
        <v/>
      </c>
      <c r="K41" s="208">
        <f t="shared" si="2"/>
        <v>2.1000000000000001E-2</v>
      </c>
      <c r="L41" s="208" t="str">
        <f t="shared" si="3"/>
        <v/>
      </c>
      <c r="M41" s="223">
        <f t="shared" si="4"/>
        <v>0.2</v>
      </c>
      <c r="N41" s="223">
        <f t="shared" si="15"/>
        <v>0.2</v>
      </c>
      <c r="O41" s="223">
        <f t="shared" si="16"/>
        <v>63</v>
      </c>
      <c r="P41" s="223">
        <f t="shared" si="5"/>
        <v>1</v>
      </c>
      <c r="Q41" s="223">
        <f t="shared" si="6"/>
        <v>712</v>
      </c>
      <c r="R41" s="223">
        <f t="shared" si="7"/>
        <v>12</v>
      </c>
      <c r="S41" s="224">
        <f t="shared" si="17"/>
        <v>11.775542066936049</v>
      </c>
      <c r="T41" s="224">
        <f t="shared" si="22"/>
        <v>0.18691336614184206</v>
      </c>
      <c r="U41" s="224">
        <f t="shared" si="23"/>
        <v>133.08231669299155</v>
      </c>
      <c r="V41" s="224">
        <f t="shared" si="24"/>
        <v>2.2429603937021048</v>
      </c>
      <c r="W41" s="224">
        <f t="shared" si="18"/>
        <v>108.82096176778046</v>
      </c>
      <c r="X41" s="224">
        <f t="shared" si="9"/>
        <v>1.8317509881900522</v>
      </c>
      <c r="Y41" s="218">
        <f t="shared" si="10"/>
        <v>45530</v>
      </c>
      <c r="Z41" s="57">
        <f t="shared" si="19"/>
        <v>51222.889080000008</v>
      </c>
      <c r="AA41" s="57">
        <f t="shared" si="20"/>
        <v>0.64010208415080672</v>
      </c>
      <c r="AB41" s="84">
        <f t="shared" si="21"/>
        <v>69.656524426851533</v>
      </c>
      <c r="AC41" s="84">
        <f t="shared" si="21"/>
        <v>1.1725076251857522</v>
      </c>
    </row>
    <row r="42" spans="3:29" x14ac:dyDescent="0.2">
      <c r="C42" s="8" t="str">
        <v>Italy</v>
      </c>
      <c r="D42" s="56" t="str">
        <v>Europe &amp; Central Asia</v>
      </c>
      <c r="E42" s="218">
        <f t="shared" si="0"/>
        <v>199.96541625946401</v>
      </c>
      <c r="F42" s="219" t="str">
        <f t="shared" si="1"/>
        <v>M</v>
      </c>
      <c r="G42" s="220" t="str">
        <f t="shared" si="11"/>
        <v>M</v>
      </c>
      <c r="H42" s="220" t="str">
        <f t="shared" si="12"/>
        <v>WMM</v>
      </c>
      <c r="I42" s="220" t="str">
        <f t="shared" si="13"/>
        <v>BMM</v>
      </c>
      <c r="J42" s="208" t="str">
        <f t="shared" si="14"/>
        <v/>
      </c>
      <c r="K42" s="208">
        <f t="shared" si="2"/>
        <v>0.498</v>
      </c>
      <c r="L42" s="208" t="str">
        <f t="shared" si="3"/>
        <v/>
      </c>
      <c r="M42" s="223">
        <f t="shared" si="4"/>
        <v>0.2</v>
      </c>
      <c r="N42" s="223">
        <f t="shared" si="15"/>
        <v>0.2</v>
      </c>
      <c r="O42" s="223">
        <f t="shared" si="16"/>
        <v>53</v>
      </c>
      <c r="P42" s="223">
        <f t="shared" si="5"/>
        <v>0.9</v>
      </c>
      <c r="Q42" s="223">
        <f t="shared" si="6"/>
        <v>605</v>
      </c>
      <c r="R42" s="223">
        <f t="shared" si="7"/>
        <v>10</v>
      </c>
      <c r="S42" s="224">
        <f t="shared" si="17"/>
        <v>9.9064084055176291</v>
      </c>
      <c r="T42" s="224">
        <f t="shared" si="22"/>
        <v>0.16822202952765786</v>
      </c>
      <c r="U42" s="224">
        <f t="shared" si="23"/>
        <v>113.08258651581444</v>
      </c>
      <c r="V42" s="224">
        <f t="shared" si="24"/>
        <v>1.8691336614184206</v>
      </c>
      <c r="W42" s="224">
        <f t="shared" si="18"/>
        <v>92.447350893755086</v>
      </c>
      <c r="X42" s="224">
        <f t="shared" si="9"/>
        <v>1.5289513350402681</v>
      </c>
      <c r="Y42" s="218">
        <f t="shared" si="10"/>
        <v>50540</v>
      </c>
      <c r="Z42" s="57">
        <f t="shared" si="19"/>
        <v>56859.319440000007</v>
      </c>
      <c r="AA42" s="57">
        <f t="shared" si="20"/>
        <v>0.71053721355110411</v>
      </c>
      <c r="AB42" s="84">
        <f t="shared" si="21"/>
        <v>65.68728310422992</v>
      </c>
      <c r="AC42" s="84">
        <f t="shared" si="21"/>
        <v>1.0863768212547527</v>
      </c>
    </row>
    <row r="43" spans="3:29" x14ac:dyDescent="0.2">
      <c r="C43" s="8" t="str">
        <v>Jamaica</v>
      </c>
      <c r="D43" s="56" t="str">
        <v>Latin America &amp; Caribbean</v>
      </c>
      <c r="E43" s="218">
        <f t="shared" si="0"/>
        <v>261.09833795013901</v>
      </c>
      <c r="F43" s="219" t="str">
        <f t="shared" si="1"/>
        <v>M</v>
      </c>
      <c r="G43" s="220" t="str">
        <f t="shared" si="11"/>
        <v>W</v>
      </c>
      <c r="H43" s="220" t="str">
        <f t="shared" si="12"/>
        <v>WMW</v>
      </c>
      <c r="I43" s="220" t="str">
        <f t="shared" si="13"/>
        <v>BMW</v>
      </c>
      <c r="J43" s="208" t="str">
        <f t="shared" si="14"/>
        <v/>
      </c>
      <c r="K43" s="208">
        <f t="shared" si="2"/>
        <v>-3.6999999999999998E-2</v>
      </c>
      <c r="L43" s="208">
        <f t="shared" si="3"/>
        <v>0.76</v>
      </c>
      <c r="M43" s="223">
        <f t="shared" si="4"/>
        <v>0</v>
      </c>
      <c r="N43" s="223">
        <f t="shared" si="15"/>
        <v>0</v>
      </c>
      <c r="O43" s="223">
        <f t="shared" si="16"/>
        <v>63</v>
      </c>
      <c r="P43" s="223">
        <f t="shared" si="5"/>
        <v>1</v>
      </c>
      <c r="Q43" s="223">
        <f t="shared" si="6"/>
        <v>712</v>
      </c>
      <c r="R43" s="223">
        <f t="shared" si="7"/>
        <v>12</v>
      </c>
      <c r="S43" s="224">
        <f t="shared" si="17"/>
        <v>11.775542066936049</v>
      </c>
      <c r="T43" s="224">
        <f t="shared" si="22"/>
        <v>0.18691336614184206</v>
      </c>
      <c r="U43" s="224">
        <f t="shared" si="23"/>
        <v>133.08231669299155</v>
      </c>
      <c r="V43" s="224">
        <f t="shared" si="24"/>
        <v>2.2429603937021048</v>
      </c>
      <c r="W43" s="224">
        <f t="shared" si="18"/>
        <v>133.08231669299155</v>
      </c>
      <c r="X43" s="224">
        <f t="shared" si="9"/>
        <v>2.2429603937021048</v>
      </c>
      <c r="Y43" s="218">
        <f t="shared" si="10"/>
        <v>9340</v>
      </c>
      <c r="Z43" s="57">
        <f t="shared" si="19"/>
        <v>10507.836240000001</v>
      </c>
      <c r="AA43" s="57">
        <f t="shared" si="20"/>
        <v>0.13131020131712134</v>
      </c>
      <c r="AB43" s="84">
        <f t="shared" si="21"/>
        <v>17.475065796705618</v>
      </c>
      <c r="AC43" s="84">
        <f t="shared" si="21"/>
        <v>0.29452358084335312</v>
      </c>
    </row>
    <row r="44" spans="3:29" x14ac:dyDescent="0.2">
      <c r="C44" s="8" t="str">
        <v>Japan</v>
      </c>
      <c r="D44" s="56" t="str">
        <v>East Asia &amp; Pacific</v>
      </c>
      <c r="E44" s="218">
        <f t="shared" si="0"/>
        <v>344.80546776405998</v>
      </c>
      <c r="F44" s="219" t="str">
        <f t="shared" si="1"/>
        <v>M</v>
      </c>
      <c r="G44" s="220" t="str">
        <f t="shared" si="11"/>
        <v>W</v>
      </c>
      <c r="H44" s="220" t="str">
        <f t="shared" si="12"/>
        <v>WMW</v>
      </c>
      <c r="I44" s="220" t="str">
        <f t="shared" si="13"/>
        <v>BMW</v>
      </c>
      <c r="J44" s="208" t="str">
        <f t="shared" si="14"/>
        <v/>
      </c>
      <c r="K44" s="208">
        <f t="shared" si="2"/>
        <v>1.0569999999999999</v>
      </c>
      <c r="L44" s="208">
        <f t="shared" si="3"/>
        <v>0.99900000000000011</v>
      </c>
      <c r="M44" s="223">
        <f t="shared" si="4"/>
        <v>0.6</v>
      </c>
      <c r="N44" s="223">
        <f t="shared" si="15"/>
        <v>0.6</v>
      </c>
      <c r="O44" s="223">
        <f t="shared" si="16"/>
        <v>63</v>
      </c>
      <c r="P44" s="223">
        <f t="shared" si="5"/>
        <v>1</v>
      </c>
      <c r="Q44" s="223">
        <f t="shared" si="6"/>
        <v>712</v>
      </c>
      <c r="R44" s="223">
        <f t="shared" si="7"/>
        <v>12</v>
      </c>
      <c r="S44" s="224">
        <f t="shared" si="17"/>
        <v>11.775542066936049</v>
      </c>
      <c r="T44" s="224">
        <f t="shared" si="22"/>
        <v>0.18691336614184206</v>
      </c>
      <c r="U44" s="224">
        <f t="shared" si="23"/>
        <v>133.08231669299155</v>
      </c>
      <c r="V44" s="224">
        <f t="shared" si="24"/>
        <v>2.2429603937021048</v>
      </c>
      <c r="W44" s="224">
        <f t="shared" si="18"/>
        <v>60.29825191735825</v>
      </c>
      <c r="X44" s="224">
        <f t="shared" si="9"/>
        <v>1.0093321771659471</v>
      </c>
      <c r="Y44" s="218">
        <f t="shared" si="10"/>
        <v>46680</v>
      </c>
      <c r="Z44" s="57">
        <f t="shared" si="19"/>
        <v>52516.68048000001</v>
      </c>
      <c r="AA44" s="57">
        <f t="shared" si="20"/>
        <v>0.65626982842432813</v>
      </c>
      <c r="AB44" s="84">
        <f t="shared" si="21"/>
        <v>39.571923440091616</v>
      </c>
      <c r="AC44" s="84">
        <f t="shared" si="21"/>
        <v>0.66239425473184965</v>
      </c>
    </row>
    <row r="45" spans="3:29" x14ac:dyDescent="0.2">
      <c r="C45" s="8" t="str">
        <v>Jordan</v>
      </c>
      <c r="D45" s="56" t="str">
        <v>Middle East &amp; North Africa</v>
      </c>
      <c r="E45" s="218">
        <f t="shared" ref="E45:E74" si="25">INDEX(Input_PopulationDensity,MATCH(C45,Input_countries,0))</f>
        <v>125.55215442484899</v>
      </c>
      <c r="F45" s="219" t="str">
        <f t="shared" ref="F45:F74" si="26">INDEX(Input_SoilPermeability,MATCH(C45,Input_countries,0))</f>
        <v>M</v>
      </c>
      <c r="G45" s="220" t="str">
        <f t="shared" si="11"/>
        <v>M</v>
      </c>
      <c r="H45" s="220" t="str">
        <f t="shared" si="12"/>
        <v>WMM</v>
      </c>
      <c r="I45" s="220" t="str">
        <f t="shared" si="13"/>
        <v>BMM</v>
      </c>
      <c r="J45" s="208" t="str">
        <f t="shared" ref="J45:J74" si="27">IF(INDEX(Input_LinedLandfill,MATCH(C45,Input_countries,0))="-","",INDEX(Input_LinedLandfill,MATCH(C45,Input_countries,0)))</f>
        <v/>
      </c>
      <c r="K45" s="208">
        <f t="shared" ref="K45:K74" si="28">INDEX(Input_ERQ,MATCH(C45,Input_countries,0))</f>
        <v>2E-3</v>
      </c>
      <c r="L45" s="208" t="str">
        <f t="shared" ref="L45:L74" si="29">INDEX(Input_WasteCollection,MATCH(C45,Input_countries,0))</f>
        <v/>
      </c>
      <c r="M45" s="223">
        <f t="shared" ref="M45:M74" si="30">IF(J45="",IF(AND(K45&gt;1,L45&gt;99),1,INDEX(ERQ_Landfill,MATCH(K45,ERQ_Score,-1))),"-")</f>
        <v>0.2</v>
      </c>
      <c r="N45" s="223">
        <f t="shared" si="15"/>
        <v>0.2</v>
      </c>
      <c r="O45" s="223">
        <f t="shared" ref="O45:O74" si="31">INDEX(HARAS_scoreLined,MATCH(H45,HARAS_code,0))</f>
        <v>53</v>
      </c>
      <c r="P45" s="223">
        <f t="shared" ref="P45:P74" si="32">INDEX(HARAS_scoreLined,MATCH(I45,HARAS_code,0))</f>
        <v>0.9</v>
      </c>
      <c r="Q45" s="223">
        <f t="shared" ref="Q45:Q74" si="33">INDEX(HARAS_scoreUnlined,MATCH(H45,HARAS_code,0))</f>
        <v>605</v>
      </c>
      <c r="R45" s="223">
        <f t="shared" ref="R45:R74" si="34">INDEX(HARAS_scoreUnlined,MATCH(I45,HARAS_code,0))</f>
        <v>10</v>
      </c>
      <c r="S45" s="224">
        <f t="shared" si="17"/>
        <v>9.9064084055176291</v>
      </c>
      <c r="T45" s="224">
        <f t="shared" si="22"/>
        <v>0.16822202952765786</v>
      </c>
      <c r="U45" s="224">
        <f t="shared" si="23"/>
        <v>113.08258651581444</v>
      </c>
      <c r="V45" s="224">
        <f t="shared" si="24"/>
        <v>1.8691336614184206</v>
      </c>
      <c r="W45" s="224">
        <f t="shared" ref="W45:W74" si="35">(N45*S45)+((1-N45)*U45)</f>
        <v>92.447350893755086</v>
      </c>
      <c r="X45" s="224">
        <f t="shared" ref="X45:X74" si="36">(N45*T45)+((1-N45)*V45)</f>
        <v>1.5289513350402681</v>
      </c>
      <c r="Y45" s="218">
        <f t="shared" ref="Y45:Y74" si="37">INDEX(Input_GNIPPP,MATCH(C45,Input_countries,0))</f>
        <v>9070</v>
      </c>
      <c r="Z45" s="57">
        <f t="shared" ref="Z45:Z74" si="38">IFERROR(Y45*$Z$3,"No value")</f>
        <v>10204.076520000001</v>
      </c>
      <c r="AA45" s="57">
        <f t="shared" ref="AA45:AA74" si="39">IFERROR((Z45/$Z$4)^$Z$5,"No value")</f>
        <v>0.12751429613985979</v>
      </c>
      <c r="AB45" s="84">
        <f t="shared" si="21"/>
        <v>11.788358879211817</v>
      </c>
      <c r="AC45" s="84">
        <f t="shared" si="21"/>
        <v>0.19496315331975875</v>
      </c>
    </row>
    <row r="46" spans="3:29" x14ac:dyDescent="0.2">
      <c r="C46" s="8" t="str">
        <v>Korea, Rep.</v>
      </c>
      <c r="D46" s="56" t="str">
        <v>East Asia &amp; Pacific</v>
      </c>
      <c r="E46" s="218">
        <f t="shared" si="25"/>
        <v>530.42560450819701</v>
      </c>
      <c r="F46" s="219" t="str">
        <f t="shared" si="26"/>
        <v>M</v>
      </c>
      <c r="G46" s="220" t="str">
        <f t="shared" si="11"/>
        <v>W</v>
      </c>
      <c r="H46" s="220" t="str">
        <f t="shared" si="12"/>
        <v>WMW</v>
      </c>
      <c r="I46" s="220" t="str">
        <f t="shared" si="13"/>
        <v>BMW</v>
      </c>
      <c r="J46" s="208" t="str">
        <f t="shared" si="27"/>
        <v/>
      </c>
      <c r="K46" s="208">
        <f t="shared" si="28"/>
        <v>-0.121</v>
      </c>
      <c r="L46" s="208">
        <f t="shared" si="29"/>
        <v>0.99919999999999998</v>
      </c>
      <c r="M46" s="223">
        <f t="shared" si="30"/>
        <v>0</v>
      </c>
      <c r="N46" s="223">
        <f t="shared" si="15"/>
        <v>0</v>
      </c>
      <c r="O46" s="223">
        <f t="shared" si="31"/>
        <v>63</v>
      </c>
      <c r="P46" s="223">
        <f t="shared" si="32"/>
        <v>1</v>
      </c>
      <c r="Q46" s="223">
        <f t="shared" si="33"/>
        <v>712</v>
      </c>
      <c r="R46" s="223">
        <f t="shared" si="34"/>
        <v>12</v>
      </c>
      <c r="S46" s="224">
        <f t="shared" si="17"/>
        <v>11.775542066936049</v>
      </c>
      <c r="T46" s="224">
        <f t="shared" si="22"/>
        <v>0.18691336614184206</v>
      </c>
      <c r="U46" s="224">
        <f t="shared" si="23"/>
        <v>133.08231669299155</v>
      </c>
      <c r="V46" s="224">
        <f t="shared" si="24"/>
        <v>2.2429603937021048</v>
      </c>
      <c r="W46" s="224">
        <f t="shared" si="35"/>
        <v>133.08231669299155</v>
      </c>
      <c r="X46" s="224">
        <f t="shared" si="36"/>
        <v>2.2429603937021048</v>
      </c>
      <c r="Y46" s="218">
        <f t="shared" si="37"/>
        <v>49120</v>
      </c>
      <c r="Z46" s="57">
        <f t="shared" si="38"/>
        <v>55261.76832000001</v>
      </c>
      <c r="AA46" s="57">
        <f t="shared" si="39"/>
        <v>0.69057356410032134</v>
      </c>
      <c r="AB46" s="84">
        <f t="shared" si="21"/>
        <v>91.903129757406873</v>
      </c>
      <c r="AC46" s="84">
        <f t="shared" si="21"/>
        <v>1.5489291532147225</v>
      </c>
    </row>
    <row r="47" spans="3:29" x14ac:dyDescent="0.2">
      <c r="C47" s="8" t="str">
        <v>Latvia</v>
      </c>
      <c r="D47" s="56" t="str">
        <v>Europe &amp; Central Asia</v>
      </c>
      <c r="E47" s="218">
        <f t="shared" si="25"/>
        <v>30.282661095934401</v>
      </c>
      <c r="F47" s="219" t="str">
        <f t="shared" si="26"/>
        <v>M</v>
      </c>
      <c r="G47" s="220" t="str">
        <f t="shared" si="11"/>
        <v>B</v>
      </c>
      <c r="H47" s="220" t="str">
        <f t="shared" si="12"/>
        <v>WMB</v>
      </c>
      <c r="I47" s="220" t="str">
        <f t="shared" si="13"/>
        <v>BMB</v>
      </c>
      <c r="J47" s="208" t="str">
        <f t="shared" si="27"/>
        <v/>
      </c>
      <c r="K47" s="208">
        <f t="shared" si="28"/>
        <v>-3.5999999999999997E-2</v>
      </c>
      <c r="L47" s="208" t="str">
        <f t="shared" si="29"/>
        <v/>
      </c>
      <c r="M47" s="223">
        <f t="shared" si="30"/>
        <v>0</v>
      </c>
      <c r="N47" s="223">
        <f t="shared" si="15"/>
        <v>0</v>
      </c>
      <c r="O47" s="223">
        <f t="shared" si="31"/>
        <v>31</v>
      </c>
      <c r="P47" s="223">
        <f t="shared" si="32"/>
        <v>0.5</v>
      </c>
      <c r="Q47" s="223">
        <f t="shared" si="33"/>
        <v>356</v>
      </c>
      <c r="R47" s="223">
        <f t="shared" si="34"/>
        <v>6</v>
      </c>
      <c r="S47" s="224">
        <f t="shared" si="17"/>
        <v>5.7943143503971042</v>
      </c>
      <c r="T47" s="224">
        <f t="shared" si="22"/>
        <v>9.3456683070921032E-2</v>
      </c>
      <c r="U47" s="224">
        <f t="shared" si="23"/>
        <v>66.541158346495777</v>
      </c>
      <c r="V47" s="224">
        <f t="shared" si="24"/>
        <v>1.1214801968510524</v>
      </c>
      <c r="W47" s="224">
        <f t="shared" si="35"/>
        <v>66.541158346495777</v>
      </c>
      <c r="X47" s="224">
        <f t="shared" si="36"/>
        <v>1.1214801968510524</v>
      </c>
      <c r="Y47" s="218">
        <f t="shared" si="37"/>
        <v>36090</v>
      </c>
      <c r="Z47" s="57">
        <f t="shared" si="38"/>
        <v>40602.549240000008</v>
      </c>
      <c r="AA47" s="57">
        <f t="shared" si="39"/>
        <v>0.50738599202729229</v>
      </c>
      <c r="AB47" s="84">
        <f t="shared" si="21"/>
        <v>33.762051638281903</v>
      </c>
      <c r="AC47" s="84">
        <f t="shared" si="21"/>
        <v>0.56902334221823425</v>
      </c>
    </row>
    <row r="48" spans="3:29" x14ac:dyDescent="0.2">
      <c r="C48" s="8" t="str">
        <v>Lithuania</v>
      </c>
      <c r="D48" s="56" t="str">
        <v>Europe &amp; Central Asia</v>
      </c>
      <c r="E48" s="218">
        <f t="shared" si="25"/>
        <v>44.734690943938702</v>
      </c>
      <c r="F48" s="219" t="str">
        <f t="shared" si="26"/>
        <v>M</v>
      </c>
      <c r="G48" s="220" t="str">
        <f t="shared" si="11"/>
        <v>B</v>
      </c>
      <c r="H48" s="220" t="str">
        <f t="shared" si="12"/>
        <v>WMB</v>
      </c>
      <c r="I48" s="220" t="str">
        <f t="shared" si="13"/>
        <v>BMB</v>
      </c>
      <c r="J48" s="208" t="str">
        <f t="shared" si="27"/>
        <v/>
      </c>
      <c r="K48" s="208">
        <f t="shared" si="28"/>
        <v>-0.14599999999999999</v>
      </c>
      <c r="L48" s="208" t="str">
        <f t="shared" si="29"/>
        <v/>
      </c>
      <c r="M48" s="223">
        <f t="shared" si="30"/>
        <v>0</v>
      </c>
      <c r="N48" s="223">
        <f t="shared" si="15"/>
        <v>0</v>
      </c>
      <c r="O48" s="223">
        <f t="shared" si="31"/>
        <v>31</v>
      </c>
      <c r="P48" s="223">
        <f t="shared" si="32"/>
        <v>0.5</v>
      </c>
      <c r="Q48" s="223">
        <f t="shared" si="33"/>
        <v>356</v>
      </c>
      <c r="R48" s="223">
        <f t="shared" si="34"/>
        <v>6</v>
      </c>
      <c r="S48" s="224">
        <f t="shared" si="17"/>
        <v>5.7943143503971042</v>
      </c>
      <c r="T48" s="224">
        <f t="shared" si="22"/>
        <v>9.3456683070921032E-2</v>
      </c>
      <c r="U48" s="224">
        <f t="shared" si="23"/>
        <v>66.541158346495777</v>
      </c>
      <c r="V48" s="224">
        <f t="shared" si="24"/>
        <v>1.1214801968510524</v>
      </c>
      <c r="W48" s="224">
        <f t="shared" si="35"/>
        <v>66.541158346495777</v>
      </c>
      <c r="X48" s="224">
        <f t="shared" si="36"/>
        <v>1.1214801968510524</v>
      </c>
      <c r="Y48" s="218">
        <f t="shared" si="37"/>
        <v>44640</v>
      </c>
      <c r="Z48" s="57">
        <f t="shared" si="38"/>
        <v>50221.60704000001</v>
      </c>
      <c r="AA48" s="57">
        <f t="shared" si="39"/>
        <v>0.62758965597390759</v>
      </c>
      <c r="AB48" s="84">
        <f t="shared" si="21"/>
        <v>41.760542674782592</v>
      </c>
      <c r="AC48" s="84">
        <f t="shared" si="21"/>
        <v>0.70382937092330211</v>
      </c>
    </row>
    <row r="49" spans="3:29" x14ac:dyDescent="0.2">
      <c r="C49" s="8" t="str">
        <v>Malaysia</v>
      </c>
      <c r="D49" s="56" t="str">
        <v>East Asia &amp; Pacific</v>
      </c>
      <c r="E49" s="218">
        <f t="shared" si="25"/>
        <v>102.188020088267</v>
      </c>
      <c r="F49" s="219" t="str">
        <f t="shared" si="26"/>
        <v>M</v>
      </c>
      <c r="G49" s="220" t="str">
        <f t="shared" si="11"/>
        <v>M</v>
      </c>
      <c r="H49" s="220" t="str">
        <f t="shared" si="12"/>
        <v>WMM</v>
      </c>
      <c r="I49" s="220" t="str">
        <f t="shared" si="13"/>
        <v>BMM</v>
      </c>
      <c r="J49" s="208" t="str">
        <f t="shared" si="27"/>
        <v/>
      </c>
      <c r="K49" s="208">
        <f t="shared" si="28"/>
        <v>-0.127</v>
      </c>
      <c r="L49" s="208" t="str">
        <f t="shared" si="29"/>
        <v/>
      </c>
      <c r="M49" s="223">
        <f t="shared" si="30"/>
        <v>0</v>
      </c>
      <c r="N49" s="223">
        <f t="shared" si="15"/>
        <v>0</v>
      </c>
      <c r="O49" s="223">
        <f t="shared" si="31"/>
        <v>53</v>
      </c>
      <c r="P49" s="223">
        <f t="shared" si="32"/>
        <v>0.9</v>
      </c>
      <c r="Q49" s="223">
        <f t="shared" si="33"/>
        <v>605</v>
      </c>
      <c r="R49" s="223">
        <f t="shared" si="34"/>
        <v>10</v>
      </c>
      <c r="S49" s="224">
        <f t="shared" si="17"/>
        <v>9.9064084055176291</v>
      </c>
      <c r="T49" s="224">
        <f t="shared" si="22"/>
        <v>0.16822202952765786</v>
      </c>
      <c r="U49" s="224">
        <f t="shared" si="23"/>
        <v>113.08258651581444</v>
      </c>
      <c r="V49" s="224">
        <f t="shared" si="24"/>
        <v>1.8691336614184206</v>
      </c>
      <c r="W49" s="224">
        <f t="shared" si="35"/>
        <v>113.08258651581444</v>
      </c>
      <c r="X49" s="224">
        <f t="shared" si="36"/>
        <v>1.8691336614184206</v>
      </c>
      <c r="Y49" s="218">
        <f t="shared" si="37"/>
        <v>29630</v>
      </c>
      <c r="Z49" s="57">
        <f t="shared" si="38"/>
        <v>33334.816680000004</v>
      </c>
      <c r="AA49" s="57">
        <f t="shared" si="39"/>
        <v>0.41656544593429395</v>
      </c>
      <c r="AB49" s="84">
        <f t="shared" si="21"/>
        <v>47.106298079363619</v>
      </c>
      <c r="AC49" s="84">
        <f t="shared" si="21"/>
        <v>0.77861649717956405</v>
      </c>
    </row>
    <row r="50" spans="3:29" x14ac:dyDescent="0.2">
      <c r="C50" s="8" t="str">
        <v>Mauritius</v>
      </c>
      <c r="D50" s="56" t="str">
        <v>Sub-Saharan Africa</v>
      </c>
      <c r="E50" s="218">
        <f t="shared" si="25"/>
        <v>634.11817726589902</v>
      </c>
      <c r="F50" s="219" t="str">
        <f t="shared" si="26"/>
        <v>M</v>
      </c>
      <c r="G50" s="220" t="str">
        <f t="shared" si="11"/>
        <v>W</v>
      </c>
      <c r="H50" s="220" t="str">
        <f t="shared" si="12"/>
        <v>WMW</v>
      </c>
      <c r="I50" s="220" t="str">
        <f t="shared" si="13"/>
        <v>BMW</v>
      </c>
      <c r="J50" s="208" t="str">
        <f t="shared" si="27"/>
        <v/>
      </c>
      <c r="K50" s="208">
        <f t="shared" si="28"/>
        <v>-0.28999999999999998</v>
      </c>
      <c r="L50" s="208">
        <f t="shared" si="29"/>
        <v>0.98</v>
      </c>
      <c r="M50" s="223">
        <f t="shared" si="30"/>
        <v>0</v>
      </c>
      <c r="N50" s="223">
        <f t="shared" si="15"/>
        <v>0</v>
      </c>
      <c r="O50" s="223">
        <f t="shared" si="31"/>
        <v>63</v>
      </c>
      <c r="P50" s="223">
        <f t="shared" si="32"/>
        <v>1</v>
      </c>
      <c r="Q50" s="223">
        <f t="shared" si="33"/>
        <v>712</v>
      </c>
      <c r="R50" s="223">
        <f t="shared" si="34"/>
        <v>12</v>
      </c>
      <c r="S50" s="224">
        <f t="shared" si="17"/>
        <v>11.775542066936049</v>
      </c>
      <c r="T50" s="224">
        <f t="shared" si="22"/>
        <v>0.18691336614184206</v>
      </c>
      <c r="U50" s="224">
        <f t="shared" si="23"/>
        <v>133.08231669299155</v>
      </c>
      <c r="V50" s="224">
        <f t="shared" si="24"/>
        <v>2.2429603937021048</v>
      </c>
      <c r="W50" s="224">
        <f t="shared" si="35"/>
        <v>133.08231669299155</v>
      </c>
      <c r="X50" s="224">
        <f t="shared" si="36"/>
        <v>2.2429603937021048</v>
      </c>
      <c r="Y50" s="218">
        <f t="shared" si="37"/>
        <v>23970</v>
      </c>
      <c r="Z50" s="57">
        <f t="shared" si="38"/>
        <v>26967.112920000003</v>
      </c>
      <c r="AA50" s="57">
        <f t="shared" si="39"/>
        <v>0.33699202629244096</v>
      </c>
      <c r="AB50" s="84">
        <f t="shared" si="21"/>
        <v>44.847679566063562</v>
      </c>
      <c r="AC50" s="84">
        <f t="shared" si="21"/>
        <v>0.75585976796736343</v>
      </c>
    </row>
    <row r="51" spans="3:29" x14ac:dyDescent="0.2">
      <c r="C51" s="8" t="str">
        <v>Mexico</v>
      </c>
      <c r="D51" s="56" t="str">
        <v>Latin America &amp; Caribbean</v>
      </c>
      <c r="E51" s="218">
        <f t="shared" si="25"/>
        <v>65.179216543635405</v>
      </c>
      <c r="F51" s="219" t="str">
        <f t="shared" si="26"/>
        <v>M</v>
      </c>
      <c r="G51" s="220" t="str">
        <f t="shared" si="11"/>
        <v>B</v>
      </c>
      <c r="H51" s="220" t="str">
        <f t="shared" si="12"/>
        <v>WMB</v>
      </c>
      <c r="I51" s="220" t="str">
        <f t="shared" si="13"/>
        <v>BMB</v>
      </c>
      <c r="J51" s="208" t="str">
        <f t="shared" si="27"/>
        <v/>
      </c>
      <c r="K51" s="208">
        <f t="shared" si="28"/>
        <v>-0.60199999999999998</v>
      </c>
      <c r="L51" s="208" t="str">
        <f t="shared" si="29"/>
        <v/>
      </c>
      <c r="M51" s="223">
        <f t="shared" si="30"/>
        <v>0</v>
      </c>
      <c r="N51" s="223">
        <f t="shared" si="15"/>
        <v>0</v>
      </c>
      <c r="O51" s="223">
        <f t="shared" si="31"/>
        <v>31</v>
      </c>
      <c r="P51" s="223">
        <f t="shared" si="32"/>
        <v>0.5</v>
      </c>
      <c r="Q51" s="223">
        <f t="shared" si="33"/>
        <v>356</v>
      </c>
      <c r="R51" s="223">
        <f t="shared" si="34"/>
        <v>6</v>
      </c>
      <c r="S51" s="224">
        <f t="shared" si="17"/>
        <v>5.7943143503971042</v>
      </c>
      <c r="T51" s="224">
        <f t="shared" si="22"/>
        <v>9.3456683070921032E-2</v>
      </c>
      <c r="U51" s="224">
        <f t="shared" si="23"/>
        <v>66.541158346495777</v>
      </c>
      <c r="V51" s="224">
        <f t="shared" si="24"/>
        <v>1.1214801968510524</v>
      </c>
      <c r="W51" s="224">
        <f t="shared" si="35"/>
        <v>66.541158346495777</v>
      </c>
      <c r="X51" s="224">
        <f t="shared" si="36"/>
        <v>1.1214801968510524</v>
      </c>
      <c r="Y51" s="218">
        <f t="shared" si="37"/>
        <v>20590</v>
      </c>
      <c r="Z51" s="57">
        <f t="shared" si="38"/>
        <v>23164.491240000003</v>
      </c>
      <c r="AA51" s="57">
        <f t="shared" si="39"/>
        <v>0.28947291703635208</v>
      </c>
      <c r="AB51" s="84">
        <f t="shared" si="21"/>
        <v>19.261863209537939</v>
      </c>
      <c r="AC51" s="84">
        <f t="shared" si="21"/>
        <v>0.32463814398097651</v>
      </c>
    </row>
    <row r="52" spans="3:29" x14ac:dyDescent="0.2">
      <c r="C52" s="8" t="str">
        <v>Netherlands</v>
      </c>
      <c r="D52" s="56" t="str">
        <v>Europe &amp; Central Asia</v>
      </c>
      <c r="E52" s="218">
        <f t="shared" si="25"/>
        <v>520.73192753192802</v>
      </c>
      <c r="F52" s="219" t="str">
        <f t="shared" si="26"/>
        <v>M</v>
      </c>
      <c r="G52" s="220" t="str">
        <f t="shared" si="11"/>
        <v>W</v>
      </c>
      <c r="H52" s="220" t="str">
        <f t="shared" si="12"/>
        <v>WMW</v>
      </c>
      <c r="I52" s="220" t="str">
        <f t="shared" si="13"/>
        <v>BMW</v>
      </c>
      <c r="J52" s="208" t="str">
        <f t="shared" si="27"/>
        <v/>
      </c>
      <c r="K52" s="208">
        <f t="shared" si="28"/>
        <v>1.7470000000000001</v>
      </c>
      <c r="L52" s="208" t="str">
        <f t="shared" si="29"/>
        <v/>
      </c>
      <c r="M52" s="223">
        <f t="shared" si="30"/>
        <v>1</v>
      </c>
      <c r="N52" s="223">
        <f t="shared" si="15"/>
        <v>1</v>
      </c>
      <c r="O52" s="223">
        <f t="shared" si="31"/>
        <v>63</v>
      </c>
      <c r="P52" s="223">
        <f t="shared" si="32"/>
        <v>1</v>
      </c>
      <c r="Q52" s="223">
        <f t="shared" si="33"/>
        <v>712</v>
      </c>
      <c r="R52" s="223">
        <f t="shared" si="34"/>
        <v>12</v>
      </c>
      <c r="S52" s="224">
        <f t="shared" si="17"/>
        <v>11.775542066936049</v>
      </c>
      <c r="T52" s="224">
        <f t="shared" si="22"/>
        <v>0.18691336614184206</v>
      </c>
      <c r="U52" s="224">
        <f t="shared" si="23"/>
        <v>133.08231669299155</v>
      </c>
      <c r="V52" s="224">
        <f t="shared" si="24"/>
        <v>2.2429603937021048</v>
      </c>
      <c r="W52" s="224">
        <f t="shared" si="35"/>
        <v>11.775542066936049</v>
      </c>
      <c r="X52" s="224">
        <f t="shared" si="36"/>
        <v>0.18691336614184206</v>
      </c>
      <c r="Y52" s="218">
        <f t="shared" si="37"/>
        <v>68780</v>
      </c>
      <c r="Z52" s="57">
        <f t="shared" si="38"/>
        <v>77379.976080000008</v>
      </c>
      <c r="AA52" s="57">
        <f t="shared" si="39"/>
        <v>0.96697169663721694</v>
      </c>
      <c r="AB52" s="84">
        <f t="shared" si="21"/>
        <v>11.386615891288072</v>
      </c>
      <c r="AC52" s="84">
        <f t="shared" si="21"/>
        <v>0.18073993478235037</v>
      </c>
    </row>
    <row r="53" spans="3:29" x14ac:dyDescent="0.2">
      <c r="C53" s="8" t="str">
        <v>New Zealand</v>
      </c>
      <c r="D53" s="56" t="str">
        <v>East Asia &amp; Pacific</v>
      </c>
      <c r="E53" s="218">
        <f t="shared" si="25"/>
        <v>19.411720025825101</v>
      </c>
      <c r="F53" s="219" t="str">
        <f t="shared" si="26"/>
        <v>M</v>
      </c>
      <c r="G53" s="220" t="str">
        <f t="shared" si="11"/>
        <v>B</v>
      </c>
      <c r="H53" s="220" t="str">
        <f t="shared" si="12"/>
        <v>WMB</v>
      </c>
      <c r="I53" s="220" t="str">
        <f t="shared" si="13"/>
        <v>BMB</v>
      </c>
      <c r="J53" s="208" t="str">
        <f t="shared" si="27"/>
        <v/>
      </c>
      <c r="K53" s="208">
        <f t="shared" si="28"/>
        <v>1.2989999999999999</v>
      </c>
      <c r="L53" s="208">
        <f t="shared" si="29"/>
        <v>0.97</v>
      </c>
      <c r="M53" s="223">
        <f t="shared" si="30"/>
        <v>0.6</v>
      </c>
      <c r="N53" s="223">
        <f t="shared" si="15"/>
        <v>0.6</v>
      </c>
      <c r="O53" s="223">
        <f t="shared" si="31"/>
        <v>31</v>
      </c>
      <c r="P53" s="223">
        <f t="shared" si="32"/>
        <v>0.5</v>
      </c>
      <c r="Q53" s="223">
        <f t="shared" si="33"/>
        <v>356</v>
      </c>
      <c r="R53" s="223">
        <f t="shared" si="34"/>
        <v>6</v>
      </c>
      <c r="S53" s="224">
        <f t="shared" si="17"/>
        <v>5.7943143503971042</v>
      </c>
      <c r="T53" s="224">
        <f t="shared" si="22"/>
        <v>9.3456683070921032E-2</v>
      </c>
      <c r="U53" s="224">
        <f t="shared" si="23"/>
        <v>66.541158346495777</v>
      </c>
      <c r="V53" s="224">
        <f t="shared" si="24"/>
        <v>1.1214801968510524</v>
      </c>
      <c r="W53" s="224">
        <f t="shared" si="35"/>
        <v>30.093051948836575</v>
      </c>
      <c r="X53" s="224">
        <f t="shared" si="36"/>
        <v>0.50466608858297357</v>
      </c>
      <c r="Y53" s="218">
        <f t="shared" si="37"/>
        <v>46920</v>
      </c>
      <c r="Z53" s="57">
        <f t="shared" si="38"/>
        <v>52786.68912000001</v>
      </c>
      <c r="AA53" s="57">
        <f t="shared" si="39"/>
        <v>0.65964396635967171</v>
      </c>
      <c r="AB53" s="84">
        <f t="shared" si="21"/>
        <v>19.850700147398207</v>
      </c>
      <c r="AC53" s="84">
        <f t="shared" si="21"/>
        <v>0.33289994036009413</v>
      </c>
    </row>
    <row r="54" spans="3:29" x14ac:dyDescent="0.2">
      <c r="C54" s="8" t="str">
        <v>Norway</v>
      </c>
      <c r="D54" s="56" t="str">
        <v>Europe &amp; Central Asia</v>
      </c>
      <c r="E54" s="218">
        <f t="shared" si="25"/>
        <v>14.8470090866665</v>
      </c>
      <c r="F54" s="219" t="str">
        <f t="shared" si="26"/>
        <v>M</v>
      </c>
      <c r="G54" s="220" t="str">
        <f t="shared" si="11"/>
        <v>B</v>
      </c>
      <c r="H54" s="220" t="str">
        <f t="shared" si="12"/>
        <v>WMB</v>
      </c>
      <c r="I54" s="220" t="str">
        <f t="shared" si="13"/>
        <v>BMB</v>
      </c>
      <c r="J54" s="208" t="str">
        <f t="shared" si="27"/>
        <v/>
      </c>
      <c r="K54" s="208">
        <f t="shared" si="28"/>
        <v>1.0449999999999999</v>
      </c>
      <c r="L54" s="208">
        <f t="shared" si="29"/>
        <v>0.99</v>
      </c>
      <c r="M54" s="223">
        <f t="shared" si="30"/>
        <v>0.6</v>
      </c>
      <c r="N54" s="223">
        <f t="shared" si="15"/>
        <v>0.6</v>
      </c>
      <c r="O54" s="223">
        <f t="shared" si="31"/>
        <v>31</v>
      </c>
      <c r="P54" s="223">
        <f t="shared" si="32"/>
        <v>0.5</v>
      </c>
      <c r="Q54" s="223">
        <f t="shared" si="33"/>
        <v>356</v>
      </c>
      <c r="R54" s="223">
        <f t="shared" si="34"/>
        <v>6</v>
      </c>
      <c r="S54" s="224">
        <f t="shared" si="17"/>
        <v>5.7943143503971042</v>
      </c>
      <c r="T54" s="224">
        <f t="shared" si="22"/>
        <v>9.3456683070921032E-2</v>
      </c>
      <c r="U54" s="224">
        <f t="shared" si="23"/>
        <v>66.541158346495777</v>
      </c>
      <c r="V54" s="224">
        <f t="shared" si="24"/>
        <v>1.1214801968510524</v>
      </c>
      <c r="W54" s="224">
        <f t="shared" si="35"/>
        <v>30.093051948836575</v>
      </c>
      <c r="X54" s="224">
        <f t="shared" si="36"/>
        <v>0.50466608858297357</v>
      </c>
      <c r="Y54" s="218">
        <f t="shared" si="37"/>
        <v>90750</v>
      </c>
      <c r="Z54" s="57">
        <f t="shared" si="38"/>
        <v>102097.01700000001</v>
      </c>
      <c r="AA54" s="57">
        <f t="shared" si="39"/>
        <v>1.2758459068017947</v>
      </c>
      <c r="AB54" s="84">
        <f t="shared" si="21"/>
        <v>38.394097152096911</v>
      </c>
      <c r="AC54" s="84">
        <f t="shared" si="21"/>
        <v>0.64387616342025877</v>
      </c>
    </row>
    <row r="55" spans="3:29" x14ac:dyDescent="0.2">
      <c r="C55" s="8" t="str">
        <v>Panama</v>
      </c>
      <c r="D55" s="56" t="str">
        <v>Latin America &amp; Caribbean</v>
      </c>
      <c r="E55" s="218">
        <f t="shared" si="25"/>
        <v>58.6582232407657</v>
      </c>
      <c r="F55" s="219" t="str">
        <f t="shared" si="26"/>
        <v>M</v>
      </c>
      <c r="G55" s="220" t="str">
        <f t="shared" si="11"/>
        <v>B</v>
      </c>
      <c r="H55" s="220" t="str">
        <f t="shared" si="12"/>
        <v>WMB</v>
      </c>
      <c r="I55" s="220" t="str">
        <f t="shared" si="13"/>
        <v>BMB</v>
      </c>
      <c r="J55" s="208" t="str">
        <f t="shared" si="27"/>
        <v/>
      </c>
      <c r="K55" s="208">
        <f t="shared" si="28"/>
        <v>-0.24199999999999999</v>
      </c>
      <c r="L55" s="208">
        <f t="shared" si="29"/>
        <v>0.8490000000000002</v>
      </c>
      <c r="M55" s="223">
        <f t="shared" si="30"/>
        <v>0</v>
      </c>
      <c r="N55" s="223">
        <f t="shared" si="15"/>
        <v>0</v>
      </c>
      <c r="O55" s="223">
        <f t="shared" si="31"/>
        <v>31</v>
      </c>
      <c r="P55" s="223">
        <f t="shared" si="32"/>
        <v>0.5</v>
      </c>
      <c r="Q55" s="223">
        <f t="shared" si="33"/>
        <v>356</v>
      </c>
      <c r="R55" s="223">
        <f t="shared" si="34"/>
        <v>6</v>
      </c>
      <c r="S55" s="224">
        <f t="shared" si="17"/>
        <v>5.7943143503971042</v>
      </c>
      <c r="T55" s="224">
        <f t="shared" si="22"/>
        <v>9.3456683070921032E-2</v>
      </c>
      <c r="U55" s="224">
        <f t="shared" si="23"/>
        <v>66.541158346495777</v>
      </c>
      <c r="V55" s="224">
        <f t="shared" si="24"/>
        <v>1.1214801968510524</v>
      </c>
      <c r="W55" s="224">
        <f t="shared" si="35"/>
        <v>66.541158346495777</v>
      </c>
      <c r="X55" s="224">
        <f t="shared" si="36"/>
        <v>1.1214801968510524</v>
      </c>
      <c r="Y55" s="218">
        <f t="shared" si="37"/>
        <v>29210</v>
      </c>
      <c r="Z55" s="57">
        <f t="shared" si="38"/>
        <v>32862.301560000007</v>
      </c>
      <c r="AA55" s="57">
        <f t="shared" si="39"/>
        <v>0.41066070454744269</v>
      </c>
      <c r="AB55" s="84">
        <f t="shared" si="21"/>
        <v>27.325838967974903</v>
      </c>
      <c r="AC55" s="84">
        <f t="shared" si="21"/>
        <v>0.46054784777485791</v>
      </c>
    </row>
    <row r="56" spans="3:29" x14ac:dyDescent="0.2">
      <c r="C56" s="8" t="str">
        <v>Peru</v>
      </c>
      <c r="D56" s="56" t="str">
        <v>Latin America &amp; Caribbean</v>
      </c>
      <c r="E56" s="218">
        <f t="shared" si="25"/>
        <v>26.340211718749998</v>
      </c>
      <c r="F56" s="219" t="str">
        <f t="shared" si="26"/>
        <v>M</v>
      </c>
      <c r="G56" s="220" t="str">
        <f t="shared" si="11"/>
        <v>B</v>
      </c>
      <c r="H56" s="220" t="str">
        <f t="shared" si="12"/>
        <v>WMB</v>
      </c>
      <c r="I56" s="220" t="str">
        <f t="shared" si="13"/>
        <v>BMB</v>
      </c>
      <c r="J56" s="208">
        <f t="shared" si="27"/>
        <v>0.03</v>
      </c>
      <c r="K56" s="208">
        <f t="shared" si="28"/>
        <v>-0.72199999999999998</v>
      </c>
      <c r="L56" s="208">
        <f t="shared" si="29"/>
        <v>0.82930000000000004</v>
      </c>
      <c r="M56" s="223" t="str">
        <f t="shared" si="30"/>
        <v>-</v>
      </c>
      <c r="N56" s="223">
        <f t="shared" si="15"/>
        <v>0.03</v>
      </c>
      <c r="O56" s="223">
        <f t="shared" si="31"/>
        <v>31</v>
      </c>
      <c r="P56" s="223">
        <f t="shared" si="32"/>
        <v>0.5</v>
      </c>
      <c r="Q56" s="223">
        <f t="shared" si="33"/>
        <v>356</v>
      </c>
      <c r="R56" s="223">
        <f t="shared" si="34"/>
        <v>6</v>
      </c>
      <c r="S56" s="224">
        <f t="shared" si="17"/>
        <v>5.7943143503971042</v>
      </c>
      <c r="T56" s="224">
        <f t="shared" si="22"/>
        <v>9.3456683070921032E-2</v>
      </c>
      <c r="U56" s="224">
        <f t="shared" si="23"/>
        <v>66.541158346495777</v>
      </c>
      <c r="V56" s="224">
        <f t="shared" si="24"/>
        <v>1.1214801968510524</v>
      </c>
      <c r="W56" s="224">
        <f t="shared" si="35"/>
        <v>64.718753026612816</v>
      </c>
      <c r="X56" s="224">
        <f t="shared" si="36"/>
        <v>1.0906394914376483</v>
      </c>
      <c r="Y56" s="218">
        <f t="shared" si="37"/>
        <v>13870</v>
      </c>
      <c r="Z56" s="57">
        <f t="shared" si="38"/>
        <v>15604.249320000003</v>
      </c>
      <c r="AA56" s="57">
        <f t="shared" si="39"/>
        <v>0.1949970548467316</v>
      </c>
      <c r="AB56" s="84">
        <f t="shared" si="21"/>
        <v>12.619966233542497</v>
      </c>
      <c r="AC56" s="84">
        <f t="shared" si="21"/>
        <v>0.21267148872987857</v>
      </c>
    </row>
    <row r="57" spans="3:29" x14ac:dyDescent="0.2">
      <c r="C57" s="8" t="str">
        <v>Philippines</v>
      </c>
      <c r="D57" s="56" t="str">
        <v>East Asia &amp; Pacific</v>
      </c>
      <c r="E57" s="218">
        <f t="shared" si="25"/>
        <v>381.930871650401</v>
      </c>
      <c r="F57" s="219" t="str">
        <f t="shared" si="26"/>
        <v>W</v>
      </c>
      <c r="G57" s="220" t="str">
        <f t="shared" si="11"/>
        <v>W</v>
      </c>
      <c r="H57" s="220" t="str">
        <f t="shared" si="12"/>
        <v>WWW</v>
      </c>
      <c r="I57" s="220" t="str">
        <f t="shared" si="13"/>
        <v>BWW</v>
      </c>
      <c r="J57" s="208" t="str">
        <f t="shared" si="27"/>
        <v/>
      </c>
      <c r="K57" s="208">
        <f t="shared" si="28"/>
        <v>-1.014</v>
      </c>
      <c r="L57" s="208" t="str">
        <f t="shared" si="29"/>
        <v/>
      </c>
      <c r="M57" s="223">
        <f t="shared" si="30"/>
        <v>0</v>
      </c>
      <c r="N57" s="223">
        <f t="shared" si="15"/>
        <v>0</v>
      </c>
      <c r="O57" s="223">
        <f t="shared" si="31"/>
        <v>88</v>
      </c>
      <c r="P57" s="223">
        <f t="shared" si="32"/>
        <v>1.4</v>
      </c>
      <c r="Q57" s="223">
        <f t="shared" si="33"/>
        <v>1000</v>
      </c>
      <c r="R57" s="223">
        <f t="shared" si="34"/>
        <v>16</v>
      </c>
      <c r="S57" s="224">
        <f t="shared" si="17"/>
        <v>16.4483762204821</v>
      </c>
      <c r="T57" s="224">
        <f t="shared" si="22"/>
        <v>0.26167871259857889</v>
      </c>
      <c r="U57" s="224">
        <f t="shared" si="23"/>
        <v>186.91336614184206</v>
      </c>
      <c r="V57" s="224">
        <f t="shared" si="24"/>
        <v>2.990613858269473</v>
      </c>
      <c r="W57" s="224">
        <f t="shared" si="35"/>
        <v>186.91336614184206</v>
      </c>
      <c r="X57" s="224">
        <f t="shared" si="36"/>
        <v>2.990613858269473</v>
      </c>
      <c r="Y57" s="218">
        <f t="shared" si="37"/>
        <v>9110</v>
      </c>
      <c r="Z57" s="57">
        <f t="shared" si="38"/>
        <v>10249.077960000001</v>
      </c>
      <c r="AA57" s="57">
        <f t="shared" si="39"/>
        <v>0.12807665246241706</v>
      </c>
      <c r="AB57" s="84">
        <f t="shared" si="21"/>
        <v>23.939238235929217</v>
      </c>
      <c r="AC57" s="84">
        <f t="shared" si="21"/>
        <v>0.3830278117748675</v>
      </c>
    </row>
    <row r="58" spans="3:29" x14ac:dyDescent="0.2">
      <c r="C58" s="8" t="str">
        <v>Poland</v>
      </c>
      <c r="D58" s="56" t="str">
        <v>Europe &amp; Central Asia</v>
      </c>
      <c r="E58" s="218">
        <f t="shared" si="25"/>
        <v>123.316314929762</v>
      </c>
      <c r="F58" s="219" t="str">
        <f t="shared" si="26"/>
        <v>M</v>
      </c>
      <c r="G58" s="220" t="str">
        <f t="shared" si="11"/>
        <v>M</v>
      </c>
      <c r="H58" s="220" t="str">
        <f t="shared" si="12"/>
        <v>WMM</v>
      </c>
      <c r="I58" s="220" t="str">
        <f t="shared" si="13"/>
        <v>BMM</v>
      </c>
      <c r="J58" s="208" t="str">
        <f t="shared" si="27"/>
        <v/>
      </c>
      <c r="K58" s="208">
        <f t="shared" si="28"/>
        <v>5.0000000000000001E-3</v>
      </c>
      <c r="L58" s="208" t="str">
        <f t="shared" si="29"/>
        <v/>
      </c>
      <c r="M58" s="223">
        <f t="shared" si="30"/>
        <v>0.2</v>
      </c>
      <c r="N58" s="223">
        <f t="shared" si="15"/>
        <v>0.2</v>
      </c>
      <c r="O58" s="223">
        <f t="shared" si="31"/>
        <v>53</v>
      </c>
      <c r="P58" s="223">
        <f t="shared" si="32"/>
        <v>0.9</v>
      </c>
      <c r="Q58" s="223">
        <f t="shared" si="33"/>
        <v>605</v>
      </c>
      <c r="R58" s="223">
        <f t="shared" si="34"/>
        <v>10</v>
      </c>
      <c r="S58" s="224">
        <f t="shared" si="17"/>
        <v>9.9064084055176291</v>
      </c>
      <c r="T58" s="224">
        <f t="shared" si="22"/>
        <v>0.16822202952765786</v>
      </c>
      <c r="U58" s="224">
        <f t="shared" si="23"/>
        <v>113.08258651581444</v>
      </c>
      <c r="V58" s="224">
        <f t="shared" si="24"/>
        <v>1.8691336614184206</v>
      </c>
      <c r="W58" s="224">
        <f t="shared" si="35"/>
        <v>92.447350893755086</v>
      </c>
      <c r="X58" s="224">
        <f t="shared" si="36"/>
        <v>1.5289513350402681</v>
      </c>
      <c r="Y58" s="218">
        <f t="shared" si="37"/>
        <v>38630</v>
      </c>
      <c r="Z58" s="57">
        <f t="shared" si="38"/>
        <v>43460.140680000004</v>
      </c>
      <c r="AA58" s="57">
        <f t="shared" si="39"/>
        <v>0.54309561850967847</v>
      </c>
      <c r="AB58" s="84">
        <f t="shared" si="21"/>
        <v>50.207751213225194</v>
      </c>
      <c r="AC58" s="84">
        <f t="shared" si="21"/>
        <v>0.83036677097489309</v>
      </c>
    </row>
    <row r="59" spans="3:29" x14ac:dyDescent="0.2">
      <c r="C59" s="8" t="str">
        <v>Portugal</v>
      </c>
      <c r="D59" s="56" t="str">
        <v>Europe &amp; Central Asia</v>
      </c>
      <c r="E59" s="218">
        <f t="shared" si="25"/>
        <v>113.113510527741</v>
      </c>
      <c r="F59" s="219" t="str">
        <f t="shared" si="26"/>
        <v>M</v>
      </c>
      <c r="G59" s="220" t="str">
        <f t="shared" si="11"/>
        <v>M</v>
      </c>
      <c r="H59" s="220" t="str">
        <f t="shared" si="12"/>
        <v>WMM</v>
      </c>
      <c r="I59" s="220" t="str">
        <f t="shared" si="13"/>
        <v>BMM</v>
      </c>
      <c r="J59" s="208" t="str">
        <f t="shared" si="27"/>
        <v/>
      </c>
      <c r="K59" s="208">
        <f t="shared" si="28"/>
        <v>-2.8000000000000001E-2</v>
      </c>
      <c r="L59" s="208" t="str">
        <f t="shared" si="29"/>
        <v/>
      </c>
      <c r="M59" s="223">
        <f t="shared" si="30"/>
        <v>0</v>
      </c>
      <c r="N59" s="223">
        <f t="shared" si="15"/>
        <v>0</v>
      </c>
      <c r="O59" s="223">
        <f t="shared" si="31"/>
        <v>53</v>
      </c>
      <c r="P59" s="223">
        <f t="shared" si="32"/>
        <v>0.9</v>
      </c>
      <c r="Q59" s="223">
        <f t="shared" si="33"/>
        <v>605</v>
      </c>
      <c r="R59" s="223">
        <f t="shared" si="34"/>
        <v>10</v>
      </c>
      <c r="S59" s="224">
        <f t="shared" si="17"/>
        <v>9.9064084055176291</v>
      </c>
      <c r="T59" s="224">
        <f t="shared" si="22"/>
        <v>0.16822202952765786</v>
      </c>
      <c r="U59" s="224">
        <f t="shared" si="23"/>
        <v>113.08258651581444</v>
      </c>
      <c r="V59" s="224">
        <f t="shared" si="24"/>
        <v>1.8691336614184206</v>
      </c>
      <c r="W59" s="224">
        <f t="shared" si="35"/>
        <v>113.08258651581444</v>
      </c>
      <c r="X59" s="224">
        <f t="shared" si="36"/>
        <v>1.8691336614184206</v>
      </c>
      <c r="Y59" s="218">
        <f t="shared" si="37"/>
        <v>38400</v>
      </c>
      <c r="Z59" s="57">
        <f t="shared" si="38"/>
        <v>43201.382400000002</v>
      </c>
      <c r="AA59" s="57">
        <f t="shared" si="39"/>
        <v>0.53986206965497419</v>
      </c>
      <c r="AB59" s="84">
        <f t="shared" si="21"/>
        <v>61.048999198365259</v>
      </c>
      <c r="AC59" s="84">
        <f t="shared" si="21"/>
        <v>1.0090743669151283</v>
      </c>
    </row>
    <row r="60" spans="3:29" x14ac:dyDescent="0.2">
      <c r="C60" s="8" t="str">
        <v>Romania</v>
      </c>
      <c r="D60" s="56" t="str">
        <v>Europe &amp; Central Asia</v>
      </c>
      <c r="E60" s="218">
        <f t="shared" si="25"/>
        <v>83.110478963838702</v>
      </c>
      <c r="F60" s="219" t="str">
        <f t="shared" si="26"/>
        <v>M</v>
      </c>
      <c r="G60" s="220" t="str">
        <f t="shared" si="11"/>
        <v>B</v>
      </c>
      <c r="H60" s="220" t="str">
        <f t="shared" si="12"/>
        <v>WMB</v>
      </c>
      <c r="I60" s="220" t="str">
        <f t="shared" si="13"/>
        <v>BMB</v>
      </c>
      <c r="J60" s="208" t="str">
        <f t="shared" si="27"/>
        <v/>
      </c>
      <c r="K60" s="208">
        <f t="shared" si="28"/>
        <v>-1.268</v>
      </c>
      <c r="L60" s="208" t="str">
        <f t="shared" si="29"/>
        <v/>
      </c>
      <c r="M60" s="223">
        <f t="shared" si="30"/>
        <v>0</v>
      </c>
      <c r="N60" s="223">
        <f t="shared" si="15"/>
        <v>0</v>
      </c>
      <c r="O60" s="223">
        <f t="shared" si="31"/>
        <v>31</v>
      </c>
      <c r="P60" s="223">
        <f t="shared" si="32"/>
        <v>0.5</v>
      </c>
      <c r="Q60" s="223">
        <f t="shared" si="33"/>
        <v>356</v>
      </c>
      <c r="R60" s="223">
        <f t="shared" si="34"/>
        <v>6</v>
      </c>
      <c r="S60" s="224">
        <f t="shared" si="17"/>
        <v>5.7943143503971042</v>
      </c>
      <c r="T60" s="224">
        <f t="shared" si="22"/>
        <v>9.3456683070921032E-2</v>
      </c>
      <c r="U60" s="224">
        <f t="shared" si="23"/>
        <v>66.541158346495777</v>
      </c>
      <c r="V60" s="224">
        <f t="shared" si="24"/>
        <v>1.1214801968510524</v>
      </c>
      <c r="W60" s="224">
        <f t="shared" si="35"/>
        <v>66.541158346495777</v>
      </c>
      <c r="X60" s="224">
        <f t="shared" si="36"/>
        <v>1.1214801968510524</v>
      </c>
      <c r="Y60" s="218">
        <f t="shared" si="37"/>
        <v>37210</v>
      </c>
      <c r="Z60" s="57">
        <f t="shared" si="38"/>
        <v>41862.589560000008</v>
      </c>
      <c r="AA60" s="57">
        <f t="shared" si="39"/>
        <v>0.5231319690588957</v>
      </c>
      <c r="AB60" s="84">
        <f t="shared" si="21"/>
        <v>34.809807189262109</v>
      </c>
      <c r="AC60" s="84">
        <f t="shared" si="21"/>
        <v>0.58668214363924898</v>
      </c>
    </row>
    <row r="61" spans="3:29" x14ac:dyDescent="0.2">
      <c r="C61" s="8" t="str">
        <v>Russian Federation</v>
      </c>
      <c r="D61" s="56" t="str">
        <v>Europe &amp; Central Asia</v>
      </c>
      <c r="E61" s="218">
        <f t="shared" si="25"/>
        <v>8.8384875742434303</v>
      </c>
      <c r="F61" s="219" t="str">
        <f t="shared" si="26"/>
        <v>M</v>
      </c>
      <c r="G61" s="220" t="str">
        <f t="shared" si="11"/>
        <v>B</v>
      </c>
      <c r="H61" s="220" t="str">
        <f t="shared" si="12"/>
        <v>WMB</v>
      </c>
      <c r="I61" s="220" t="str">
        <f t="shared" si="13"/>
        <v>BMB</v>
      </c>
      <c r="J61" s="208">
        <f t="shared" si="27"/>
        <v>0.7</v>
      </c>
      <c r="K61" s="208">
        <f t="shared" si="28"/>
        <v>-0.89500000000000002</v>
      </c>
      <c r="L61" s="208" t="str">
        <f t="shared" si="29"/>
        <v/>
      </c>
      <c r="M61" s="223" t="str">
        <f t="shared" si="30"/>
        <v>-</v>
      </c>
      <c r="N61" s="223">
        <f t="shared" si="15"/>
        <v>0.7</v>
      </c>
      <c r="O61" s="223">
        <f t="shared" si="31"/>
        <v>31</v>
      </c>
      <c r="P61" s="223">
        <f t="shared" si="32"/>
        <v>0.5</v>
      </c>
      <c r="Q61" s="223">
        <f t="shared" si="33"/>
        <v>356</v>
      </c>
      <c r="R61" s="223">
        <f t="shared" si="34"/>
        <v>6</v>
      </c>
      <c r="S61" s="224">
        <f t="shared" si="17"/>
        <v>5.7943143503971042</v>
      </c>
      <c r="T61" s="224">
        <f t="shared" si="22"/>
        <v>9.3456683070921032E-2</v>
      </c>
      <c r="U61" s="224">
        <f t="shared" si="23"/>
        <v>66.541158346495777</v>
      </c>
      <c r="V61" s="224">
        <f t="shared" si="24"/>
        <v>1.1214801968510524</v>
      </c>
      <c r="W61" s="224">
        <f t="shared" si="35"/>
        <v>24.018367549226706</v>
      </c>
      <c r="X61" s="224">
        <f t="shared" si="36"/>
        <v>0.40186373720496049</v>
      </c>
      <c r="Y61" s="218">
        <f t="shared" si="37"/>
        <v>38030</v>
      </c>
      <c r="Z61" s="57">
        <f t="shared" si="38"/>
        <v>42785.119080000004</v>
      </c>
      <c r="AA61" s="57">
        <f t="shared" si="39"/>
        <v>0.53466027367131952</v>
      </c>
      <c r="AB61" s="84">
        <f t="shared" si="21"/>
        <v>12.841666967007891</v>
      </c>
      <c r="AC61" s="84">
        <f t="shared" si="21"/>
        <v>0.21486057571258341</v>
      </c>
    </row>
    <row r="62" spans="3:29" x14ac:dyDescent="0.2">
      <c r="C62" s="8" t="str">
        <v>Slovak Republic</v>
      </c>
      <c r="D62" s="56" t="str">
        <v>Europe &amp; Central Asia</v>
      </c>
      <c r="E62" s="218">
        <f t="shared" si="25"/>
        <v>113.29548668885199</v>
      </c>
      <c r="F62" s="219" t="str">
        <f t="shared" si="26"/>
        <v>M</v>
      </c>
      <c r="G62" s="220" t="str">
        <f t="shared" si="11"/>
        <v>M</v>
      </c>
      <c r="H62" s="220" t="str">
        <f t="shared" si="12"/>
        <v>WMM</v>
      </c>
      <c r="I62" s="220" t="str">
        <f t="shared" si="13"/>
        <v>BMM</v>
      </c>
      <c r="J62" s="208" t="str">
        <f t="shared" si="27"/>
        <v/>
      </c>
      <c r="K62" s="208">
        <f t="shared" si="28"/>
        <v>-0.17699999999999999</v>
      </c>
      <c r="L62" s="208" t="str">
        <f t="shared" si="29"/>
        <v/>
      </c>
      <c r="M62" s="223">
        <f t="shared" si="30"/>
        <v>0</v>
      </c>
      <c r="N62" s="223">
        <f t="shared" si="15"/>
        <v>0</v>
      </c>
      <c r="O62" s="223">
        <f t="shared" si="31"/>
        <v>53</v>
      </c>
      <c r="P62" s="223">
        <f t="shared" si="32"/>
        <v>0.9</v>
      </c>
      <c r="Q62" s="223">
        <f t="shared" si="33"/>
        <v>605</v>
      </c>
      <c r="R62" s="223">
        <f t="shared" si="34"/>
        <v>10</v>
      </c>
      <c r="S62" s="224">
        <f t="shared" si="17"/>
        <v>9.9064084055176291</v>
      </c>
      <c r="T62" s="224">
        <f t="shared" si="22"/>
        <v>0.16822202952765786</v>
      </c>
      <c r="U62" s="224">
        <f t="shared" si="23"/>
        <v>113.08258651581444</v>
      </c>
      <c r="V62" s="224">
        <f t="shared" si="24"/>
        <v>1.8691336614184206</v>
      </c>
      <c r="W62" s="224">
        <f t="shared" si="35"/>
        <v>113.08258651581444</v>
      </c>
      <c r="X62" s="224">
        <f t="shared" si="36"/>
        <v>1.8691336614184206</v>
      </c>
      <c r="Y62" s="218">
        <f t="shared" si="37"/>
        <v>36700</v>
      </c>
      <c r="Z62" s="57">
        <f t="shared" si="38"/>
        <v>41288.821200000006</v>
      </c>
      <c r="AA62" s="57">
        <f t="shared" si="39"/>
        <v>0.51596192594629053</v>
      </c>
      <c r="AB62" s="84">
        <f t="shared" si="21"/>
        <v>58.34630912968764</v>
      </c>
      <c r="AC62" s="84">
        <f t="shared" si="21"/>
        <v>0.96440180379648999</v>
      </c>
    </row>
    <row r="63" spans="3:29" x14ac:dyDescent="0.2">
      <c r="C63" s="8" t="str">
        <v>Slovenia</v>
      </c>
      <c r="D63" s="56" t="str">
        <v>Europe &amp; Central Asia</v>
      </c>
      <c r="E63" s="218">
        <f t="shared" si="25"/>
        <v>104.689964442502</v>
      </c>
      <c r="F63" s="219" t="str">
        <f t="shared" si="26"/>
        <v>M</v>
      </c>
      <c r="G63" s="220" t="str">
        <f t="shared" si="11"/>
        <v>M</v>
      </c>
      <c r="H63" s="220" t="str">
        <f t="shared" si="12"/>
        <v>WMM</v>
      </c>
      <c r="I63" s="220" t="str">
        <f t="shared" si="13"/>
        <v>BMM</v>
      </c>
      <c r="J63" s="208" t="str">
        <f t="shared" si="27"/>
        <v/>
      </c>
      <c r="K63" s="208">
        <f t="shared" si="28"/>
        <v>0.20899999999999999</v>
      </c>
      <c r="L63" s="208" t="str">
        <f t="shared" si="29"/>
        <v/>
      </c>
      <c r="M63" s="223">
        <f t="shared" si="30"/>
        <v>0.2</v>
      </c>
      <c r="N63" s="223">
        <f t="shared" si="15"/>
        <v>0.2</v>
      </c>
      <c r="O63" s="223">
        <f t="shared" si="31"/>
        <v>53</v>
      </c>
      <c r="P63" s="223">
        <f t="shared" si="32"/>
        <v>0.9</v>
      </c>
      <c r="Q63" s="223">
        <f t="shared" si="33"/>
        <v>605</v>
      </c>
      <c r="R63" s="223">
        <f t="shared" si="34"/>
        <v>10</v>
      </c>
      <c r="S63" s="224">
        <f t="shared" si="17"/>
        <v>9.9064084055176291</v>
      </c>
      <c r="T63" s="224">
        <f t="shared" si="22"/>
        <v>0.16822202952765786</v>
      </c>
      <c r="U63" s="224">
        <f t="shared" si="23"/>
        <v>113.08258651581444</v>
      </c>
      <c r="V63" s="224">
        <f t="shared" si="24"/>
        <v>1.8691336614184206</v>
      </c>
      <c r="W63" s="224">
        <f t="shared" si="35"/>
        <v>92.447350893755086</v>
      </c>
      <c r="X63" s="224">
        <f t="shared" si="36"/>
        <v>1.5289513350402681</v>
      </c>
      <c r="Y63" s="218">
        <f t="shared" si="37"/>
        <v>45940</v>
      </c>
      <c r="Z63" s="57">
        <f t="shared" si="38"/>
        <v>51684.153840000006</v>
      </c>
      <c r="AA63" s="57">
        <f t="shared" si="39"/>
        <v>0.64586623645701868</v>
      </c>
      <c r="AB63" s="84">
        <f t="shared" si="21"/>
        <v>59.708622592170997</v>
      </c>
      <c r="AC63" s="84">
        <f t="shared" si="21"/>
        <v>0.98749804448839218</v>
      </c>
    </row>
    <row r="64" spans="3:29" x14ac:dyDescent="0.2">
      <c r="C64" s="8" t="str">
        <v>South Africa</v>
      </c>
      <c r="D64" s="56" t="str">
        <v>Sub-Saharan Africa</v>
      </c>
      <c r="E64" s="218">
        <f t="shared" si="25"/>
        <v>48.959479511000801</v>
      </c>
      <c r="F64" s="219" t="str">
        <f t="shared" si="26"/>
        <v>M</v>
      </c>
      <c r="G64" s="220" t="str">
        <f t="shared" si="11"/>
        <v>B</v>
      </c>
      <c r="H64" s="220" t="str">
        <f t="shared" si="12"/>
        <v>WMB</v>
      </c>
      <c r="I64" s="220" t="str">
        <f t="shared" si="13"/>
        <v>BMB</v>
      </c>
      <c r="J64" s="208" t="str">
        <f t="shared" si="27"/>
        <v/>
      </c>
      <c r="K64" s="208">
        <f t="shared" si="28"/>
        <v>-2.9000000000000001E-2</v>
      </c>
      <c r="L64" s="208" t="str">
        <f t="shared" si="29"/>
        <v/>
      </c>
      <c r="M64" s="223">
        <f t="shared" si="30"/>
        <v>0</v>
      </c>
      <c r="N64" s="223">
        <f t="shared" si="15"/>
        <v>0</v>
      </c>
      <c r="O64" s="223">
        <f t="shared" si="31"/>
        <v>31</v>
      </c>
      <c r="P64" s="223">
        <f t="shared" si="32"/>
        <v>0.5</v>
      </c>
      <c r="Q64" s="223">
        <f t="shared" si="33"/>
        <v>356</v>
      </c>
      <c r="R64" s="223">
        <f t="shared" si="34"/>
        <v>6</v>
      </c>
      <c r="S64" s="224">
        <f t="shared" si="17"/>
        <v>5.7943143503971042</v>
      </c>
      <c r="T64" s="224">
        <f t="shared" si="22"/>
        <v>9.3456683070921032E-2</v>
      </c>
      <c r="U64" s="224">
        <f t="shared" si="23"/>
        <v>66.541158346495777</v>
      </c>
      <c r="V64" s="224">
        <f t="shared" si="24"/>
        <v>1.1214801968510524</v>
      </c>
      <c r="W64" s="224">
        <f t="shared" si="35"/>
        <v>66.541158346495777</v>
      </c>
      <c r="X64" s="224">
        <f t="shared" si="36"/>
        <v>1.1214801968510524</v>
      </c>
      <c r="Y64" s="218">
        <f t="shared" si="37"/>
        <v>13900</v>
      </c>
      <c r="Z64" s="57">
        <f t="shared" si="38"/>
        <v>15638.000400000003</v>
      </c>
      <c r="AA64" s="57">
        <f t="shared" si="39"/>
        <v>0.19541882208864955</v>
      </c>
      <c r="AB64" s="84">
        <f t="shared" si="21"/>
        <v>13.003394784486517</v>
      </c>
      <c r="AC64" s="84">
        <f t="shared" si="21"/>
        <v>0.21915833906437948</v>
      </c>
    </row>
    <row r="65" spans="3:29" x14ac:dyDescent="0.2">
      <c r="C65" s="8" t="str">
        <v>Spain</v>
      </c>
      <c r="D65" s="56" t="str">
        <v>Europe &amp; Central Asia</v>
      </c>
      <c r="E65" s="218">
        <f t="shared" si="25"/>
        <v>94.882208796979697</v>
      </c>
      <c r="F65" s="219" t="str">
        <f t="shared" si="26"/>
        <v>M</v>
      </c>
      <c r="G65" s="220" t="str">
        <f t="shared" si="11"/>
        <v>B</v>
      </c>
      <c r="H65" s="220" t="str">
        <f t="shared" si="12"/>
        <v>WMB</v>
      </c>
      <c r="I65" s="220" t="str">
        <f t="shared" si="13"/>
        <v>BMB</v>
      </c>
      <c r="J65" s="208" t="str">
        <f t="shared" si="27"/>
        <v/>
      </c>
      <c r="K65" s="208">
        <f t="shared" si="28"/>
        <v>0.437</v>
      </c>
      <c r="L65" s="208" t="str">
        <f t="shared" si="29"/>
        <v/>
      </c>
      <c r="M65" s="223">
        <f t="shared" si="30"/>
        <v>0.2</v>
      </c>
      <c r="N65" s="223">
        <f t="shared" si="15"/>
        <v>0.2</v>
      </c>
      <c r="O65" s="223">
        <f t="shared" si="31"/>
        <v>31</v>
      </c>
      <c r="P65" s="223">
        <f t="shared" si="32"/>
        <v>0.5</v>
      </c>
      <c r="Q65" s="223">
        <f t="shared" si="33"/>
        <v>356</v>
      </c>
      <c r="R65" s="223">
        <f t="shared" si="34"/>
        <v>6</v>
      </c>
      <c r="S65" s="224">
        <f t="shared" si="17"/>
        <v>5.7943143503971042</v>
      </c>
      <c r="T65" s="224">
        <f t="shared" si="22"/>
        <v>9.3456683070921032E-2</v>
      </c>
      <c r="U65" s="224">
        <f t="shared" si="23"/>
        <v>66.541158346495777</v>
      </c>
      <c r="V65" s="224">
        <f t="shared" si="24"/>
        <v>1.1214801968510524</v>
      </c>
      <c r="W65" s="224">
        <f t="shared" si="35"/>
        <v>54.391789547276041</v>
      </c>
      <c r="X65" s="224">
        <f t="shared" si="36"/>
        <v>0.91587549409502611</v>
      </c>
      <c r="Y65" s="218">
        <f t="shared" si="37"/>
        <v>43960</v>
      </c>
      <c r="Z65" s="57">
        <f t="shared" si="38"/>
        <v>49456.58256000001</v>
      </c>
      <c r="AA65" s="57">
        <f t="shared" si="39"/>
        <v>0.61802959849043415</v>
      </c>
      <c r="AB65" s="84">
        <f t="shared" si="21"/>
        <v>33.615735855079201</v>
      </c>
      <c r="AC65" s="84">
        <f t="shared" si="21"/>
        <v>0.56603816388277695</v>
      </c>
    </row>
    <row r="66" spans="3:29" x14ac:dyDescent="0.2">
      <c r="C66" s="8" t="str">
        <v>Sri Lanka</v>
      </c>
      <c r="D66" s="56" t="str">
        <v>South Asia</v>
      </c>
      <c r="E66" s="218">
        <f t="shared" si="25"/>
        <v>358.16359521500198</v>
      </c>
      <c r="F66" s="219" t="str">
        <f t="shared" si="26"/>
        <v>M</v>
      </c>
      <c r="G66" s="220" t="str">
        <f t="shared" si="11"/>
        <v>W</v>
      </c>
      <c r="H66" s="220" t="str">
        <f t="shared" si="12"/>
        <v>WMW</v>
      </c>
      <c r="I66" s="220" t="str">
        <f t="shared" si="13"/>
        <v>BMW</v>
      </c>
      <c r="J66" s="208" t="str">
        <f t="shared" si="27"/>
        <v/>
      </c>
      <c r="K66" s="208">
        <f t="shared" si="28"/>
        <v>-0.93600000000000005</v>
      </c>
      <c r="L66" s="208" t="str">
        <f t="shared" si="29"/>
        <v/>
      </c>
      <c r="M66" s="223">
        <f t="shared" si="30"/>
        <v>0</v>
      </c>
      <c r="N66" s="223">
        <f t="shared" si="15"/>
        <v>0</v>
      </c>
      <c r="O66" s="223">
        <f t="shared" si="31"/>
        <v>63</v>
      </c>
      <c r="P66" s="223">
        <f t="shared" si="32"/>
        <v>1</v>
      </c>
      <c r="Q66" s="223">
        <f t="shared" si="33"/>
        <v>712</v>
      </c>
      <c r="R66" s="223">
        <f t="shared" si="34"/>
        <v>12</v>
      </c>
      <c r="S66" s="224">
        <f t="shared" si="17"/>
        <v>11.775542066936049</v>
      </c>
      <c r="T66" s="224">
        <f t="shared" si="22"/>
        <v>0.18691336614184206</v>
      </c>
      <c r="U66" s="224">
        <f t="shared" si="23"/>
        <v>133.08231669299155</v>
      </c>
      <c r="V66" s="224">
        <f t="shared" si="24"/>
        <v>2.2429603937021048</v>
      </c>
      <c r="W66" s="224">
        <f t="shared" si="35"/>
        <v>133.08231669299155</v>
      </c>
      <c r="X66" s="224">
        <f t="shared" si="36"/>
        <v>2.2429603937021048</v>
      </c>
      <c r="Y66" s="218">
        <f t="shared" si="37"/>
        <v>13990</v>
      </c>
      <c r="Z66" s="57">
        <f t="shared" si="38"/>
        <v>15739.253640000003</v>
      </c>
      <c r="AA66" s="57">
        <f t="shared" si="39"/>
        <v>0.19668412381440339</v>
      </c>
      <c r="AB66" s="84">
        <f t="shared" si="21"/>
        <v>26.175178853951994</v>
      </c>
      <c r="AC66" s="84">
        <f t="shared" si="21"/>
        <v>0.44115469978570776</v>
      </c>
    </row>
    <row r="67" spans="3:29" x14ac:dyDescent="0.2">
      <c r="C67" s="8" t="str">
        <v>Sweden</v>
      </c>
      <c r="D67" s="56" t="str">
        <v>Europe &amp; Central Asia</v>
      </c>
      <c r="E67" s="218">
        <f t="shared" si="25"/>
        <v>25.573856974431099</v>
      </c>
      <c r="F67" s="219" t="str">
        <f t="shared" si="26"/>
        <v>M</v>
      </c>
      <c r="G67" s="220" t="str">
        <f t="shared" si="11"/>
        <v>B</v>
      </c>
      <c r="H67" s="220" t="str">
        <f t="shared" si="12"/>
        <v>WMB</v>
      </c>
      <c r="I67" s="220" t="str">
        <f t="shared" si="13"/>
        <v>BMB</v>
      </c>
      <c r="J67" s="208" t="str">
        <f t="shared" si="27"/>
        <v/>
      </c>
      <c r="K67" s="208">
        <f t="shared" si="28"/>
        <v>1.772</v>
      </c>
      <c r="L67" s="208" t="str">
        <f t="shared" si="29"/>
        <v/>
      </c>
      <c r="M67" s="223">
        <f t="shared" si="30"/>
        <v>1</v>
      </c>
      <c r="N67" s="223">
        <f t="shared" si="15"/>
        <v>1</v>
      </c>
      <c r="O67" s="223">
        <f t="shared" si="31"/>
        <v>31</v>
      </c>
      <c r="P67" s="223">
        <f t="shared" si="32"/>
        <v>0.5</v>
      </c>
      <c r="Q67" s="223">
        <f t="shared" si="33"/>
        <v>356</v>
      </c>
      <c r="R67" s="223">
        <f t="shared" si="34"/>
        <v>6</v>
      </c>
      <c r="S67" s="224">
        <f t="shared" si="17"/>
        <v>5.7943143503971042</v>
      </c>
      <c r="T67" s="224">
        <f t="shared" si="22"/>
        <v>9.3456683070921032E-2</v>
      </c>
      <c r="U67" s="224">
        <f t="shared" si="23"/>
        <v>66.541158346495777</v>
      </c>
      <c r="V67" s="224">
        <f t="shared" si="24"/>
        <v>1.1214801968510524</v>
      </c>
      <c r="W67" s="224">
        <f t="shared" si="35"/>
        <v>5.7943143503971042</v>
      </c>
      <c r="X67" s="224">
        <f t="shared" si="36"/>
        <v>9.3456683070921032E-2</v>
      </c>
      <c r="Y67" s="218">
        <f t="shared" si="37"/>
        <v>66040</v>
      </c>
      <c r="Z67" s="57">
        <f t="shared" si="38"/>
        <v>74297.377440000011</v>
      </c>
      <c r="AA67" s="57">
        <f t="shared" si="39"/>
        <v>0.92845028854204426</v>
      </c>
      <c r="AB67" s="84">
        <f t="shared" si="21"/>
        <v>5.3797328305294991</v>
      </c>
      <c r="AC67" s="84">
        <f t="shared" si="21"/>
        <v>8.6769884363379013E-2</v>
      </c>
    </row>
    <row r="68" spans="3:29" x14ac:dyDescent="0.2">
      <c r="C68" s="8" t="str">
        <v>Thailand</v>
      </c>
      <c r="D68" s="56" t="str">
        <v>East Asia &amp; Pacific</v>
      </c>
      <c r="E68" s="218">
        <f t="shared" si="25"/>
        <v>140.149744563409</v>
      </c>
      <c r="F68" s="219" t="str">
        <f t="shared" si="26"/>
        <v>M</v>
      </c>
      <c r="G68" s="220" t="str">
        <f t="shared" si="11"/>
        <v>M</v>
      </c>
      <c r="H68" s="220" t="str">
        <f t="shared" si="12"/>
        <v>WMM</v>
      </c>
      <c r="I68" s="220" t="str">
        <f t="shared" si="13"/>
        <v>BMM</v>
      </c>
      <c r="J68" s="208">
        <f t="shared" si="27"/>
        <v>0.22</v>
      </c>
      <c r="K68" s="208">
        <f t="shared" si="28"/>
        <v>-0.38900000000000001</v>
      </c>
      <c r="L68" s="208" t="str">
        <f t="shared" si="29"/>
        <v/>
      </c>
      <c r="M68" s="223" t="str">
        <f t="shared" si="30"/>
        <v>-</v>
      </c>
      <c r="N68" s="223">
        <f t="shared" si="15"/>
        <v>0.22</v>
      </c>
      <c r="O68" s="223">
        <f t="shared" si="31"/>
        <v>53</v>
      </c>
      <c r="P68" s="223">
        <f t="shared" si="32"/>
        <v>0.9</v>
      </c>
      <c r="Q68" s="223">
        <f t="shared" si="33"/>
        <v>605</v>
      </c>
      <c r="R68" s="223">
        <f t="shared" si="34"/>
        <v>10</v>
      </c>
      <c r="S68" s="224">
        <f t="shared" si="17"/>
        <v>9.9064084055176291</v>
      </c>
      <c r="T68" s="224">
        <f t="shared" si="22"/>
        <v>0.16822202952765786</v>
      </c>
      <c r="U68" s="224">
        <f t="shared" si="23"/>
        <v>113.08258651581444</v>
      </c>
      <c r="V68" s="224">
        <f t="shared" si="24"/>
        <v>1.8691336614184206</v>
      </c>
      <c r="W68" s="224">
        <f t="shared" si="35"/>
        <v>90.383827331549156</v>
      </c>
      <c r="X68" s="224">
        <f t="shared" si="36"/>
        <v>1.4949331024024528</v>
      </c>
      <c r="Y68" s="218">
        <f t="shared" si="37"/>
        <v>19580</v>
      </c>
      <c r="Z68" s="57">
        <f t="shared" si="38"/>
        <v>22028.204880000001</v>
      </c>
      <c r="AA68" s="57">
        <f t="shared" si="39"/>
        <v>0.27527341989178111</v>
      </c>
      <c r="AB68" s="84">
        <f t="shared" si="21"/>
        <v>24.880265252463772</v>
      </c>
      <c r="AC68" s="84">
        <f t="shared" si="21"/>
        <v>0.41151534760775338</v>
      </c>
    </row>
    <row r="69" spans="3:29" x14ac:dyDescent="0.2">
      <c r="C69" s="8" t="str">
        <v>Ukraine</v>
      </c>
      <c r="D69" s="56" t="str">
        <v>Europe &amp; Central Asia</v>
      </c>
      <c r="E69" s="218">
        <f t="shared" si="25"/>
        <v>75.679989644459795</v>
      </c>
      <c r="F69" s="219" t="str">
        <f t="shared" si="26"/>
        <v>M</v>
      </c>
      <c r="G69" s="220" t="str">
        <f t="shared" si="11"/>
        <v>B</v>
      </c>
      <c r="H69" s="220" t="str">
        <f t="shared" si="12"/>
        <v>WMB</v>
      </c>
      <c r="I69" s="220" t="str">
        <f t="shared" si="13"/>
        <v>BMB</v>
      </c>
      <c r="J69" s="208" t="str">
        <f t="shared" si="27"/>
        <v/>
      </c>
      <c r="K69" s="208">
        <f t="shared" si="28"/>
        <v>-1.2969999999999999</v>
      </c>
      <c r="L69" s="208">
        <f t="shared" si="29"/>
        <v>0.75860000000000005</v>
      </c>
      <c r="M69" s="223">
        <f t="shared" si="30"/>
        <v>0</v>
      </c>
      <c r="N69" s="223">
        <f t="shared" si="15"/>
        <v>0</v>
      </c>
      <c r="O69" s="223">
        <f t="shared" si="31"/>
        <v>31</v>
      </c>
      <c r="P69" s="223">
        <f t="shared" si="32"/>
        <v>0.5</v>
      </c>
      <c r="Q69" s="223">
        <f t="shared" si="33"/>
        <v>356</v>
      </c>
      <c r="R69" s="223">
        <f t="shared" si="34"/>
        <v>6</v>
      </c>
      <c r="S69" s="224">
        <f t="shared" si="17"/>
        <v>5.7943143503971042</v>
      </c>
      <c r="T69" s="224">
        <f t="shared" si="22"/>
        <v>9.3456683070921032E-2</v>
      </c>
      <c r="U69" s="224">
        <f t="shared" si="23"/>
        <v>66.541158346495777</v>
      </c>
      <c r="V69" s="224">
        <f t="shared" si="24"/>
        <v>1.1214801968510524</v>
      </c>
      <c r="W69" s="224">
        <f t="shared" si="35"/>
        <v>66.541158346495777</v>
      </c>
      <c r="X69" s="224">
        <f t="shared" si="36"/>
        <v>1.1214801968510524</v>
      </c>
      <c r="Y69" s="218">
        <f t="shared" si="37"/>
        <v>17520</v>
      </c>
      <c r="Z69" s="57">
        <f t="shared" si="38"/>
        <v>19710.630720000001</v>
      </c>
      <c r="AA69" s="57">
        <f t="shared" si="39"/>
        <v>0.24631206928008198</v>
      </c>
      <c r="AB69" s="84">
        <f t="shared" si="21"/>
        <v>16.389890404618974</v>
      </c>
      <c r="AC69" s="84">
        <f t="shared" si="21"/>
        <v>0.27623410794301639</v>
      </c>
    </row>
    <row r="70" spans="3:29" x14ac:dyDescent="0.2">
      <c r="C70" s="8" t="str">
        <v>United Kingdom</v>
      </c>
      <c r="D70" s="56" t="str">
        <v>Europe &amp; Central Asia</v>
      </c>
      <c r="E70" s="218">
        <f t="shared" si="25"/>
        <v>277.04828669449802</v>
      </c>
      <c r="F70" s="219" t="str">
        <f t="shared" si="26"/>
        <v>M</v>
      </c>
      <c r="G70" s="220" t="str">
        <f t="shared" si="11"/>
        <v>W</v>
      </c>
      <c r="H70" s="220" t="str">
        <f t="shared" si="12"/>
        <v>WMW</v>
      </c>
      <c r="I70" s="220" t="str">
        <f t="shared" si="13"/>
        <v>BMW</v>
      </c>
      <c r="J70" s="208" t="str">
        <f t="shared" si="27"/>
        <v/>
      </c>
      <c r="K70" s="208">
        <f t="shared" si="28"/>
        <v>1.1850000000000001</v>
      </c>
      <c r="L70" s="208" t="str">
        <f t="shared" si="29"/>
        <v/>
      </c>
      <c r="M70" s="223">
        <f t="shared" si="30"/>
        <v>1</v>
      </c>
      <c r="N70" s="223">
        <f t="shared" si="15"/>
        <v>1</v>
      </c>
      <c r="O70" s="223">
        <f t="shared" si="31"/>
        <v>63</v>
      </c>
      <c r="P70" s="223">
        <f t="shared" si="32"/>
        <v>1</v>
      </c>
      <c r="Q70" s="223">
        <f t="shared" si="33"/>
        <v>712</v>
      </c>
      <c r="R70" s="223">
        <f t="shared" si="34"/>
        <v>12</v>
      </c>
      <c r="S70" s="224">
        <f t="shared" si="17"/>
        <v>11.775542066936049</v>
      </c>
      <c r="T70" s="224">
        <f t="shared" si="22"/>
        <v>0.18691336614184206</v>
      </c>
      <c r="U70" s="224">
        <f t="shared" si="23"/>
        <v>133.08231669299155</v>
      </c>
      <c r="V70" s="224">
        <f t="shared" si="24"/>
        <v>2.2429603937021048</v>
      </c>
      <c r="W70" s="224">
        <f t="shared" si="35"/>
        <v>11.775542066936049</v>
      </c>
      <c r="X70" s="224">
        <f t="shared" si="36"/>
        <v>0.18691336614184206</v>
      </c>
      <c r="Y70" s="218">
        <f t="shared" si="37"/>
        <v>53130</v>
      </c>
      <c r="Z70" s="57">
        <f t="shared" si="38"/>
        <v>59773.162680000009</v>
      </c>
      <c r="AA70" s="57">
        <f t="shared" si="39"/>
        <v>0.74694978543668711</v>
      </c>
      <c r="AB70" s="84">
        <f t="shared" si="21"/>
        <v>8.7957386202985646</v>
      </c>
      <c r="AC70" s="84">
        <f t="shared" si="21"/>
        <v>0.13961489873489788</v>
      </c>
    </row>
    <row r="71" spans="3:29" x14ac:dyDescent="0.2">
      <c r="C71" s="8" t="str">
        <v>United States</v>
      </c>
      <c r="D71" s="56" t="str">
        <v>North America</v>
      </c>
      <c r="E71" s="218">
        <f t="shared" si="25"/>
        <v>36.2997410198723</v>
      </c>
      <c r="F71" s="219" t="str">
        <f t="shared" si="26"/>
        <v>M</v>
      </c>
      <c r="G71" s="220" t="str">
        <f t="shared" si="11"/>
        <v>B</v>
      </c>
      <c r="H71" s="220" t="str">
        <f t="shared" si="12"/>
        <v>WMB</v>
      </c>
      <c r="I71" s="220" t="str">
        <f t="shared" si="13"/>
        <v>BMB</v>
      </c>
      <c r="J71" s="208" t="str">
        <f t="shared" si="27"/>
        <v/>
      </c>
      <c r="K71" s="208">
        <f t="shared" si="28"/>
        <v>1.1839999999999999</v>
      </c>
      <c r="L71" s="208">
        <f t="shared" si="29"/>
        <v>1</v>
      </c>
      <c r="M71" s="223">
        <f t="shared" si="30"/>
        <v>0.6</v>
      </c>
      <c r="N71" s="223">
        <f t="shared" si="15"/>
        <v>0.6</v>
      </c>
      <c r="O71" s="223">
        <f t="shared" si="31"/>
        <v>31</v>
      </c>
      <c r="P71" s="223">
        <f t="shared" si="32"/>
        <v>0.5</v>
      </c>
      <c r="Q71" s="223">
        <f t="shared" si="33"/>
        <v>356</v>
      </c>
      <c r="R71" s="223">
        <f t="shared" si="34"/>
        <v>6</v>
      </c>
      <c r="S71" s="224">
        <f t="shared" si="17"/>
        <v>5.7943143503971042</v>
      </c>
      <c r="T71" s="224">
        <f t="shared" si="22"/>
        <v>9.3456683070921032E-2</v>
      </c>
      <c r="U71" s="224">
        <f t="shared" si="23"/>
        <v>66.541158346495777</v>
      </c>
      <c r="V71" s="224">
        <f t="shared" si="24"/>
        <v>1.1214801968510524</v>
      </c>
      <c r="W71" s="224">
        <f t="shared" si="35"/>
        <v>30.093051948836575</v>
      </c>
      <c r="X71" s="224">
        <f t="shared" si="36"/>
        <v>0.50466608858297357</v>
      </c>
      <c r="Y71" s="218">
        <f t="shared" si="37"/>
        <v>71610</v>
      </c>
      <c r="Z71" s="57">
        <f t="shared" si="38"/>
        <v>80563.82796000001</v>
      </c>
      <c r="AA71" s="57">
        <f t="shared" si="39"/>
        <v>1.0067584064581434</v>
      </c>
      <c r="AB71" s="84">
        <f t="shared" si="21"/>
        <v>30.296433025472837</v>
      </c>
      <c r="AC71" s="84">
        <f t="shared" si="21"/>
        <v>0.5080768271352587</v>
      </c>
    </row>
    <row r="72" spans="3:29" x14ac:dyDescent="0.2">
      <c r="C72" s="8" t="str">
        <v>Uruguay</v>
      </c>
      <c r="D72" s="56" t="str">
        <v>Latin America &amp; Caribbean</v>
      </c>
      <c r="E72" s="218">
        <f t="shared" si="25"/>
        <v>19.5763912695692</v>
      </c>
      <c r="F72" s="219" t="str">
        <f t="shared" si="26"/>
        <v>M</v>
      </c>
      <c r="G72" s="220" t="str">
        <f t="shared" si="11"/>
        <v>B</v>
      </c>
      <c r="H72" s="220" t="str">
        <f t="shared" si="12"/>
        <v>WMB</v>
      </c>
      <c r="I72" s="220" t="str">
        <f t="shared" si="13"/>
        <v>BMB</v>
      </c>
      <c r="J72" s="208" t="str">
        <f t="shared" si="27"/>
        <v/>
      </c>
      <c r="K72" s="208">
        <f t="shared" si="28"/>
        <v>5.8999999999999997E-2</v>
      </c>
      <c r="L72" s="208">
        <f t="shared" si="29"/>
        <v>0.98</v>
      </c>
      <c r="M72" s="223">
        <f t="shared" si="30"/>
        <v>0.2</v>
      </c>
      <c r="N72" s="223">
        <f t="shared" si="15"/>
        <v>0.2</v>
      </c>
      <c r="O72" s="223">
        <f t="shared" si="31"/>
        <v>31</v>
      </c>
      <c r="P72" s="223">
        <f t="shared" si="32"/>
        <v>0.5</v>
      </c>
      <c r="Q72" s="223">
        <f t="shared" si="33"/>
        <v>356</v>
      </c>
      <c r="R72" s="223">
        <f t="shared" si="34"/>
        <v>6</v>
      </c>
      <c r="S72" s="224">
        <f t="shared" si="17"/>
        <v>5.7943143503971042</v>
      </c>
      <c r="T72" s="224">
        <f t="shared" si="22"/>
        <v>9.3456683070921032E-2</v>
      </c>
      <c r="U72" s="224">
        <f t="shared" si="23"/>
        <v>66.541158346495777</v>
      </c>
      <c r="V72" s="224">
        <f t="shared" si="24"/>
        <v>1.1214801968510524</v>
      </c>
      <c r="W72" s="224">
        <f t="shared" si="35"/>
        <v>54.391789547276041</v>
      </c>
      <c r="X72" s="224">
        <f t="shared" si="36"/>
        <v>0.91587549409502611</v>
      </c>
      <c r="Y72" s="218">
        <f t="shared" si="37"/>
        <v>26280</v>
      </c>
      <c r="Z72" s="57">
        <f t="shared" si="38"/>
        <v>29565.946080000005</v>
      </c>
      <c r="AA72" s="57">
        <f t="shared" si="39"/>
        <v>0.36946810392012303</v>
      </c>
      <c r="AB72" s="84">
        <f t="shared" si="21"/>
        <v>20.096031352854446</v>
      </c>
      <c r="AC72" s="84">
        <f t="shared" si="21"/>
        <v>0.33838678223019514</v>
      </c>
    </row>
    <row r="73" spans="3:29" x14ac:dyDescent="0.2">
      <c r="C73" s="8" t="str">
        <v>Venezuela, RB</v>
      </c>
      <c r="D73" s="56" t="str">
        <v>Latin America &amp; Caribbean</v>
      </c>
      <c r="E73" s="218">
        <f t="shared" si="25"/>
        <v>31.9708259168981</v>
      </c>
      <c r="F73" s="219" t="str">
        <f t="shared" si="26"/>
        <v>M</v>
      </c>
      <c r="G73" s="220" t="str">
        <f t="shared" si="11"/>
        <v>B</v>
      </c>
      <c r="H73" s="220" t="str">
        <f t="shared" si="12"/>
        <v>WMB</v>
      </c>
      <c r="I73" s="220" t="str">
        <f t="shared" si="13"/>
        <v>BMB</v>
      </c>
      <c r="J73" s="208" t="str">
        <f t="shared" si="27"/>
        <v/>
      </c>
      <c r="K73" s="208">
        <f t="shared" si="28"/>
        <v>-1.079</v>
      </c>
      <c r="L73" s="208">
        <f t="shared" si="29"/>
        <v>1</v>
      </c>
      <c r="M73" s="223">
        <f t="shared" si="30"/>
        <v>0</v>
      </c>
      <c r="N73" s="223">
        <f t="shared" si="15"/>
        <v>0</v>
      </c>
      <c r="O73" s="223">
        <f t="shared" si="31"/>
        <v>31</v>
      </c>
      <c r="P73" s="223">
        <f t="shared" si="32"/>
        <v>0.5</v>
      </c>
      <c r="Q73" s="223">
        <f t="shared" si="33"/>
        <v>356</v>
      </c>
      <c r="R73" s="223">
        <f t="shared" si="34"/>
        <v>6</v>
      </c>
      <c r="S73" s="224">
        <f t="shared" si="17"/>
        <v>5.7943143503971042</v>
      </c>
      <c r="T73" s="224">
        <f t="shared" si="22"/>
        <v>9.3456683070921032E-2</v>
      </c>
      <c r="U73" s="224">
        <f t="shared" si="23"/>
        <v>66.541158346495777</v>
      </c>
      <c r="V73" s="224">
        <f t="shared" si="24"/>
        <v>1.1214801968510524</v>
      </c>
      <c r="W73" s="224">
        <f t="shared" si="35"/>
        <v>66.541158346495777</v>
      </c>
      <c r="X73" s="224">
        <f t="shared" si="36"/>
        <v>1.1214801968510524</v>
      </c>
      <c r="Y73" s="218" t="str">
        <f t="shared" si="37"/>
        <v>No value</v>
      </c>
      <c r="Z73" s="57" t="str">
        <f t="shared" si="38"/>
        <v>No value</v>
      </c>
      <c r="AA73" s="57" t="str">
        <f t="shared" si="39"/>
        <v>No value</v>
      </c>
      <c r="AB73" s="84" t="str">
        <f t="shared" si="21"/>
        <v>No value</v>
      </c>
      <c r="AC73" s="84" t="str">
        <f t="shared" si="21"/>
        <v>No value</v>
      </c>
    </row>
    <row r="74" spans="3:29" x14ac:dyDescent="0.2">
      <c r="C74" s="8" t="str">
        <v>Viet Nam</v>
      </c>
      <c r="D74" s="56" t="str">
        <v>East Asia &amp; Pacific</v>
      </c>
      <c r="E74" s="218">
        <f t="shared" si="25"/>
        <v>310.97323157716698</v>
      </c>
      <c r="F74" s="219" t="str">
        <f t="shared" si="26"/>
        <v>M</v>
      </c>
      <c r="G74" s="220" t="str">
        <f t="shared" si="11"/>
        <v>W</v>
      </c>
      <c r="H74" s="220" t="str">
        <f t="shared" si="12"/>
        <v>WMW</v>
      </c>
      <c r="I74" s="220" t="str">
        <f t="shared" si="13"/>
        <v>BMW</v>
      </c>
      <c r="J74" s="208">
        <f t="shared" si="27"/>
        <v>0.18</v>
      </c>
      <c r="K74" s="208">
        <f t="shared" si="28"/>
        <v>-0.77</v>
      </c>
      <c r="L74" s="208">
        <f t="shared" si="29"/>
        <v>0.72</v>
      </c>
      <c r="M74" s="223" t="str">
        <f t="shared" si="30"/>
        <v>-</v>
      </c>
      <c r="N74" s="223">
        <f t="shared" si="15"/>
        <v>0.18</v>
      </c>
      <c r="O74" s="223">
        <f t="shared" si="31"/>
        <v>63</v>
      </c>
      <c r="P74" s="223">
        <f t="shared" si="32"/>
        <v>1</v>
      </c>
      <c r="Q74" s="223">
        <f t="shared" si="33"/>
        <v>712</v>
      </c>
      <c r="R74" s="223">
        <f t="shared" si="34"/>
        <v>12</v>
      </c>
      <c r="S74" s="224">
        <f t="shared" si="17"/>
        <v>11.775542066936049</v>
      </c>
      <c r="T74" s="224">
        <f t="shared" si="22"/>
        <v>0.18691336614184206</v>
      </c>
      <c r="U74" s="224">
        <f t="shared" si="23"/>
        <v>133.08231669299155</v>
      </c>
      <c r="V74" s="224">
        <f t="shared" si="24"/>
        <v>2.2429603937021048</v>
      </c>
      <c r="W74" s="224">
        <f t="shared" si="35"/>
        <v>111.24709726030157</v>
      </c>
      <c r="X74" s="224">
        <f t="shared" si="36"/>
        <v>1.8728719287412576</v>
      </c>
      <c r="Y74" s="218">
        <f t="shared" si="37"/>
        <v>11600</v>
      </c>
      <c r="Z74" s="57">
        <f t="shared" si="38"/>
        <v>13050.417600000002</v>
      </c>
      <c r="AA74" s="57">
        <f t="shared" si="39"/>
        <v>0.16308333354160681</v>
      </c>
      <c r="AB74" s="84">
        <f t="shared" si="21"/>
        <v>18.142547468037336</v>
      </c>
      <c r="AC74" s="84">
        <f t="shared" si="21"/>
        <v>0.305434197435623</v>
      </c>
    </row>
  </sheetData>
  <mergeCells count="1">
    <mergeCell ref="B5:I6"/>
  </mergeCells>
  <hyperlinks>
    <hyperlink ref="D9" r:id="rId1" xr:uid="{139FF80D-CE7F-4325-817A-150CAD407FF7}"/>
    <hyperlink ref="E9" r:id="rId2" xr:uid="{C60BEDFE-3201-4E06-9DE6-0F5C973C57FE}"/>
    <hyperlink ref="F9" r:id="rId3" display="World Bank" xr:uid="{301A54FC-E037-4361-BB8D-432C1E46FCFB}"/>
    <hyperlink ref="Y9" r:id="rId4" xr:uid="{582C5DE6-CB65-48AC-B20A-8E8D62DCCF0C}"/>
    <hyperlink ref="L9" r:id="rId5" xr:uid="{6119806C-13E6-426D-8E17-5F500BFFA74F}"/>
    <hyperlink ref="K9" r:id="rId6" xr:uid="{DEEA2F56-FFF6-47A7-AC8B-84D8438A2C9C}"/>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54DC0-9ED5-42A0-98C5-93F741ED5315}">
  <sheetPr codeName="Sheet19">
    <tabColor theme="7" tint="-0.499984740745262"/>
  </sheetPr>
  <dimension ref="B2:AE74"/>
  <sheetViews>
    <sheetView showGridLines="0" zoomScaleNormal="100" workbookViewId="0"/>
  </sheetViews>
  <sheetFormatPr baseColWidth="10" defaultColWidth="8.83203125" defaultRowHeight="15" x14ac:dyDescent="0.2"/>
  <cols>
    <col min="2" max="2" width="26.83203125" customWidth="1"/>
    <col min="3" max="3" width="25" customWidth="1"/>
    <col min="4" max="4" width="27.5" customWidth="1"/>
    <col min="5" max="5" width="25.83203125" bestFit="1" customWidth="1"/>
    <col min="6" max="6" width="21.1640625" customWidth="1"/>
    <col min="7" max="11" width="22.5" customWidth="1"/>
    <col min="12" max="12" width="21.83203125" customWidth="1"/>
    <col min="13" max="33" width="22.5" customWidth="1"/>
  </cols>
  <sheetData>
    <row r="2" spans="2:31" ht="21" x14ac:dyDescent="0.25">
      <c r="B2" s="1" t="s">
        <v>822</v>
      </c>
    </row>
    <row r="3" spans="2:31" x14ac:dyDescent="0.2">
      <c r="E3" s="71" t="s">
        <v>622</v>
      </c>
      <c r="F3" s="66">
        <f>Assump_EnergyPot_Incin</f>
        <v>600</v>
      </c>
      <c r="H3" s="71" t="s">
        <v>623</v>
      </c>
      <c r="I3" s="40">
        <f>Assump_NOXEF</f>
        <v>0.87</v>
      </c>
      <c r="N3" s="71" t="s">
        <v>624</v>
      </c>
      <c r="O3" s="40">
        <f>Assump_SOXEF</f>
        <v>4.7E-2</v>
      </c>
      <c r="T3" s="71" t="s">
        <v>625</v>
      </c>
      <c r="U3" s="40">
        <f>Assump_PM10EF</f>
        <v>7.0000000000000001E-3</v>
      </c>
      <c r="Z3" s="71" t="s">
        <v>626</v>
      </c>
      <c r="AA3" s="40">
        <f>Assump_PM25EF</f>
        <v>4.0000000000000001E-3</v>
      </c>
    </row>
    <row r="4" spans="2:31" x14ac:dyDescent="0.2">
      <c r="B4" s="3" t="s">
        <v>838</v>
      </c>
    </row>
    <row r="5" spans="2:31" x14ac:dyDescent="0.2">
      <c r="B5" s="356" t="s">
        <v>839</v>
      </c>
      <c r="C5" s="357"/>
      <c r="D5" s="357"/>
      <c r="E5" s="357"/>
      <c r="H5" s="91"/>
    </row>
    <row r="6" spans="2:31" x14ac:dyDescent="0.2">
      <c r="B6" s="357"/>
      <c r="C6" s="357"/>
      <c r="D6" s="357"/>
      <c r="E6" s="357"/>
    </row>
    <row r="7" spans="2:31" x14ac:dyDescent="0.2">
      <c r="F7" s="351" t="s">
        <v>518</v>
      </c>
      <c r="G7" s="351"/>
      <c r="H7" s="351"/>
      <c r="I7" s="351"/>
      <c r="J7" s="351"/>
      <c r="K7" s="351"/>
      <c r="L7" s="352" t="s">
        <v>517</v>
      </c>
      <c r="M7" s="353"/>
      <c r="N7" s="353"/>
      <c r="O7" s="353"/>
      <c r="P7" s="353"/>
      <c r="Q7" s="354"/>
      <c r="R7" s="351" t="s">
        <v>526</v>
      </c>
      <c r="S7" s="351"/>
      <c r="T7" s="351"/>
      <c r="U7" s="351"/>
      <c r="V7" s="351"/>
      <c r="W7" s="351"/>
      <c r="X7" s="355" t="s">
        <v>527</v>
      </c>
      <c r="Y7" s="355"/>
      <c r="Z7" s="355"/>
      <c r="AA7" s="355"/>
      <c r="AB7" s="355"/>
      <c r="AC7" s="355"/>
    </row>
    <row r="8" spans="2:31" ht="32" x14ac:dyDescent="0.2">
      <c r="B8" s="193" t="s">
        <v>788</v>
      </c>
      <c r="C8" s="2" t="s">
        <v>0</v>
      </c>
      <c r="D8" s="2" t="s">
        <v>20</v>
      </c>
      <c r="E8" s="43" t="s">
        <v>510</v>
      </c>
      <c r="F8" s="59" t="s">
        <v>521</v>
      </c>
      <c r="G8" s="59" t="s">
        <v>329</v>
      </c>
      <c r="H8" s="59" t="s">
        <v>515</v>
      </c>
      <c r="I8" s="59" t="s">
        <v>443</v>
      </c>
      <c r="J8" s="59" t="s">
        <v>511</v>
      </c>
      <c r="K8" s="59" t="s">
        <v>516</v>
      </c>
      <c r="L8" s="59" t="s">
        <v>522</v>
      </c>
      <c r="M8" s="59" t="s">
        <v>328</v>
      </c>
      <c r="N8" s="59" t="s">
        <v>519</v>
      </c>
      <c r="O8" s="59" t="s">
        <v>443</v>
      </c>
      <c r="P8" s="59" t="s">
        <v>511</v>
      </c>
      <c r="Q8" s="59" t="s">
        <v>516</v>
      </c>
      <c r="R8" s="59" t="s">
        <v>523</v>
      </c>
      <c r="S8" s="59" t="s">
        <v>331</v>
      </c>
      <c r="T8" s="59" t="s">
        <v>524</v>
      </c>
      <c r="U8" s="59" t="s">
        <v>443</v>
      </c>
      <c r="V8" s="59" t="s">
        <v>511</v>
      </c>
      <c r="W8" s="59" t="s">
        <v>516</v>
      </c>
      <c r="X8" s="59" t="s">
        <v>528</v>
      </c>
      <c r="Y8" s="59" t="s">
        <v>330</v>
      </c>
      <c r="Z8" s="59" t="s">
        <v>529</v>
      </c>
      <c r="AA8" s="59" t="s">
        <v>443</v>
      </c>
      <c r="AB8" s="59" t="s">
        <v>511</v>
      </c>
      <c r="AC8" s="96" t="s">
        <v>516</v>
      </c>
      <c r="AD8" s="49" t="s">
        <v>553</v>
      </c>
      <c r="AE8" s="49" t="s">
        <v>554</v>
      </c>
    </row>
    <row r="9" spans="2:31" x14ac:dyDescent="0.2">
      <c r="B9" s="193" t="s">
        <v>789</v>
      </c>
      <c r="C9" s="6"/>
      <c r="D9" s="11" t="s">
        <v>1</v>
      </c>
      <c r="E9" s="130" t="s">
        <v>345</v>
      </c>
      <c r="F9" s="11"/>
      <c r="G9" s="130" t="s">
        <v>664</v>
      </c>
      <c r="H9" s="11"/>
      <c r="I9" s="11"/>
      <c r="J9" s="130" t="s">
        <v>598</v>
      </c>
      <c r="K9" s="11"/>
      <c r="L9" s="11"/>
      <c r="M9" s="130" t="s">
        <v>664</v>
      </c>
      <c r="N9" s="11"/>
      <c r="O9" s="11"/>
      <c r="P9" s="130" t="s">
        <v>598</v>
      </c>
      <c r="Q9" s="11"/>
      <c r="R9" s="11"/>
      <c r="S9" s="130" t="s">
        <v>664</v>
      </c>
      <c r="T9" s="11"/>
      <c r="U9" s="11"/>
      <c r="V9" s="130" t="s">
        <v>598</v>
      </c>
      <c r="W9" s="11"/>
      <c r="X9" s="11"/>
      <c r="Y9" s="130" t="s">
        <v>664</v>
      </c>
      <c r="Z9" s="11"/>
      <c r="AA9" s="11"/>
      <c r="AB9" s="130" t="s">
        <v>598</v>
      </c>
      <c r="AC9" s="11"/>
      <c r="AD9" s="97"/>
      <c r="AE9" s="97"/>
    </row>
    <row r="10" spans="2:31" x14ac:dyDescent="0.2">
      <c r="B10" s="193" t="s">
        <v>790</v>
      </c>
      <c r="C10" s="6">
        <v>2024</v>
      </c>
      <c r="D10" s="6">
        <v>2024</v>
      </c>
      <c r="E10" s="6"/>
      <c r="F10" s="6"/>
      <c r="G10" s="6">
        <v>2023</v>
      </c>
      <c r="H10" s="6"/>
      <c r="I10" s="6"/>
      <c r="J10" s="6">
        <v>2023</v>
      </c>
      <c r="K10" s="6">
        <v>2023</v>
      </c>
      <c r="L10" s="6"/>
      <c r="M10" s="6">
        <v>2023</v>
      </c>
      <c r="N10" s="6"/>
      <c r="O10" s="6"/>
      <c r="P10" s="6">
        <v>2023</v>
      </c>
      <c r="Q10" s="6">
        <v>2023</v>
      </c>
      <c r="R10" s="6"/>
      <c r="S10" s="6">
        <v>2023</v>
      </c>
      <c r="T10" s="6"/>
      <c r="U10" s="6"/>
      <c r="V10" s="6">
        <v>2023</v>
      </c>
      <c r="W10" s="6">
        <v>2023</v>
      </c>
      <c r="X10" s="6"/>
      <c r="Y10" s="6">
        <v>2023</v>
      </c>
      <c r="Z10" s="6"/>
      <c r="AA10" s="6"/>
      <c r="AB10" s="6">
        <v>2023</v>
      </c>
      <c r="AC10" s="6">
        <v>2023</v>
      </c>
      <c r="AD10" s="6">
        <v>2023</v>
      </c>
      <c r="AE10" s="6">
        <v>2023</v>
      </c>
    </row>
    <row r="11" spans="2:31" x14ac:dyDescent="0.2">
      <c r="B11" s="193" t="s">
        <v>791</v>
      </c>
      <c r="C11" s="6"/>
      <c r="D11" s="6"/>
      <c r="E11" s="6" t="s">
        <v>284</v>
      </c>
      <c r="F11" s="6" t="s">
        <v>388</v>
      </c>
      <c r="G11" s="6" t="s">
        <v>514</v>
      </c>
      <c r="H11" s="6" t="s">
        <v>388</v>
      </c>
      <c r="I11" s="6" t="s">
        <v>388</v>
      </c>
      <c r="J11" s="6" t="s">
        <v>512</v>
      </c>
      <c r="K11" s="6" t="s">
        <v>512</v>
      </c>
      <c r="L11" s="6" t="s">
        <v>388</v>
      </c>
      <c r="M11" s="6" t="s">
        <v>514</v>
      </c>
      <c r="N11" s="6" t="s">
        <v>388</v>
      </c>
      <c r="O11" s="6" t="s">
        <v>388</v>
      </c>
      <c r="P11" s="6" t="s">
        <v>520</v>
      </c>
      <c r="Q11" s="6" t="s">
        <v>520</v>
      </c>
      <c r="R11" s="6" t="s">
        <v>388</v>
      </c>
      <c r="S11" s="6" t="s">
        <v>514</v>
      </c>
      <c r="T11" s="6" t="s">
        <v>388</v>
      </c>
      <c r="U11" s="6" t="s">
        <v>388</v>
      </c>
      <c r="V11" s="6" t="s">
        <v>525</v>
      </c>
      <c r="W11" s="6" t="s">
        <v>525</v>
      </c>
      <c r="X11" s="6" t="s">
        <v>388</v>
      </c>
      <c r="Y11" s="6" t="s">
        <v>514</v>
      </c>
      <c r="Z11" s="6" t="s">
        <v>388</v>
      </c>
      <c r="AA11" s="6" t="s">
        <v>388</v>
      </c>
      <c r="AB11" s="6" t="s">
        <v>530</v>
      </c>
      <c r="AC11" s="6" t="s">
        <v>530</v>
      </c>
      <c r="AD11" s="6" t="s">
        <v>513</v>
      </c>
      <c r="AE11" s="6" t="s">
        <v>513</v>
      </c>
    </row>
    <row r="12" spans="2:31" x14ac:dyDescent="0.2">
      <c r="B12" s="193" t="s">
        <v>792</v>
      </c>
      <c r="C12" s="7"/>
      <c r="D12" s="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t="s">
        <v>602</v>
      </c>
      <c r="AE12" s="38" t="s">
        <v>603</v>
      </c>
    </row>
    <row r="13" spans="2:31" x14ac:dyDescent="0.2">
      <c r="C13" s="8" t="str" cm="1">
        <f t="array" ref="C13:C74">ModifiedCountries</f>
        <v>Argentina</v>
      </c>
      <c r="D13" s="56" t="str" cm="1">
        <f t="array" ref="D13:D74">ModifiedRegions</f>
        <v>Latin America &amp; Caribbean</v>
      </c>
      <c r="E13" s="218">
        <f t="shared" ref="E13:E44" si="0">IFERROR(INDEX(Input_IncinerationER,MATCH(C13,Input_countries,0)),"No value")</f>
        <v>7.9045867296149402E-2</v>
      </c>
      <c r="F13" s="148">
        <f t="shared" ref="F13:F44" si="1">$I$3/Assump_kgTonne</f>
        <v>8.7000000000000001E-4</v>
      </c>
      <c r="G13" s="225">
        <f t="shared" ref="G13:G44" si="2">INDEX(Input_NOXintensity,MATCH(C13,Input_countries,0))</f>
        <v>2.9065339786514628E-7</v>
      </c>
      <c r="H13" s="42">
        <f>IFERROR(E13*G13*$F$3,"No value")</f>
        <v>1.3784969950093959E-5</v>
      </c>
      <c r="I13" s="42">
        <f t="shared" ref="I13:I44" si="3">IFERROR(F13-H13,"No value")</f>
        <v>8.5621503004990605E-4</v>
      </c>
      <c r="J13" s="226">
        <f t="shared" ref="J13:J44" si="4">INDEX(Input_NoxImpact,MATCH(C13,Input_countries,0))</f>
        <v>3833.6730374972321</v>
      </c>
      <c r="K13" s="37">
        <f>IFERROR(IF(I13*J13&lt;0,0,I13*J13),"No value")</f>
        <v>3.2824484750022074</v>
      </c>
      <c r="L13" s="29">
        <f t="shared" ref="L13:L44" si="5">$O$3/Assump_kgTonne</f>
        <v>4.6999999999999997E-5</v>
      </c>
      <c r="M13" s="227">
        <f t="shared" ref="M13:M44" si="6">INDEX(Input_SOXintensity,MATCH(C13,Input_countries,0))</f>
        <v>2.4530542730226085E-7</v>
      </c>
      <c r="N13" s="41">
        <f>IFERROR(E13*$F$3*M13,"No value")</f>
        <v>1.1634228152135841E-5</v>
      </c>
      <c r="O13" s="41">
        <f>IFERROR(L13-N13,"No value")</f>
        <v>3.5365771847864158E-5</v>
      </c>
      <c r="P13" s="226">
        <f t="shared" ref="P13:P44" si="7">INDEX(Input_SoxImpact,MATCH(C13,Input_countries,0))</f>
        <v>13334.853610941092</v>
      </c>
      <c r="Q13" s="37">
        <f>IFERROR(IF(O13*P13&lt;0,0,O13*P13),"No value")</f>
        <v>0.47159739042921017</v>
      </c>
      <c r="R13" s="29">
        <f t="shared" ref="R13:R44" si="8">$U$3/Assump_kgTonne</f>
        <v>6.9999999999999999E-6</v>
      </c>
      <c r="S13" s="225">
        <f t="shared" ref="S13:S44" si="9">INDEX(Input_PM10intensity,MATCH(C13,Input_countries,0))</f>
        <v>1.2376906450971292E-8</v>
      </c>
      <c r="T13" s="42">
        <f>IFERROR(E13*$F$3*S13,"No value")</f>
        <v>5.8700598291619927E-7</v>
      </c>
      <c r="U13" s="42">
        <f>IFERROR(R13-T13,"No value")</f>
        <v>6.4129940170838004E-6</v>
      </c>
      <c r="V13" s="226">
        <f t="shared" ref="V13:V44" si="10">INDEX(Input_PM10impact,MATCH(C13,Input_countries,0))</f>
        <v>253.07480162444287</v>
      </c>
      <c r="W13" s="37">
        <f>IFERROR(IF(U13*V13&lt;0,0,U13*V13),"No value")</f>
        <v>1.6229671886922217E-3</v>
      </c>
      <c r="X13" s="29">
        <f t="shared" ref="X13:X44" si="11">$AA$3/Assump_kgTonne</f>
        <v>3.9999999999999998E-6</v>
      </c>
      <c r="Y13" s="225">
        <f t="shared" ref="Y13:Y44" si="12">INDEX(Input_PM25intensity,MATCH(C13,Input_countries,0))</f>
        <v>9.4509368162832334E-9</v>
      </c>
      <c r="Z13" s="42">
        <f>IFERROR(E13*$F$3*Y13,"No value")</f>
        <v>4.4823449844253029E-7</v>
      </c>
      <c r="AA13" s="42">
        <f>IFERROR(X13-Z13,"No value")</f>
        <v>3.5517655015574694E-6</v>
      </c>
      <c r="AB13" s="226">
        <f t="shared" ref="AB13:AB44" si="13">INDEX(Input_PM2.5impact,MATCH(C13,Input_countries,0))</f>
        <v>34531.282857196777</v>
      </c>
      <c r="AC13" s="37">
        <f>IFERROR(IF(AA13*AB13&lt;0,0,AA13*AB13),"No value")</f>
        <v>0.12264701917671435</v>
      </c>
      <c r="AD13" s="84">
        <f>IFERROR(K13+Q13+W13+AC13,"No value")</f>
        <v>3.8783158517968239</v>
      </c>
      <c r="AE13" s="84">
        <f>IFERROR(K13+Q13+W13+AC13,"No value")</f>
        <v>3.8783158517968239</v>
      </c>
    </row>
    <row r="14" spans="2:31" x14ac:dyDescent="0.2">
      <c r="C14" s="8" t="str">
        <v>Australia</v>
      </c>
      <c r="D14" s="56" t="str">
        <v>East Asia &amp; Pacific</v>
      </c>
      <c r="E14" s="218">
        <f t="shared" si="0"/>
        <v>5.108937E-3</v>
      </c>
      <c r="F14" s="148">
        <f t="shared" si="1"/>
        <v>8.7000000000000001E-4</v>
      </c>
      <c r="G14" s="225">
        <f t="shared" si="2"/>
        <v>6.990278779016633E-7</v>
      </c>
      <c r="H14" s="42">
        <f t="shared" ref="H14:H44" si="14">IFERROR(E14*G14*$F$3,"No value")</f>
        <v>2.1427736336659742E-6</v>
      </c>
      <c r="I14" s="42">
        <f t="shared" si="3"/>
        <v>8.6785722636633408E-4</v>
      </c>
      <c r="J14" s="226">
        <f t="shared" si="4"/>
        <v>3196.7554447647121</v>
      </c>
      <c r="K14" s="37">
        <f t="shared" ref="K14:K74" si="15">IFERROR(IF(I14*J14&lt;0,0,I14*J14),"No value")</f>
        <v>2.7743273136649798</v>
      </c>
      <c r="L14" s="29">
        <f t="shared" si="5"/>
        <v>4.6999999999999997E-5</v>
      </c>
      <c r="M14" s="227">
        <f t="shared" si="6"/>
        <v>1.4484908543227929E-6</v>
      </c>
      <c r="N14" s="41">
        <f t="shared" ref="N14:N74" si="16">IFERROR(E14*$F$3*M14,"No value")</f>
        <v>4.4401491118867961E-6</v>
      </c>
      <c r="O14" s="41">
        <f t="shared" ref="O14:O74" si="17">IFERROR(L14-N14,"No value")</f>
        <v>4.25598508881132E-5</v>
      </c>
      <c r="P14" s="226">
        <f t="shared" si="7"/>
        <v>10633.377819048614</v>
      </c>
      <c r="Q14" s="37">
        <f t="shared" ref="Q14:Q74" si="18">IFERROR(IF(O14*P14&lt;0,0,O14*P14),"No value")</f>
        <v>0.45255497441567932</v>
      </c>
      <c r="R14" s="29">
        <f t="shared" si="8"/>
        <v>6.9999999999999999E-6</v>
      </c>
      <c r="S14" s="225">
        <f t="shared" si="9"/>
        <v>3.7930892341436674E-8</v>
      </c>
      <c r="T14" s="42">
        <f t="shared" ref="T14:T74" si="19">IFERROR(E14*$F$3*S14,"No value")</f>
        <v>1.1627192359570948E-7</v>
      </c>
      <c r="U14" s="42">
        <f t="shared" ref="U14:U74" si="20">IFERROR(R14-T14,"No value")</f>
        <v>6.8837280764042901E-6</v>
      </c>
      <c r="V14" s="226">
        <f t="shared" si="10"/>
        <v>255.11183358993136</v>
      </c>
      <c r="W14" s="37">
        <f t="shared" ref="W14:W74" si="21">IFERROR(IF(U14*V14&lt;0,0,U14*V14),"No value")</f>
        <v>1.7561204915059897E-3</v>
      </c>
      <c r="X14" s="29">
        <f t="shared" si="11"/>
        <v>3.9999999999999998E-6</v>
      </c>
      <c r="Y14" s="225">
        <f t="shared" si="12"/>
        <v>1.8403244745019192E-8</v>
      </c>
      <c r="Z14" s="42">
        <f t="shared" ref="Z14:Z74" si="22">IFERROR(E14*$F$3*Y14,"No value")</f>
        <v>5.6412610798730468E-8</v>
      </c>
      <c r="AA14" s="42">
        <f t="shared" ref="AA14:AA74" si="23">IFERROR(X14-Z14,"No value")</f>
        <v>3.9435873892012691E-6</v>
      </c>
      <c r="AB14" s="226">
        <f t="shared" si="13"/>
        <v>30476.388287583763</v>
      </c>
      <c r="AC14" s="37">
        <f t="shared" ref="AC14:AC74" si="24">IFERROR(IF(AA14*AB14&lt;0,0,AA14*AB14),"No value")</f>
        <v>0.12018630051931659</v>
      </c>
      <c r="AD14" s="84">
        <f>IFERROR(K14+Q14+W14+AC14,"No value")</f>
        <v>3.3488247090914816</v>
      </c>
      <c r="AE14" s="84">
        <f t="shared" ref="AE14:AE74" si="25">IFERROR(K14+Q14+W14+AC14,"No value")</f>
        <v>3.3488247090914816</v>
      </c>
    </row>
    <row r="15" spans="2:31" x14ac:dyDescent="0.2">
      <c r="C15" s="8" t="str">
        <v>Austria</v>
      </c>
      <c r="D15" s="56" t="str">
        <v>Europe &amp; Central Asia</v>
      </c>
      <c r="E15" s="218">
        <f t="shared" si="0"/>
        <v>0.38909999999999995</v>
      </c>
      <c r="F15" s="148">
        <f t="shared" si="1"/>
        <v>8.7000000000000001E-4</v>
      </c>
      <c r="G15" s="225">
        <f t="shared" si="2"/>
        <v>1.4898172762645918E-7</v>
      </c>
      <c r="H15" s="42">
        <f t="shared" si="14"/>
        <v>3.4781274131673156E-5</v>
      </c>
      <c r="I15" s="42">
        <f t="shared" si="3"/>
        <v>8.352187258683268E-4</v>
      </c>
      <c r="J15" s="226">
        <f t="shared" si="4"/>
        <v>4090.4518535243378</v>
      </c>
      <c r="K15" s="37">
        <f t="shared" si="15"/>
        <v>3.4164219853263331</v>
      </c>
      <c r="L15" s="29">
        <f t="shared" si="5"/>
        <v>4.6999999999999997E-5</v>
      </c>
      <c r="M15" s="227">
        <f t="shared" si="6"/>
        <v>9.1703570428015582E-8</v>
      </c>
      <c r="N15" s="41">
        <f t="shared" si="16"/>
        <v>2.1409115552124517E-5</v>
      </c>
      <c r="O15" s="41">
        <f t="shared" si="17"/>
        <v>2.559088444787548E-5</v>
      </c>
      <c r="P15" s="226">
        <f t="shared" si="7"/>
        <v>13433.80645732529</v>
      </c>
      <c r="Q15" s="37">
        <f t="shared" si="18"/>
        <v>0.34378298874453495</v>
      </c>
      <c r="R15" s="29">
        <f t="shared" si="8"/>
        <v>6.9999999999999999E-6</v>
      </c>
      <c r="S15" s="225">
        <f t="shared" si="9"/>
        <v>1.3788812451361873E-8</v>
      </c>
      <c r="T15" s="42">
        <f t="shared" si="19"/>
        <v>3.2191361548949427E-6</v>
      </c>
      <c r="U15" s="42">
        <f t="shared" si="20"/>
        <v>3.7808638451050572E-6</v>
      </c>
      <c r="V15" s="226">
        <f t="shared" si="10"/>
        <v>288.42229571802648</v>
      </c>
      <c r="W15" s="37">
        <f t="shared" si="21"/>
        <v>1.0904854300024854E-3</v>
      </c>
      <c r="X15" s="29">
        <f t="shared" si="11"/>
        <v>3.9999999999999998E-6</v>
      </c>
      <c r="Y15" s="225">
        <f t="shared" si="12"/>
        <v>1.155261011673152E-8</v>
      </c>
      <c r="Z15" s="42">
        <f t="shared" si="22"/>
        <v>2.6970723578521405E-6</v>
      </c>
      <c r="AA15" s="42">
        <f t="shared" si="23"/>
        <v>1.3029276421478593E-6</v>
      </c>
      <c r="AB15" s="226">
        <f t="shared" si="13"/>
        <v>35290.053641415725</v>
      </c>
      <c r="AC15" s="37">
        <f t="shared" si="24"/>
        <v>4.5980386382281267E-2</v>
      </c>
      <c r="AD15" s="84">
        <f t="shared" ref="AD15:AD74" si="26">IFERROR(K15+Q15+W15+AC15,"No value")</f>
        <v>3.8072758458831522</v>
      </c>
      <c r="AE15" s="84">
        <f t="shared" si="25"/>
        <v>3.8072758458831522</v>
      </c>
    </row>
    <row r="16" spans="2:31" x14ac:dyDescent="0.2">
      <c r="C16" s="8" t="str">
        <v>Bangladesh</v>
      </c>
      <c r="D16" s="56" t="str">
        <v>South Asia</v>
      </c>
      <c r="E16" s="218">
        <f t="shared" si="0"/>
        <v>0</v>
      </c>
      <c r="F16" s="148">
        <f t="shared" si="1"/>
        <v>8.7000000000000001E-4</v>
      </c>
      <c r="G16" s="225">
        <f t="shared" si="2"/>
        <v>4.8515321109912745E-7</v>
      </c>
      <c r="H16" s="42">
        <f t="shared" si="14"/>
        <v>0</v>
      </c>
      <c r="I16" s="42">
        <f t="shared" si="3"/>
        <v>8.7000000000000001E-4</v>
      </c>
      <c r="J16" s="226">
        <f t="shared" si="4"/>
        <v>52247.463248865526</v>
      </c>
      <c r="K16" s="37">
        <f t="shared" si="15"/>
        <v>45.455293026513012</v>
      </c>
      <c r="L16" s="29">
        <f t="shared" si="5"/>
        <v>4.6999999999999997E-5</v>
      </c>
      <c r="M16" s="227">
        <f t="shared" si="6"/>
        <v>6.0640558093930792E-7</v>
      </c>
      <c r="N16" s="41">
        <f t="shared" si="16"/>
        <v>0</v>
      </c>
      <c r="O16" s="41">
        <f t="shared" si="17"/>
        <v>4.6999999999999997E-5</v>
      </c>
      <c r="P16" s="226">
        <f t="shared" si="7"/>
        <v>187171.81490025888</v>
      </c>
      <c r="Q16" s="37">
        <f t="shared" si="18"/>
        <v>8.7970753003121658</v>
      </c>
      <c r="R16" s="29">
        <f t="shared" si="8"/>
        <v>6.9999999999999999E-6</v>
      </c>
      <c r="S16" s="225">
        <f t="shared" si="9"/>
        <v>2.2592250220609865E-8</v>
      </c>
      <c r="T16" s="42">
        <f t="shared" si="19"/>
        <v>0</v>
      </c>
      <c r="U16" s="42">
        <f t="shared" si="20"/>
        <v>6.9999999999999999E-6</v>
      </c>
      <c r="V16" s="226">
        <f t="shared" si="10"/>
        <v>2774.6791487371206</v>
      </c>
      <c r="W16" s="37">
        <f t="shared" si="21"/>
        <v>1.9422754041159843E-2</v>
      </c>
      <c r="X16" s="29">
        <f t="shared" si="11"/>
        <v>3.9999999999999998E-6</v>
      </c>
      <c r="Y16" s="225">
        <f t="shared" si="12"/>
        <v>1.5839470536327092E-8</v>
      </c>
      <c r="Z16" s="42">
        <f t="shared" si="22"/>
        <v>0</v>
      </c>
      <c r="AA16" s="42">
        <f t="shared" si="23"/>
        <v>3.9999999999999998E-6</v>
      </c>
      <c r="AB16" s="226">
        <f t="shared" si="13"/>
        <v>496840.26875010534</v>
      </c>
      <c r="AC16" s="37">
        <f t="shared" si="24"/>
        <v>1.9873610750004214</v>
      </c>
      <c r="AD16" s="84">
        <f t="shared" si="26"/>
        <v>56.259152155866758</v>
      </c>
      <c r="AE16" s="84">
        <f t="shared" si="25"/>
        <v>56.259152155866758</v>
      </c>
    </row>
    <row r="17" spans="3:31" x14ac:dyDescent="0.2">
      <c r="C17" s="8" t="str">
        <v>Belgium</v>
      </c>
      <c r="D17" s="56" t="str">
        <v>Europe &amp; Central Asia</v>
      </c>
      <c r="E17" s="218">
        <f t="shared" si="0"/>
        <v>0.4230061</v>
      </c>
      <c r="F17" s="148">
        <f t="shared" si="1"/>
        <v>8.7000000000000001E-4</v>
      </c>
      <c r="G17" s="225">
        <f t="shared" si="2"/>
        <v>1.4822332695984702E-7</v>
      </c>
      <c r="H17" s="42">
        <f t="shared" si="14"/>
        <v>3.761962287978585E-5</v>
      </c>
      <c r="I17" s="42">
        <f t="shared" si="3"/>
        <v>8.3238037712021415E-4</v>
      </c>
      <c r="J17" s="226">
        <f t="shared" si="4"/>
        <v>4129.6003916483332</v>
      </c>
      <c r="K17" s="37">
        <f t="shared" si="15"/>
        <v>3.4373983313560235</v>
      </c>
      <c r="L17" s="29">
        <f t="shared" si="5"/>
        <v>4.6999999999999997E-5</v>
      </c>
      <c r="M17" s="227">
        <f t="shared" si="6"/>
        <v>7.8270554493307843E-8</v>
      </c>
      <c r="N17" s="41">
        <f t="shared" si="16"/>
        <v>1.9865353200630978E-5</v>
      </c>
      <c r="O17" s="41">
        <f t="shared" si="17"/>
        <v>2.7134646799369019E-5</v>
      </c>
      <c r="P17" s="226">
        <f t="shared" si="7"/>
        <v>13265.640683602982</v>
      </c>
      <c r="Q17" s="37">
        <f t="shared" si="18"/>
        <v>0.3599584745169071</v>
      </c>
      <c r="R17" s="29">
        <f t="shared" si="8"/>
        <v>6.9999999999999999E-6</v>
      </c>
      <c r="S17" s="225">
        <f t="shared" si="9"/>
        <v>1.0732504780114722E-8</v>
      </c>
      <c r="T17" s="42">
        <f t="shared" si="19"/>
        <v>2.7239489941606118E-6</v>
      </c>
      <c r="U17" s="42">
        <f t="shared" si="20"/>
        <v>4.2760510058393881E-6</v>
      </c>
      <c r="V17" s="226">
        <f t="shared" si="10"/>
        <v>304.80550950951988</v>
      </c>
      <c r="W17" s="37">
        <f t="shared" si="21"/>
        <v>1.3033639055235696E-3</v>
      </c>
      <c r="X17" s="29">
        <f t="shared" si="11"/>
        <v>3.9999999999999998E-6</v>
      </c>
      <c r="Y17" s="225">
        <f t="shared" si="12"/>
        <v>9.0001912045889094E-9</v>
      </c>
      <c r="Z17" s="42">
        <f t="shared" si="22"/>
        <v>2.284281468424474E-6</v>
      </c>
      <c r="AA17" s="42">
        <f t="shared" si="23"/>
        <v>1.7157185315755258E-6</v>
      </c>
      <c r="AB17" s="226">
        <f t="shared" si="13"/>
        <v>34517.082150290596</v>
      </c>
      <c r="AC17" s="37">
        <f t="shared" si="24"/>
        <v>5.9221597501168372E-2</v>
      </c>
      <c r="AD17" s="84">
        <f t="shared" si="26"/>
        <v>3.8578817672796228</v>
      </c>
      <c r="AE17" s="84">
        <f t="shared" si="25"/>
        <v>3.8578817672796228</v>
      </c>
    </row>
    <row r="18" spans="3:31" x14ac:dyDescent="0.2">
      <c r="C18" s="8" t="str">
        <v>Bolivia</v>
      </c>
      <c r="D18" s="56" t="str">
        <v>Latin America &amp; Caribbean</v>
      </c>
      <c r="E18" s="218">
        <f t="shared" si="0"/>
        <v>0</v>
      </c>
      <c r="F18" s="148">
        <f t="shared" si="1"/>
        <v>8.7000000000000001E-4</v>
      </c>
      <c r="G18" s="225">
        <f t="shared" si="2"/>
        <v>2.4223214596003473E-7</v>
      </c>
      <c r="H18" s="42">
        <f t="shared" si="14"/>
        <v>0</v>
      </c>
      <c r="I18" s="42">
        <f t="shared" si="3"/>
        <v>8.7000000000000001E-4</v>
      </c>
      <c r="J18" s="226">
        <f t="shared" si="4"/>
        <v>3785.8441990025817</v>
      </c>
      <c r="K18" s="37">
        <f t="shared" si="15"/>
        <v>3.2936844531322462</v>
      </c>
      <c r="L18" s="29">
        <f t="shared" si="5"/>
        <v>4.6999999999999997E-5</v>
      </c>
      <c r="M18" s="227">
        <f t="shared" si="6"/>
        <v>3.3879721980886186E-8</v>
      </c>
      <c r="N18" s="41">
        <f t="shared" si="16"/>
        <v>0</v>
      </c>
      <c r="O18" s="41">
        <f t="shared" si="17"/>
        <v>4.6999999999999997E-5</v>
      </c>
      <c r="P18" s="226">
        <f t="shared" si="7"/>
        <v>13040.116377719469</v>
      </c>
      <c r="Q18" s="37">
        <f t="shared" si="18"/>
        <v>0.61288546975281499</v>
      </c>
      <c r="R18" s="29">
        <f t="shared" si="8"/>
        <v>6.9999999999999999E-6</v>
      </c>
      <c r="S18" s="225">
        <f t="shared" si="9"/>
        <v>7.864013900955691E-9</v>
      </c>
      <c r="T18" s="42">
        <f t="shared" si="19"/>
        <v>0</v>
      </c>
      <c r="U18" s="42">
        <f t="shared" si="20"/>
        <v>6.9999999999999999E-6</v>
      </c>
      <c r="V18" s="226">
        <f t="shared" si="10"/>
        <v>251.17774568705457</v>
      </c>
      <c r="W18" s="37">
        <f t="shared" si="21"/>
        <v>1.758244219809382E-3</v>
      </c>
      <c r="X18" s="29">
        <f t="shared" si="11"/>
        <v>3.9999999999999998E-6</v>
      </c>
      <c r="Y18" s="225">
        <f t="shared" si="12"/>
        <v>6.9256993918331883E-9</v>
      </c>
      <c r="Z18" s="42">
        <f t="shared" si="22"/>
        <v>0</v>
      </c>
      <c r="AA18" s="42">
        <f t="shared" si="23"/>
        <v>3.9999999999999998E-6</v>
      </c>
      <c r="AB18" s="226">
        <f t="shared" si="13"/>
        <v>33255.68313256136</v>
      </c>
      <c r="AC18" s="37">
        <f t="shared" si="24"/>
        <v>0.13302273253024544</v>
      </c>
      <c r="AD18" s="84">
        <f t="shared" si="26"/>
        <v>4.0413508996351162</v>
      </c>
      <c r="AE18" s="84">
        <f t="shared" si="25"/>
        <v>4.0413508996351162</v>
      </c>
    </row>
    <row r="19" spans="3:31" x14ac:dyDescent="0.2">
      <c r="C19" s="8" t="str">
        <v>Brazil</v>
      </c>
      <c r="D19" s="56" t="str">
        <v>Latin America &amp; Caribbean</v>
      </c>
      <c r="E19" s="218">
        <f t="shared" si="0"/>
        <v>7.9045867296149375E-2</v>
      </c>
      <c r="F19" s="148">
        <f t="shared" si="1"/>
        <v>8.7000000000000001E-4</v>
      </c>
      <c r="G19" s="225">
        <f t="shared" si="2"/>
        <v>1.247927344684496E-7</v>
      </c>
      <c r="H19" s="42">
        <f t="shared" si="14"/>
        <v>5.9186099569900033E-6</v>
      </c>
      <c r="I19" s="42">
        <f t="shared" si="3"/>
        <v>8.6408139004300998E-4</v>
      </c>
      <c r="J19" s="226">
        <f t="shared" si="4"/>
        <v>4825.8132727833499</v>
      </c>
      <c r="K19" s="37">
        <f t="shared" si="15"/>
        <v>4.1698954408346447</v>
      </c>
      <c r="L19" s="29">
        <f t="shared" si="5"/>
        <v>4.6999999999999997E-5</v>
      </c>
      <c r="M19" s="227">
        <f t="shared" si="6"/>
        <v>1.068793520090967E-7</v>
      </c>
      <c r="N19" s="41">
        <f t="shared" si="16"/>
        <v>5.0690226453656963E-6</v>
      </c>
      <c r="O19" s="41">
        <f t="shared" si="17"/>
        <v>4.1930977354634304E-5</v>
      </c>
      <c r="P19" s="226">
        <f t="shared" si="7"/>
        <v>16509.398887146959</v>
      </c>
      <c r="Q19" s="37">
        <f t="shared" si="18"/>
        <v>0.69225523087558394</v>
      </c>
      <c r="R19" s="29">
        <f t="shared" si="8"/>
        <v>6.9999999999999999E-6</v>
      </c>
      <c r="S19" s="225">
        <f t="shared" si="9"/>
        <v>1.3798621321086286E-8</v>
      </c>
      <c r="T19" s="42">
        <f t="shared" si="19"/>
        <v>6.5443439388984238E-7</v>
      </c>
      <c r="U19" s="42">
        <f t="shared" si="20"/>
        <v>6.3455656061101573E-6</v>
      </c>
      <c r="V19" s="226">
        <f t="shared" si="10"/>
        <v>304.30401323153467</v>
      </c>
      <c r="W19" s="37">
        <f t="shared" si="21"/>
        <v>1.9309810801633165E-3</v>
      </c>
      <c r="X19" s="29">
        <f t="shared" si="11"/>
        <v>3.9999999999999998E-6</v>
      </c>
      <c r="Y19" s="225">
        <f t="shared" si="12"/>
        <v>1.1103764785799728E-8</v>
      </c>
      <c r="Z19" s="42">
        <f t="shared" si="22"/>
        <v>5.2662403064758908E-7</v>
      </c>
      <c r="AA19" s="42">
        <f t="shared" si="23"/>
        <v>3.4733759693524106E-6</v>
      </c>
      <c r="AB19" s="226">
        <f t="shared" si="13"/>
        <v>48096.523543867341</v>
      </c>
      <c r="AC19" s="37">
        <f t="shared" si="24"/>
        <v>0.16705730908666128</v>
      </c>
      <c r="AD19" s="84">
        <f t="shared" si="26"/>
        <v>5.031138961877053</v>
      </c>
      <c r="AE19" s="84">
        <f t="shared" si="25"/>
        <v>5.031138961877053</v>
      </c>
    </row>
    <row r="20" spans="3:31" x14ac:dyDescent="0.2">
      <c r="C20" s="8" t="str">
        <v>Bulgaria</v>
      </c>
      <c r="D20" s="56" t="str">
        <v>Europe &amp; Central Asia</v>
      </c>
      <c r="E20" s="218">
        <f t="shared" si="0"/>
        <v>5.5903621521275385E-2</v>
      </c>
      <c r="F20" s="148">
        <f t="shared" si="1"/>
        <v>8.7000000000000001E-4</v>
      </c>
      <c r="G20" s="225">
        <f t="shared" si="2"/>
        <v>6.146767025089605E-7</v>
      </c>
      <c r="H20" s="42">
        <f t="shared" si="14"/>
        <v>2.0617592241003908E-5</v>
      </c>
      <c r="I20" s="42">
        <f t="shared" si="3"/>
        <v>8.4938240775899614E-4</v>
      </c>
      <c r="J20" s="226">
        <f t="shared" si="4"/>
        <v>4157.2256267350822</v>
      </c>
      <c r="K20" s="37">
        <f t="shared" si="15"/>
        <v>3.5310743124336459</v>
      </c>
      <c r="L20" s="29">
        <f t="shared" si="5"/>
        <v>4.6999999999999997E-5</v>
      </c>
      <c r="M20" s="227">
        <f t="shared" si="6"/>
        <v>1.2948247311827955E-6</v>
      </c>
      <c r="N20" s="41">
        <f t="shared" si="16"/>
        <v>4.3431235025058088E-5</v>
      </c>
      <c r="O20" s="41">
        <f t="shared" si="17"/>
        <v>3.5687649749419089E-6</v>
      </c>
      <c r="P20" s="226">
        <f t="shared" si="7"/>
        <v>13815.083323045168</v>
      </c>
      <c r="Q20" s="37">
        <f t="shared" si="18"/>
        <v>4.9302785489187671E-2</v>
      </c>
      <c r="R20" s="29">
        <f t="shared" si="8"/>
        <v>6.9999999999999999E-6</v>
      </c>
      <c r="S20" s="225">
        <f t="shared" si="9"/>
        <v>3.7925806451612903E-8</v>
      </c>
      <c r="T20" s="42">
        <f t="shared" si="19"/>
        <v>1.2721139578560672E-6</v>
      </c>
      <c r="U20" s="42">
        <f t="shared" si="20"/>
        <v>5.7278860421439327E-6</v>
      </c>
      <c r="V20" s="226">
        <f t="shared" si="10"/>
        <v>258.18384437111723</v>
      </c>
      <c r="W20" s="37">
        <f t="shared" si="21"/>
        <v>1.4788476384803837E-3</v>
      </c>
      <c r="X20" s="29">
        <f t="shared" si="11"/>
        <v>3.9999999999999998E-6</v>
      </c>
      <c r="Y20" s="225">
        <f t="shared" si="12"/>
        <v>1.9815412186379927E-8</v>
      </c>
      <c r="Z20" s="42">
        <f t="shared" si="22"/>
        <v>6.6465198189327083E-7</v>
      </c>
      <c r="AA20" s="42">
        <f t="shared" si="23"/>
        <v>3.3353480181067291E-6</v>
      </c>
      <c r="AB20" s="226">
        <f t="shared" si="13"/>
        <v>36640.544793040317</v>
      </c>
      <c r="AC20" s="37">
        <f t="shared" si="24"/>
        <v>0.12220896845781785</v>
      </c>
      <c r="AD20" s="84">
        <f t="shared" si="26"/>
        <v>3.7040649140191322</v>
      </c>
      <c r="AE20" s="84">
        <f t="shared" si="25"/>
        <v>3.7040649140191322</v>
      </c>
    </row>
    <row r="21" spans="3:31" x14ac:dyDescent="0.2">
      <c r="C21" s="8" t="str">
        <v>Canada</v>
      </c>
      <c r="D21" s="56" t="str">
        <v>North America</v>
      </c>
      <c r="E21" s="218">
        <f t="shared" si="0"/>
        <v>5.8474982162928055E-2</v>
      </c>
      <c r="F21" s="148">
        <f t="shared" si="1"/>
        <v>8.7000000000000001E-4</v>
      </c>
      <c r="G21" s="225">
        <f t="shared" si="2"/>
        <v>1.2371567952702194E-7</v>
      </c>
      <c r="H21" s="42">
        <f t="shared" si="14"/>
        <v>4.3405632921702789E-6</v>
      </c>
      <c r="I21" s="42">
        <f t="shared" si="3"/>
        <v>8.6565943670782969E-4</v>
      </c>
      <c r="J21" s="226">
        <f t="shared" si="4"/>
        <v>7723.777948892005</v>
      </c>
      <c r="K21" s="37">
        <f t="shared" si="15"/>
        <v>6.6861612684942093</v>
      </c>
      <c r="L21" s="29">
        <f t="shared" si="5"/>
        <v>4.6999999999999997E-5</v>
      </c>
      <c r="M21" s="227">
        <f t="shared" si="6"/>
        <v>1.668289717274312E-7</v>
      </c>
      <c r="N21" s="41">
        <f t="shared" si="16"/>
        <v>5.8531926876127008E-6</v>
      </c>
      <c r="O21" s="41">
        <f t="shared" si="17"/>
        <v>4.1146807312387299E-5</v>
      </c>
      <c r="P21" s="226">
        <f t="shared" si="7"/>
        <v>28115.05928480846</v>
      </c>
      <c r="Q21" s="37">
        <f t="shared" si="18"/>
        <v>1.1568449269683592</v>
      </c>
      <c r="R21" s="29">
        <f t="shared" si="8"/>
        <v>6.9999999999999999E-6</v>
      </c>
      <c r="S21" s="225">
        <f t="shared" si="9"/>
        <v>6.3274427347835981E-9</v>
      </c>
      <c r="T21" s="42">
        <f t="shared" si="19"/>
        <v>2.2199826063205177E-7</v>
      </c>
      <c r="U21" s="42">
        <f t="shared" si="20"/>
        <v>6.7780017393679484E-6</v>
      </c>
      <c r="V21" s="226">
        <f t="shared" si="10"/>
        <v>422.59642280960594</v>
      </c>
      <c r="W21" s="37">
        <f t="shared" si="21"/>
        <v>2.8643592888541818E-3</v>
      </c>
      <c r="X21" s="29">
        <f t="shared" si="11"/>
        <v>3.9999999999999998E-6</v>
      </c>
      <c r="Y21" s="225">
        <f t="shared" si="12"/>
        <v>3.888567573713333E-9</v>
      </c>
      <c r="Z21" s="42">
        <f t="shared" si="22"/>
        <v>1.3643035170733656E-7</v>
      </c>
      <c r="AA21" s="42">
        <f t="shared" si="23"/>
        <v>3.8635696482926632E-6</v>
      </c>
      <c r="AB21" s="226">
        <f t="shared" si="13"/>
        <v>81252.804278954281</v>
      </c>
      <c r="AC21" s="37">
        <f t="shared" si="24"/>
        <v>0.31392586845083198</v>
      </c>
      <c r="AD21" s="84">
        <f t="shared" si="26"/>
        <v>8.1597964232022555</v>
      </c>
      <c r="AE21" s="84">
        <f t="shared" si="25"/>
        <v>8.1597964232022555</v>
      </c>
    </row>
    <row r="22" spans="3:31" x14ac:dyDescent="0.2">
      <c r="C22" s="8" t="str">
        <v>Chile</v>
      </c>
      <c r="D22" s="56" t="str">
        <v>Latin America &amp; Caribbean</v>
      </c>
      <c r="E22" s="218">
        <f t="shared" si="0"/>
        <v>2.9058616422421572E-2</v>
      </c>
      <c r="F22" s="148">
        <f t="shared" si="1"/>
        <v>8.7000000000000001E-4</v>
      </c>
      <c r="G22" s="225">
        <f t="shared" si="2"/>
        <v>3.9769185291997122E-7</v>
      </c>
      <c r="H22" s="42">
        <f t="shared" si="14"/>
        <v>6.9338250049941245E-6</v>
      </c>
      <c r="I22" s="42">
        <f t="shared" si="3"/>
        <v>8.6306617499500591E-4</v>
      </c>
      <c r="J22" s="226">
        <f t="shared" si="4"/>
        <v>4826.3021432004352</v>
      </c>
      <c r="K22" s="37">
        <f t="shared" si="15"/>
        <v>4.1654181301021991</v>
      </c>
      <c r="L22" s="29">
        <f t="shared" si="5"/>
        <v>4.6999999999999997E-5</v>
      </c>
      <c r="M22" s="227">
        <f t="shared" si="6"/>
        <v>7.6587456380677739E-7</v>
      </c>
      <c r="N22" s="41">
        <f t="shared" si="16"/>
        <v>1.3353153106410348E-5</v>
      </c>
      <c r="O22" s="41">
        <f t="shared" si="17"/>
        <v>3.3646846893589649E-5</v>
      </c>
      <c r="P22" s="226">
        <f t="shared" si="7"/>
        <v>16796.834854159144</v>
      </c>
      <c r="Q22" s="37">
        <f t="shared" si="18"/>
        <v>0.56516053063480298</v>
      </c>
      <c r="R22" s="29">
        <f t="shared" si="8"/>
        <v>6.9999999999999999E-6</v>
      </c>
      <c r="S22" s="225">
        <f t="shared" si="9"/>
        <v>2.0387930785868785E-8</v>
      </c>
      <c r="T22" s="42">
        <f t="shared" si="19"/>
        <v>3.5546703621206464E-7</v>
      </c>
      <c r="U22" s="42">
        <f t="shared" si="20"/>
        <v>6.6445329637879354E-6</v>
      </c>
      <c r="V22" s="226">
        <f t="shared" si="10"/>
        <v>310.44621690041168</v>
      </c>
      <c r="W22" s="37">
        <f t="shared" si="21"/>
        <v>2.0627701216780446E-3</v>
      </c>
      <c r="X22" s="29">
        <f t="shared" si="11"/>
        <v>3.9999999999999998E-6</v>
      </c>
      <c r="Y22" s="225">
        <f t="shared" si="12"/>
        <v>1.038389329488104E-8</v>
      </c>
      <c r="Z22" s="42">
        <f t="shared" si="22"/>
        <v>1.8104494333638208E-7</v>
      </c>
      <c r="AA22" s="42">
        <f t="shared" si="23"/>
        <v>3.8189550566636179E-6</v>
      </c>
      <c r="AB22" s="226">
        <f t="shared" si="13"/>
        <v>46346.377633387259</v>
      </c>
      <c r="AC22" s="37">
        <f t="shared" si="24"/>
        <v>0.17699473322106588</v>
      </c>
      <c r="AD22" s="84">
        <f t="shared" si="26"/>
        <v>4.9096361640797461</v>
      </c>
      <c r="AE22" s="84">
        <f t="shared" si="25"/>
        <v>4.9096361640797461</v>
      </c>
    </row>
    <row r="23" spans="3:31" x14ac:dyDescent="0.2">
      <c r="C23" s="8" t="str">
        <v>China</v>
      </c>
      <c r="D23" s="56" t="str">
        <v>East Asia &amp; Pacific</v>
      </c>
      <c r="E23" s="218">
        <f t="shared" si="0"/>
        <v>0.33453626065075809</v>
      </c>
      <c r="F23" s="148">
        <f t="shared" si="1"/>
        <v>8.7000000000000001E-4</v>
      </c>
      <c r="G23" s="225">
        <f t="shared" si="2"/>
        <v>8.2258506700961627E-7</v>
      </c>
      <c r="H23" s="42">
        <f t="shared" si="14"/>
        <v>1.6511071943073018E-4</v>
      </c>
      <c r="I23" s="42">
        <f t="shared" si="3"/>
        <v>7.0488928056926985E-4</v>
      </c>
      <c r="J23" s="226">
        <f t="shared" si="4"/>
        <v>5880.096558174364</v>
      </c>
      <c r="K23" s="37">
        <f t="shared" si="15"/>
        <v>4.1448170325693674</v>
      </c>
      <c r="L23" s="29">
        <f t="shared" si="5"/>
        <v>4.6999999999999997E-5</v>
      </c>
      <c r="M23" s="227">
        <f t="shared" si="6"/>
        <v>1.8158506355601317E-6</v>
      </c>
      <c r="N23" s="41">
        <f t="shared" si="16"/>
        <v>3.6448072891235336E-4</v>
      </c>
      <c r="O23" s="41">
        <f t="shared" si="17"/>
        <v>-3.1748072891235336E-4</v>
      </c>
      <c r="P23" s="226">
        <f t="shared" si="7"/>
        <v>20078.344682125444</v>
      </c>
      <c r="Q23" s="37">
        <f t="shared" si="18"/>
        <v>0</v>
      </c>
      <c r="R23" s="29">
        <f t="shared" si="8"/>
        <v>6.9999999999999999E-6</v>
      </c>
      <c r="S23" s="225">
        <f t="shared" si="9"/>
        <v>4.7287649097667131E-8</v>
      </c>
      <c r="T23" s="42">
        <f t="shared" si="19"/>
        <v>9.4916599824592536E-6</v>
      </c>
      <c r="U23" s="42">
        <f t="shared" si="20"/>
        <v>-2.4916599824592537E-6</v>
      </c>
      <c r="V23" s="226">
        <f t="shared" si="10"/>
        <v>342.59655428318558</v>
      </c>
      <c r="W23" s="37">
        <f t="shared" si="21"/>
        <v>0</v>
      </c>
      <c r="X23" s="29">
        <f t="shared" si="11"/>
        <v>3.9999999999999998E-6</v>
      </c>
      <c r="Y23" s="225">
        <f t="shared" si="12"/>
        <v>2.2624801434782169E-8</v>
      </c>
      <c r="Z23" s="42">
        <f t="shared" si="22"/>
        <v>4.5412898819747597E-6</v>
      </c>
      <c r="AA23" s="42">
        <f t="shared" si="23"/>
        <v>-5.4128988197475984E-7</v>
      </c>
      <c r="AB23" s="226">
        <f t="shared" si="13"/>
        <v>52793.924034524694</v>
      </c>
      <c r="AC23" s="37">
        <f t="shared" si="24"/>
        <v>0</v>
      </c>
      <c r="AD23" s="84">
        <f t="shared" si="26"/>
        <v>4.1448170325693674</v>
      </c>
      <c r="AE23" s="84">
        <f t="shared" si="25"/>
        <v>4.1448170325693674</v>
      </c>
    </row>
    <row r="24" spans="3:31" x14ac:dyDescent="0.2">
      <c r="C24" s="8" t="str">
        <v>Colombia</v>
      </c>
      <c r="D24" s="56" t="str">
        <v>Latin America &amp; Caribbean</v>
      </c>
      <c r="E24" s="218">
        <f t="shared" si="0"/>
        <v>7.9045867296149375E-2</v>
      </c>
      <c r="F24" s="148">
        <f t="shared" si="1"/>
        <v>8.7000000000000001E-4</v>
      </c>
      <c r="G24" s="225">
        <f t="shared" si="2"/>
        <v>1.7435432460978761E-7</v>
      </c>
      <c r="H24" s="42">
        <f t="shared" si="14"/>
        <v>8.2691932833690123E-6</v>
      </c>
      <c r="I24" s="42">
        <f t="shared" si="3"/>
        <v>8.61730806716631E-4</v>
      </c>
      <c r="J24" s="226">
        <f t="shared" si="4"/>
        <v>6963.1317175290869</v>
      </c>
      <c r="K24" s="37">
        <f t="shared" si="15"/>
        <v>6.0003451122205007</v>
      </c>
      <c r="L24" s="29">
        <f t="shared" si="5"/>
        <v>4.6999999999999997E-5</v>
      </c>
      <c r="M24" s="227">
        <f t="shared" si="6"/>
        <v>2.1000737941556154E-7</v>
      </c>
      <c r="N24" s="41">
        <f t="shared" si="16"/>
        <v>9.960129266696742E-6</v>
      </c>
      <c r="O24" s="41">
        <f t="shared" si="17"/>
        <v>3.7039870733303259E-5</v>
      </c>
      <c r="P24" s="226">
        <f t="shared" si="7"/>
        <v>24615.054124576207</v>
      </c>
      <c r="Q24" s="37">
        <f t="shared" si="18"/>
        <v>0.9117384228675659</v>
      </c>
      <c r="R24" s="29">
        <f t="shared" si="8"/>
        <v>6.9999999999999999E-6</v>
      </c>
      <c r="S24" s="225">
        <f t="shared" si="9"/>
        <v>9.9463255486445245E-9</v>
      </c>
      <c r="T24" s="42">
        <f t="shared" si="19"/>
        <v>4.7172955764147312E-7</v>
      </c>
      <c r="U24" s="42">
        <f t="shared" si="20"/>
        <v>6.528270442358527E-6</v>
      </c>
      <c r="V24" s="226">
        <f t="shared" si="10"/>
        <v>421.77358273936306</v>
      </c>
      <c r="W24" s="37">
        <f t="shared" si="21"/>
        <v>2.7534520135650423E-3</v>
      </c>
      <c r="X24" s="29">
        <f t="shared" si="11"/>
        <v>3.9999999999999998E-6</v>
      </c>
      <c r="Y24" s="225">
        <f t="shared" si="12"/>
        <v>6.860068067128271E-9</v>
      </c>
      <c r="Z24" s="42">
        <f t="shared" si="22"/>
        <v>3.2535601804606393E-7</v>
      </c>
      <c r="AA24" s="42">
        <f t="shared" si="23"/>
        <v>3.6746439819539358E-6</v>
      </c>
      <c r="AB24" s="226">
        <f t="shared" si="13"/>
        <v>82803.90734603809</v>
      </c>
      <c r="AC24" s="37">
        <f t="shared" si="24"/>
        <v>0.30427487981139018</v>
      </c>
      <c r="AD24" s="84">
        <f t="shared" si="26"/>
        <v>7.2191118669130221</v>
      </c>
      <c r="AE24" s="84">
        <f t="shared" si="25"/>
        <v>7.2191118669130221</v>
      </c>
    </row>
    <row r="25" spans="3:31" x14ac:dyDescent="0.2">
      <c r="C25" s="8" t="str">
        <v>Costa Rica</v>
      </c>
      <c r="D25" s="56" t="str">
        <v>Latin America &amp; Caribbean</v>
      </c>
      <c r="E25" s="218">
        <f t="shared" si="0"/>
        <v>1.4887600000000002E-4</v>
      </c>
      <c r="F25" s="148">
        <f t="shared" si="1"/>
        <v>8.7000000000000001E-4</v>
      </c>
      <c r="G25" s="225">
        <f t="shared" si="2"/>
        <v>1.1573696872493986E-8</v>
      </c>
      <c r="H25" s="42">
        <f t="shared" si="14"/>
        <v>1.0338274173536489E-9</v>
      </c>
      <c r="I25" s="42">
        <f t="shared" si="3"/>
        <v>8.6999896617258267E-4</v>
      </c>
      <c r="J25" s="226">
        <f t="shared" si="4"/>
        <v>3340.4949190096227</v>
      </c>
      <c r="K25" s="37">
        <f t="shared" si="15"/>
        <v>2.9062271260431372</v>
      </c>
      <c r="L25" s="29">
        <f t="shared" si="5"/>
        <v>4.6999999999999997E-5</v>
      </c>
      <c r="M25" s="227">
        <f t="shared" si="6"/>
        <v>6.0336808340016032E-10</v>
      </c>
      <c r="N25" s="41">
        <f t="shared" si="16"/>
        <v>5.3896216070569365E-11</v>
      </c>
      <c r="O25" s="41">
        <f t="shared" si="17"/>
        <v>4.6999946103783928E-5</v>
      </c>
      <c r="P25" s="226">
        <f t="shared" si="7"/>
        <v>10761.524322195386</v>
      </c>
      <c r="Q25" s="37">
        <f t="shared" si="18"/>
        <v>0.50579106313774302</v>
      </c>
      <c r="R25" s="29">
        <f t="shared" si="8"/>
        <v>6.9999999999999999E-6</v>
      </c>
      <c r="S25" s="225">
        <f t="shared" si="9"/>
        <v>2.0843624699278265E-9</v>
      </c>
      <c r="T25" s="42">
        <f t="shared" si="19"/>
        <v>1.8618692824378506E-10</v>
      </c>
      <c r="U25" s="42">
        <f t="shared" si="20"/>
        <v>6.9998138130717559E-6</v>
      </c>
      <c r="V25" s="226">
        <f t="shared" si="10"/>
        <v>233.94859566096935</v>
      </c>
      <c r="W25" s="37">
        <f t="shared" si="21"/>
        <v>1.6375966114563923E-3</v>
      </c>
      <c r="X25" s="29">
        <f t="shared" si="11"/>
        <v>3.9999999999999998E-6</v>
      </c>
      <c r="Y25" s="225">
        <f t="shared" si="12"/>
        <v>1.8101042502004814E-9</v>
      </c>
      <c r="Z25" s="42">
        <f t="shared" si="22"/>
        <v>1.6168864821170812E-10</v>
      </c>
      <c r="AA25" s="42">
        <f t="shared" si="23"/>
        <v>3.999838311351788E-6</v>
      </c>
      <c r="AB25" s="226">
        <f t="shared" si="13"/>
        <v>32612.831046858821</v>
      </c>
      <c r="AC25" s="37">
        <f t="shared" si="24"/>
        <v>0.13044605106286894</v>
      </c>
      <c r="AD25" s="84">
        <f t="shared" si="26"/>
        <v>3.5441018368552055</v>
      </c>
      <c r="AE25" s="84">
        <f t="shared" si="25"/>
        <v>3.5441018368552055</v>
      </c>
    </row>
    <row r="26" spans="3:31" x14ac:dyDescent="0.2">
      <c r="C26" s="8" t="str">
        <v>Czechia</v>
      </c>
      <c r="D26" s="56" t="str">
        <v>Europe &amp; Central Asia</v>
      </c>
      <c r="E26" s="218">
        <f t="shared" si="0"/>
        <v>0.16870000000000002</v>
      </c>
      <c r="F26" s="148">
        <f t="shared" si="1"/>
        <v>8.7000000000000001E-4</v>
      </c>
      <c r="G26" s="225">
        <f t="shared" si="2"/>
        <v>6.4316059230952969E-7</v>
      </c>
      <c r="H26" s="42">
        <f t="shared" si="14"/>
        <v>6.510071515357061E-5</v>
      </c>
      <c r="I26" s="42">
        <f t="shared" si="3"/>
        <v>8.0489928484642941E-4</v>
      </c>
      <c r="J26" s="226">
        <f t="shared" si="4"/>
        <v>4200.3140066886635</v>
      </c>
      <c r="K26" s="37">
        <f t="shared" si="15"/>
        <v>3.3808297401141458</v>
      </c>
      <c r="L26" s="29">
        <f t="shared" si="5"/>
        <v>4.6999999999999997E-5</v>
      </c>
      <c r="M26" s="227">
        <f t="shared" si="6"/>
        <v>1.3179275423931216E-6</v>
      </c>
      <c r="N26" s="41">
        <f t="shared" si="16"/>
        <v>1.3340062584103179E-4</v>
      </c>
      <c r="O26" s="41">
        <f t="shared" si="17"/>
        <v>-8.6400625841031789E-5</v>
      </c>
      <c r="P26" s="226">
        <f t="shared" si="7"/>
        <v>13794.280446847924</v>
      </c>
      <c r="Q26" s="37">
        <f t="shared" si="18"/>
        <v>0</v>
      </c>
      <c r="R26" s="29">
        <f t="shared" si="8"/>
        <v>6.9999999999999999E-6</v>
      </c>
      <c r="S26" s="225">
        <f t="shared" si="9"/>
        <v>4.1279928349653698E-8</v>
      </c>
      <c r="T26" s="42">
        <f t="shared" si="19"/>
        <v>4.178354347551948E-6</v>
      </c>
      <c r="U26" s="42">
        <f t="shared" si="20"/>
        <v>2.8216456524480519E-6</v>
      </c>
      <c r="V26" s="226">
        <f t="shared" si="10"/>
        <v>276.77849373002732</v>
      </c>
      <c r="W26" s="37">
        <f t="shared" si="21"/>
        <v>7.8097083352445201E-4</v>
      </c>
      <c r="X26" s="29">
        <f t="shared" si="11"/>
        <v>3.9999999999999998E-6</v>
      </c>
      <c r="Y26" s="225">
        <f t="shared" si="12"/>
        <v>2.2519861475997137E-8</v>
      </c>
      <c r="Z26" s="42">
        <f t="shared" si="22"/>
        <v>2.2794603786004307E-6</v>
      </c>
      <c r="AA26" s="42">
        <f t="shared" si="23"/>
        <v>1.7205396213995691E-6</v>
      </c>
      <c r="AB26" s="226">
        <f t="shared" si="13"/>
        <v>37053.436393107608</v>
      </c>
      <c r="AC26" s="37">
        <f t="shared" si="24"/>
        <v>6.375190542335038E-2</v>
      </c>
      <c r="AD26" s="84">
        <f t="shared" si="26"/>
        <v>3.4453626163710207</v>
      </c>
      <c r="AE26" s="84">
        <f t="shared" si="25"/>
        <v>3.4453626163710207</v>
      </c>
    </row>
    <row r="27" spans="3:31" x14ac:dyDescent="0.2">
      <c r="C27" s="8" t="str">
        <v>Denmark</v>
      </c>
      <c r="D27" s="56" t="str">
        <v>Europe &amp; Central Asia</v>
      </c>
      <c r="E27" s="218">
        <f t="shared" si="0"/>
        <v>0.4754719</v>
      </c>
      <c r="F27" s="148">
        <f t="shared" si="1"/>
        <v>8.7000000000000001E-4</v>
      </c>
      <c r="G27" s="225">
        <f t="shared" si="2"/>
        <v>3.5504729148753217E-7</v>
      </c>
      <c r="H27" s="42">
        <f t="shared" si="14"/>
        <v>1.0128900616405844E-4</v>
      </c>
      <c r="I27" s="42">
        <f t="shared" si="3"/>
        <v>7.6871099383594153E-4</v>
      </c>
      <c r="J27" s="226">
        <f t="shared" si="4"/>
        <v>4245.9955920668172</v>
      </c>
      <c r="K27" s="37">
        <f t="shared" si="15"/>
        <v>3.2639434914007102</v>
      </c>
      <c r="L27" s="29">
        <f t="shared" si="5"/>
        <v>4.6999999999999997E-5</v>
      </c>
      <c r="M27" s="227">
        <f t="shared" si="6"/>
        <v>4.3464412725709374E-7</v>
      </c>
      <c r="N27" s="41">
        <f t="shared" si="16"/>
        <v>1.2399664140646328E-4</v>
      </c>
      <c r="O27" s="41">
        <f t="shared" si="17"/>
        <v>-7.6996641406463281E-5</v>
      </c>
      <c r="P27" s="226">
        <f t="shared" si="7"/>
        <v>14032.34205889588</v>
      </c>
      <c r="Q27" s="37">
        <f t="shared" si="18"/>
        <v>0</v>
      </c>
      <c r="R27" s="29">
        <f t="shared" si="8"/>
        <v>6.9999999999999999E-6</v>
      </c>
      <c r="S27" s="225">
        <f t="shared" si="9"/>
        <v>3.9654479793637144E-8</v>
      </c>
      <c r="T27" s="42">
        <f t="shared" si="19"/>
        <v>1.1312754510595357E-5</v>
      </c>
      <c r="U27" s="42">
        <f t="shared" si="20"/>
        <v>-4.3127545105953574E-6</v>
      </c>
      <c r="V27" s="226">
        <f t="shared" si="10"/>
        <v>280.68257420835903</v>
      </c>
      <c r="W27" s="37">
        <f t="shared" si="21"/>
        <v>0</v>
      </c>
      <c r="X27" s="29">
        <f t="shared" si="11"/>
        <v>3.9999999999999998E-6</v>
      </c>
      <c r="Y27" s="225">
        <f t="shared" si="12"/>
        <v>3.0344419604471201E-8</v>
      </c>
      <c r="Z27" s="42">
        <f t="shared" si="22"/>
        <v>8.656751306241102E-6</v>
      </c>
      <c r="AA27" s="42">
        <f t="shared" si="23"/>
        <v>-4.6567513062411022E-6</v>
      </c>
      <c r="AB27" s="226">
        <f t="shared" si="13"/>
        <v>38372.429067102799</v>
      </c>
      <c r="AC27" s="37">
        <f t="shared" si="24"/>
        <v>0</v>
      </c>
      <c r="AD27" s="84">
        <f t="shared" si="26"/>
        <v>3.2639434914007102</v>
      </c>
      <c r="AE27" s="84">
        <f t="shared" si="25"/>
        <v>3.2639434914007102</v>
      </c>
    </row>
    <row r="28" spans="3:31" x14ac:dyDescent="0.2">
      <c r="C28" s="8" t="str">
        <v>Dominican Republic</v>
      </c>
      <c r="D28" s="56" t="str">
        <v>Latin America &amp; Caribbean</v>
      </c>
      <c r="E28" s="218">
        <f t="shared" si="0"/>
        <v>7.9045867296149375E-2</v>
      </c>
      <c r="F28" s="148">
        <f t="shared" si="1"/>
        <v>8.7000000000000001E-4</v>
      </c>
      <c r="G28" s="225">
        <f t="shared" si="2"/>
        <v>6.4640222841225634E-7</v>
      </c>
      <c r="H28" s="42">
        <f t="shared" si="14"/>
        <v>3.0657254860206271E-5</v>
      </c>
      <c r="I28" s="42">
        <f t="shared" si="3"/>
        <v>8.393427451397937E-4</v>
      </c>
      <c r="J28" s="226">
        <f t="shared" si="4"/>
        <v>4299.7515631369097</v>
      </c>
      <c r="K28" s="37">
        <f t="shared" si="15"/>
        <v>3.6089652804224528</v>
      </c>
      <c r="L28" s="29">
        <f t="shared" si="5"/>
        <v>4.6999999999999997E-5</v>
      </c>
      <c r="M28" s="227">
        <f t="shared" si="6"/>
        <v>1.1811070194986072E-6</v>
      </c>
      <c r="N28" s="41">
        <f t="shared" si="16"/>
        <v>5.6016977235502447E-5</v>
      </c>
      <c r="O28" s="41">
        <f t="shared" si="17"/>
        <v>-9.0169772355024497E-6</v>
      </c>
      <c r="P28" s="226">
        <f t="shared" si="7"/>
        <v>14424.811481602894</v>
      </c>
      <c r="Q28" s="37">
        <f t="shared" si="18"/>
        <v>0</v>
      </c>
      <c r="R28" s="29">
        <f t="shared" si="8"/>
        <v>6.9999999999999999E-6</v>
      </c>
      <c r="S28" s="225">
        <f t="shared" si="9"/>
        <v>3.5635821727019497E-8</v>
      </c>
      <c r="T28" s="42">
        <f t="shared" si="19"/>
        <v>1.690118661133932E-6</v>
      </c>
      <c r="U28" s="42">
        <f t="shared" si="20"/>
        <v>5.3098813388660679E-6</v>
      </c>
      <c r="V28" s="226">
        <f t="shared" si="10"/>
        <v>279.23984638399656</v>
      </c>
      <c r="W28" s="37">
        <f t="shared" si="21"/>
        <v>1.4827304493822107E-3</v>
      </c>
      <c r="X28" s="29">
        <f t="shared" si="11"/>
        <v>3.9999999999999998E-6</v>
      </c>
      <c r="Y28" s="225">
        <f t="shared" si="12"/>
        <v>2.0746128133704733E-8</v>
      </c>
      <c r="Z28" s="42">
        <f t="shared" si="22"/>
        <v>9.8393741481944127E-7</v>
      </c>
      <c r="AA28" s="42">
        <f t="shared" si="23"/>
        <v>3.0160625851805585E-6</v>
      </c>
      <c r="AB28" s="226">
        <f t="shared" si="13"/>
        <v>38630.698923220851</v>
      </c>
      <c r="AC28" s="37">
        <f t="shared" si="24"/>
        <v>0.1165126056617013</v>
      </c>
      <c r="AD28" s="84">
        <f t="shared" si="26"/>
        <v>3.7269606165335363</v>
      </c>
      <c r="AE28" s="84">
        <f t="shared" si="25"/>
        <v>3.7269606165335363</v>
      </c>
    </row>
    <row r="29" spans="3:31" x14ac:dyDescent="0.2">
      <c r="C29" s="8" t="str">
        <v>Ecuador</v>
      </c>
      <c r="D29" s="56" t="str">
        <v>Latin America &amp; Caribbean</v>
      </c>
      <c r="E29" s="218">
        <f t="shared" si="0"/>
        <v>7.9045867296149375E-2</v>
      </c>
      <c r="F29" s="148">
        <f t="shared" si="1"/>
        <v>8.7000000000000001E-4</v>
      </c>
      <c r="G29" s="225">
        <f t="shared" si="2"/>
        <v>1.4133941807044413E-7</v>
      </c>
      <c r="H29" s="42">
        <f t="shared" si="14"/>
        <v>6.7033781307067822E-6</v>
      </c>
      <c r="I29" s="42">
        <f t="shared" si="3"/>
        <v>8.632966218692932E-4</v>
      </c>
      <c r="J29" s="226">
        <f t="shared" si="4"/>
        <v>3265.2341992341312</v>
      </c>
      <c r="K29" s="37">
        <f t="shared" si="15"/>
        <v>2.8188656538109123</v>
      </c>
      <c r="L29" s="29">
        <f t="shared" si="5"/>
        <v>4.6999999999999997E-5</v>
      </c>
      <c r="M29" s="227">
        <f t="shared" si="6"/>
        <v>2.7114979479326185E-7</v>
      </c>
      <c r="N29" s="41">
        <f t="shared" si="16"/>
        <v>1.2859962417963786E-5</v>
      </c>
      <c r="O29" s="41">
        <f t="shared" si="17"/>
        <v>3.4140037582036213E-5</v>
      </c>
      <c r="P29" s="226">
        <f t="shared" si="7"/>
        <v>10614.820474950882</v>
      </c>
      <c r="Q29" s="37">
        <f t="shared" si="18"/>
        <v>0.36239036994139062</v>
      </c>
      <c r="R29" s="29">
        <f t="shared" si="8"/>
        <v>6.9999999999999999E-6</v>
      </c>
      <c r="S29" s="225">
        <f t="shared" si="9"/>
        <v>1.1959277182235834E-8</v>
      </c>
      <c r="T29" s="147">
        <f t="shared" si="19"/>
        <v>5.671988622629285E-7</v>
      </c>
      <c r="U29" s="42">
        <f t="shared" si="20"/>
        <v>6.432801137737071E-6</v>
      </c>
      <c r="V29" s="226">
        <f t="shared" si="10"/>
        <v>250.03812892933064</v>
      </c>
      <c r="W29" s="37">
        <f t="shared" si="21"/>
        <v>1.6084455602542467E-3</v>
      </c>
      <c r="X29" s="29">
        <f t="shared" si="11"/>
        <v>3.9999999999999998E-6</v>
      </c>
      <c r="Y29" s="225">
        <f t="shared" si="12"/>
        <v>8.9326309341500766E-9</v>
      </c>
      <c r="Z29" s="42">
        <f t="shared" si="22"/>
        <v>4.2365253565578349E-7</v>
      </c>
      <c r="AA29" s="42">
        <f t="shared" si="23"/>
        <v>3.5763474643442162E-6</v>
      </c>
      <c r="AB29" s="226">
        <f t="shared" si="13"/>
        <v>31685.03048382813</v>
      </c>
      <c r="AC29" s="37">
        <f t="shared" si="24"/>
        <v>0.11331667842850793</v>
      </c>
      <c r="AD29" s="84">
        <f t="shared" si="26"/>
        <v>3.2961811477410645</v>
      </c>
      <c r="AE29" s="84">
        <f t="shared" si="25"/>
        <v>3.2961811477410645</v>
      </c>
    </row>
    <row r="30" spans="3:31" x14ac:dyDescent="0.2">
      <c r="C30" s="8" t="str">
        <v>Egypt, Arab Rep.</v>
      </c>
      <c r="D30" s="56" t="str">
        <v>Middle East &amp; North Africa</v>
      </c>
      <c r="E30" s="218">
        <f t="shared" si="0"/>
        <v>3.2761375746401408E-2</v>
      </c>
      <c r="F30" s="148">
        <f t="shared" si="1"/>
        <v>8.7000000000000001E-4</v>
      </c>
      <c r="G30" s="225">
        <f t="shared" si="2"/>
        <v>3.2188785660941001E-7</v>
      </c>
      <c r="H30" s="42">
        <f t="shared" si="14"/>
        <v>6.327293411150795E-6</v>
      </c>
      <c r="I30" s="42">
        <f t="shared" si="3"/>
        <v>8.6367270658884918E-4</v>
      </c>
      <c r="J30" s="226">
        <f t="shared" si="4"/>
        <v>4046.9481664334639</v>
      </c>
      <c r="K30" s="37">
        <f t="shared" si="15"/>
        <v>3.4952386763283703</v>
      </c>
      <c r="L30" s="29">
        <f t="shared" si="5"/>
        <v>4.6999999999999997E-5</v>
      </c>
      <c r="M30" s="227">
        <f t="shared" si="6"/>
        <v>1.5376735474234506E-7</v>
      </c>
      <c r="N30" s="41">
        <f t="shared" si="16"/>
        <v>3.0225780517464992E-6</v>
      </c>
      <c r="O30" s="41">
        <f t="shared" si="17"/>
        <v>4.3977421948253501E-5</v>
      </c>
      <c r="P30" s="226">
        <f t="shared" si="7"/>
        <v>13214.646650594066</v>
      </c>
      <c r="Q30" s="37">
        <f t="shared" si="18"/>
        <v>0.58114609165025011</v>
      </c>
      <c r="R30" s="29">
        <f t="shared" si="8"/>
        <v>6.9999999999999999E-6</v>
      </c>
      <c r="S30" s="225">
        <f t="shared" si="9"/>
        <v>8.2446183719193419E-9</v>
      </c>
      <c r="T30" s="42">
        <f t="shared" si="19"/>
        <v>1.6206302422088027E-7</v>
      </c>
      <c r="U30" s="42">
        <f t="shared" si="20"/>
        <v>6.8379369757791197E-6</v>
      </c>
      <c r="V30" s="226">
        <f t="shared" si="10"/>
        <v>285.83877872973517</v>
      </c>
      <c r="W30" s="37">
        <f t="shared" si="21"/>
        <v>1.9545475541876021E-3</v>
      </c>
      <c r="X30" s="29">
        <f t="shared" si="11"/>
        <v>3.9999999999999998E-6</v>
      </c>
      <c r="Y30" s="225">
        <f t="shared" si="12"/>
        <v>6.6682180731889461E-9</v>
      </c>
      <c r="Z30" s="42">
        <f t="shared" si="22"/>
        <v>1.3107599871281271E-7</v>
      </c>
      <c r="AA30" s="42">
        <f t="shared" si="23"/>
        <v>3.868924001287187E-6</v>
      </c>
      <c r="AB30" s="226">
        <f t="shared" si="13"/>
        <v>33595.665777843737</v>
      </c>
      <c r="AC30" s="37">
        <f t="shared" si="24"/>
        <v>0.12997907766712222</v>
      </c>
      <c r="AD30" s="84">
        <f t="shared" si="26"/>
        <v>4.2083183931999297</v>
      </c>
      <c r="AE30" s="84">
        <f t="shared" si="25"/>
        <v>4.2083183931999297</v>
      </c>
    </row>
    <row r="31" spans="3:31" x14ac:dyDescent="0.2">
      <c r="C31" s="8" t="str">
        <v>Estonia</v>
      </c>
      <c r="D31" s="56" t="str">
        <v>Europe &amp; Central Asia</v>
      </c>
      <c r="E31" s="218">
        <f t="shared" si="0"/>
        <v>0.4837457</v>
      </c>
      <c r="F31" s="148">
        <f t="shared" si="1"/>
        <v>8.7000000000000001E-4</v>
      </c>
      <c r="G31" s="225">
        <f t="shared" si="2"/>
        <v>6.5969393258426969E-7</v>
      </c>
      <c r="H31" s="42">
        <f t="shared" si="14"/>
        <v>1.9147446192223822E-4</v>
      </c>
      <c r="I31" s="42">
        <f t="shared" si="3"/>
        <v>6.7852553807776174E-4</v>
      </c>
      <c r="J31" s="226">
        <f t="shared" si="4"/>
        <v>3804.0931574916758</v>
      </c>
      <c r="K31" s="37">
        <f t="shared" si="15"/>
        <v>2.5811743565849707</v>
      </c>
      <c r="L31" s="29">
        <f t="shared" si="5"/>
        <v>4.6999999999999997E-5</v>
      </c>
      <c r="M31" s="227">
        <f t="shared" si="6"/>
        <v>1.1879951460674156E-6</v>
      </c>
      <c r="N31" s="41">
        <f t="shared" si="16"/>
        <v>3.4481252611859048E-4</v>
      </c>
      <c r="O31" s="41">
        <f t="shared" si="17"/>
        <v>-2.9781252611859048E-4</v>
      </c>
      <c r="P31" s="226">
        <f t="shared" si="7"/>
        <v>13004.032202798617</v>
      </c>
      <c r="Q31" s="37">
        <f t="shared" si="18"/>
        <v>0</v>
      </c>
      <c r="R31" s="29">
        <f t="shared" si="8"/>
        <v>6.9999999999999999E-6</v>
      </c>
      <c r="S31" s="225">
        <f t="shared" si="9"/>
        <v>6.7984988764044953E-8</v>
      </c>
      <c r="T31" s="42">
        <f t="shared" si="19"/>
        <v>1.9732467587493034E-5</v>
      </c>
      <c r="U31" s="42">
        <f t="shared" si="20"/>
        <v>-1.2732467587493033E-5</v>
      </c>
      <c r="V31" s="226">
        <f t="shared" si="10"/>
        <v>252.70096110340489</v>
      </c>
      <c r="W31" s="37">
        <f t="shared" si="21"/>
        <v>0</v>
      </c>
      <c r="X31" s="29">
        <f t="shared" si="11"/>
        <v>3.9999999999999998E-6</v>
      </c>
      <c r="Y31" s="225">
        <f t="shared" si="12"/>
        <v>5.2634426966292126E-8</v>
      </c>
      <c r="Z31" s="42">
        <f t="shared" si="22"/>
        <v>1.5277006630144716E-5</v>
      </c>
      <c r="AA31" s="42">
        <f t="shared" si="23"/>
        <v>-1.1277006630144717E-5</v>
      </c>
      <c r="AB31" s="226">
        <f t="shared" si="13"/>
        <v>33216.52292775402</v>
      </c>
      <c r="AC31" s="37">
        <f t="shared" si="24"/>
        <v>0</v>
      </c>
      <c r="AD31" s="84">
        <f t="shared" si="26"/>
        <v>2.5811743565849707</v>
      </c>
      <c r="AE31" s="84">
        <f t="shared" si="25"/>
        <v>2.5811743565849707</v>
      </c>
    </row>
    <row r="32" spans="3:31" x14ac:dyDescent="0.2">
      <c r="C32" s="8" t="str">
        <v>Finland</v>
      </c>
      <c r="D32" s="56" t="str">
        <v>Europe &amp; Central Asia</v>
      </c>
      <c r="E32" s="218">
        <f t="shared" si="0"/>
        <v>0.55564290000000005</v>
      </c>
      <c r="F32" s="148">
        <f t="shared" si="1"/>
        <v>8.7000000000000001E-4</v>
      </c>
      <c r="G32" s="225">
        <f t="shared" si="2"/>
        <v>2.4177403645471E-7</v>
      </c>
      <c r="H32" s="42">
        <f t="shared" si="14"/>
        <v>8.0604016056240474E-5</v>
      </c>
      <c r="I32" s="42">
        <f t="shared" si="3"/>
        <v>7.893959839437595E-4</v>
      </c>
      <c r="J32" s="226">
        <f t="shared" si="4"/>
        <v>3880.5313383670441</v>
      </c>
      <c r="K32" s="37">
        <f t="shared" si="15"/>
        <v>3.0632758540748468</v>
      </c>
      <c r="L32" s="29">
        <f t="shared" si="5"/>
        <v>4.6999999999999997E-5</v>
      </c>
      <c r="M32" s="227">
        <f t="shared" si="6"/>
        <v>2.3992810352024489E-7</v>
      </c>
      <c r="N32" s="41">
        <f t="shared" si="16"/>
        <v>7.9988608338893454E-5</v>
      </c>
      <c r="O32" s="41">
        <f t="shared" si="17"/>
        <v>-3.2988608338893457E-5</v>
      </c>
      <c r="P32" s="226">
        <f t="shared" si="7"/>
        <v>13350.848953123648</v>
      </c>
      <c r="Q32" s="37">
        <f t="shared" si="18"/>
        <v>0</v>
      </c>
      <c r="R32" s="29">
        <f t="shared" si="8"/>
        <v>6.9999999999999999E-6</v>
      </c>
      <c r="S32" s="225">
        <f t="shared" si="9"/>
        <v>3.1176490886322536E-8</v>
      </c>
      <c r="T32" s="42">
        <f t="shared" si="19"/>
        <v>1.0393797484739897E-5</v>
      </c>
      <c r="U32" s="42">
        <f t="shared" si="20"/>
        <v>-3.393797484739897E-6</v>
      </c>
      <c r="V32" s="226">
        <f t="shared" si="10"/>
        <v>268.21533746363599</v>
      </c>
      <c r="W32" s="37">
        <f t="shared" si="21"/>
        <v>0</v>
      </c>
      <c r="X32" s="29">
        <f t="shared" si="11"/>
        <v>3.9999999999999998E-6</v>
      </c>
      <c r="Y32" s="225">
        <f t="shared" si="12"/>
        <v>2.5141093641296794E-8</v>
      </c>
      <c r="Z32" s="42">
        <f t="shared" si="22"/>
        <v>8.381682108013027E-6</v>
      </c>
      <c r="AA32" s="42">
        <f t="shared" si="23"/>
        <v>-4.3816821080130272E-6</v>
      </c>
      <c r="AB32" s="226">
        <f t="shared" si="13"/>
        <v>34905.234235508055</v>
      </c>
      <c r="AC32" s="37">
        <f t="shared" si="24"/>
        <v>0</v>
      </c>
      <c r="AD32" s="84">
        <f t="shared" si="26"/>
        <v>3.0632758540748468</v>
      </c>
      <c r="AE32" s="84">
        <f t="shared" si="25"/>
        <v>3.0632758540748468</v>
      </c>
    </row>
    <row r="33" spans="3:31" x14ac:dyDescent="0.2">
      <c r="C33" s="8" t="str">
        <v>France</v>
      </c>
      <c r="D33" s="56" t="str">
        <v>Europe &amp; Central Asia</v>
      </c>
      <c r="E33" s="218">
        <f t="shared" si="0"/>
        <v>0.31485790000000002</v>
      </c>
      <c r="F33" s="148">
        <f t="shared" si="1"/>
        <v>8.7000000000000001E-4</v>
      </c>
      <c r="G33" s="225">
        <f t="shared" si="2"/>
        <v>7.6241534036433368E-8</v>
      </c>
      <c r="H33" s="42">
        <f t="shared" si="14"/>
        <v>1.440314957969396E-5</v>
      </c>
      <c r="I33" s="42">
        <f t="shared" si="3"/>
        <v>8.5559685042030603E-4</v>
      </c>
      <c r="J33" s="226">
        <f t="shared" si="4"/>
        <v>1048.8489564218139</v>
      </c>
      <c r="K33" s="37">
        <f t="shared" si="15"/>
        <v>0.89739186368112878</v>
      </c>
      <c r="L33" s="29">
        <f t="shared" si="5"/>
        <v>4.6999999999999997E-5</v>
      </c>
      <c r="M33" s="227">
        <f t="shared" si="6"/>
        <v>6.7038558005752631E-8</v>
      </c>
      <c r="N33" s="41">
        <f t="shared" si="16"/>
        <v>1.2664571755631678E-5</v>
      </c>
      <c r="O33" s="41">
        <f t="shared" si="17"/>
        <v>3.4335428244368321E-5</v>
      </c>
      <c r="P33" s="226">
        <f t="shared" si="7"/>
        <v>2369.1320240661048</v>
      </c>
      <c r="Q33" s="37">
        <f t="shared" si="18"/>
        <v>8.1345162613756822E-2</v>
      </c>
      <c r="R33" s="29">
        <f t="shared" si="8"/>
        <v>6.9999999999999999E-6</v>
      </c>
      <c r="S33" s="225">
        <f t="shared" si="9"/>
        <v>5.2732962607861916E-9</v>
      </c>
      <c r="T33" s="42">
        <f t="shared" si="19"/>
        <v>9.9620339204939569E-7</v>
      </c>
      <c r="U33" s="42">
        <f t="shared" si="20"/>
        <v>6.003796607950604E-6</v>
      </c>
      <c r="V33" s="226">
        <f t="shared" si="10"/>
        <v>102.08062877228278</v>
      </c>
      <c r="W33" s="37">
        <f t="shared" si="21"/>
        <v>6.1287133276049621E-4</v>
      </c>
      <c r="X33" s="29">
        <f t="shared" si="11"/>
        <v>3.9999999999999998E-6</v>
      </c>
      <c r="Y33" s="225">
        <f t="shared" si="12"/>
        <v>4.1321265580057526E-9</v>
      </c>
      <c r="Z33" s="42">
        <f t="shared" si="22"/>
        <v>7.8061961435275173E-7</v>
      </c>
      <c r="AA33" s="42">
        <f t="shared" si="23"/>
        <v>3.2193803856472479E-6</v>
      </c>
      <c r="AB33" s="226">
        <f t="shared" si="13"/>
        <v>6810.549781416652</v>
      </c>
      <c r="AC33" s="37">
        <f t="shared" si="24"/>
        <v>2.1925750381766921E-2</v>
      </c>
      <c r="AD33" s="84">
        <f t="shared" si="26"/>
        <v>1.0012756480094129</v>
      </c>
      <c r="AE33" s="84">
        <f t="shared" si="25"/>
        <v>1.0012756480094129</v>
      </c>
    </row>
    <row r="34" spans="3:31" x14ac:dyDescent="0.2">
      <c r="C34" s="8" t="str">
        <v>Germany</v>
      </c>
      <c r="D34" s="56" t="str">
        <v>Europe &amp; Central Asia</v>
      </c>
      <c r="E34" s="218">
        <f t="shared" si="0"/>
        <v>0.31573619999999997</v>
      </c>
      <c r="F34" s="148">
        <f t="shared" si="1"/>
        <v>8.7000000000000001E-4</v>
      </c>
      <c r="G34" s="225">
        <f t="shared" si="2"/>
        <v>5.4993011789169467E-7</v>
      </c>
      <c r="H34" s="42">
        <f t="shared" si="14"/>
        <v>1.041797074132054E-4</v>
      </c>
      <c r="I34" s="42">
        <f t="shared" si="3"/>
        <v>7.6582029258679459E-4</v>
      </c>
      <c r="J34" s="226">
        <f t="shared" si="4"/>
        <v>4045.199015690102</v>
      </c>
      <c r="K34" s="37">
        <f t="shared" si="15"/>
        <v>3.0978954937676075</v>
      </c>
      <c r="L34" s="29">
        <f t="shared" si="5"/>
        <v>4.6999999999999997E-5</v>
      </c>
      <c r="M34" s="227">
        <f t="shared" si="6"/>
        <v>1.0060792429555746E-6</v>
      </c>
      <c r="N34" s="41">
        <f t="shared" si="16"/>
        <v>1.905933822418019E-4</v>
      </c>
      <c r="O34" s="41">
        <f t="shared" si="17"/>
        <v>-1.435933822418019E-4</v>
      </c>
      <c r="P34" s="226">
        <f t="shared" si="7"/>
        <v>13155.087683448655</v>
      </c>
      <c r="Q34" s="37">
        <f t="shared" si="18"/>
        <v>0</v>
      </c>
      <c r="R34" s="29">
        <f t="shared" si="8"/>
        <v>6.9999999999999999E-6</v>
      </c>
      <c r="S34" s="225">
        <f t="shared" si="9"/>
        <v>3.7357224170440718E-8</v>
      </c>
      <c r="T34" s="42">
        <f t="shared" si="19"/>
        <v>7.0770168012738614E-6</v>
      </c>
      <c r="U34" s="42">
        <f t="shared" si="20"/>
        <v>-7.7016801273861554E-8</v>
      </c>
      <c r="V34" s="226">
        <f t="shared" si="10"/>
        <v>297.44828007811861</v>
      </c>
      <c r="W34" s="37">
        <f t="shared" si="21"/>
        <v>0</v>
      </c>
      <c r="X34" s="29">
        <f t="shared" si="11"/>
        <v>3.9999999999999998E-6</v>
      </c>
      <c r="Y34" s="225">
        <f t="shared" si="12"/>
        <v>2.2587054822281354E-8</v>
      </c>
      <c r="Z34" s="42">
        <f t="shared" si="22"/>
        <v>4.2789305152672733E-6</v>
      </c>
      <c r="AA34" s="42">
        <f t="shared" si="23"/>
        <v>-2.7893051526727345E-7</v>
      </c>
      <c r="AB34" s="226">
        <f t="shared" si="13"/>
        <v>34046.94617867779</v>
      </c>
      <c r="AC34" s="37">
        <f t="shared" si="24"/>
        <v>0</v>
      </c>
      <c r="AD34" s="84">
        <f t="shared" si="26"/>
        <v>3.0978954937676075</v>
      </c>
      <c r="AE34" s="84">
        <f t="shared" si="25"/>
        <v>3.0978954937676075</v>
      </c>
    </row>
    <row r="35" spans="3:31" x14ac:dyDescent="0.2">
      <c r="C35" s="8" t="str">
        <v>Greece</v>
      </c>
      <c r="D35" s="56" t="str">
        <v>Europe &amp; Central Asia</v>
      </c>
      <c r="E35" s="218">
        <f t="shared" si="0"/>
        <v>1.318133E-2</v>
      </c>
      <c r="F35" s="148">
        <f t="shared" si="1"/>
        <v>8.7000000000000001E-4</v>
      </c>
      <c r="G35" s="225">
        <f t="shared" si="2"/>
        <v>3.3589164890525108E-7</v>
      </c>
      <c r="H35" s="42">
        <f t="shared" si="14"/>
        <v>2.656499201078552E-6</v>
      </c>
      <c r="I35" s="42">
        <f t="shared" si="3"/>
        <v>8.6734350079892145E-4</v>
      </c>
      <c r="J35" s="226">
        <f t="shared" si="4"/>
        <v>4061.9457557303417</v>
      </c>
      <c r="K35" s="37">
        <f t="shared" si="15"/>
        <v>3.5231022518304753</v>
      </c>
      <c r="L35" s="29">
        <f t="shared" si="5"/>
        <v>4.6999999999999997E-5</v>
      </c>
      <c r="M35" s="227">
        <f t="shared" si="6"/>
        <v>4.747565045533812E-7</v>
      </c>
      <c r="N35" s="41">
        <f t="shared" si="16"/>
        <v>3.754753293698772E-6</v>
      </c>
      <c r="O35" s="41">
        <f t="shared" si="17"/>
        <v>4.3245246706301225E-5</v>
      </c>
      <c r="P35" s="226">
        <f t="shared" si="7"/>
        <v>13333.152437042252</v>
      </c>
      <c r="Q35" s="37">
        <f t="shared" si="18"/>
        <v>0.57659546651261362</v>
      </c>
      <c r="R35" s="29">
        <f t="shared" si="8"/>
        <v>6.9999999999999999E-6</v>
      </c>
      <c r="S35" s="225">
        <f t="shared" si="9"/>
        <v>1.6109389653167994E-8</v>
      </c>
      <c r="T35" s="42">
        <f t="shared" si="19"/>
        <v>1.2740590867019571E-7</v>
      </c>
      <c r="U35" s="42">
        <f t="shared" si="20"/>
        <v>6.872594091329804E-6</v>
      </c>
      <c r="V35" s="226">
        <f t="shared" si="10"/>
        <v>275.54290730447008</v>
      </c>
      <c r="W35" s="37">
        <f t="shared" si="21"/>
        <v>1.893694556648537E-3</v>
      </c>
      <c r="X35" s="29">
        <f t="shared" si="11"/>
        <v>3.9999999999999998E-6</v>
      </c>
      <c r="Y35" s="225">
        <f t="shared" si="12"/>
        <v>1.0001736097655497E-8</v>
      </c>
      <c r="Z35" s="42">
        <f t="shared" si="22"/>
        <v>7.91017104456656E-8</v>
      </c>
      <c r="AA35" s="42">
        <f t="shared" si="23"/>
        <v>3.920898289554334E-6</v>
      </c>
      <c r="AB35" s="226">
        <f t="shared" si="13"/>
        <v>34798.450907319544</v>
      </c>
      <c r="AC35" s="37">
        <f t="shared" si="24"/>
        <v>0.13644118664164967</v>
      </c>
      <c r="AD35" s="84">
        <f t="shared" si="26"/>
        <v>4.2380325995413868</v>
      </c>
      <c r="AE35" s="84">
        <f t="shared" si="25"/>
        <v>4.2380325995413868</v>
      </c>
    </row>
    <row r="36" spans="3:31" x14ac:dyDescent="0.2">
      <c r="C36" s="8" t="str">
        <v>Guatemala</v>
      </c>
      <c r="D36" s="56" t="str">
        <v>Latin America &amp; Caribbean</v>
      </c>
      <c r="E36" s="218">
        <f t="shared" si="0"/>
        <v>7.9045867296149375E-2</v>
      </c>
      <c r="F36" s="148">
        <f t="shared" si="1"/>
        <v>8.7000000000000001E-4</v>
      </c>
      <c r="G36" s="225">
        <f t="shared" si="2"/>
        <v>5.5623009118541049E-7</v>
      </c>
      <c r="H36" s="42">
        <f t="shared" si="14"/>
        <v>2.6380613984380216E-5</v>
      </c>
      <c r="I36" s="42">
        <f t="shared" si="3"/>
        <v>8.4361938601561974E-4</v>
      </c>
      <c r="J36" s="226">
        <f t="shared" si="4"/>
        <v>3985.2769736503874</v>
      </c>
      <c r="K36" s="37">
        <f t="shared" si="15"/>
        <v>3.3620569136131269</v>
      </c>
      <c r="L36" s="29">
        <f t="shared" si="5"/>
        <v>4.6999999999999997E-5</v>
      </c>
      <c r="M36" s="227">
        <f t="shared" si="6"/>
        <v>8.9413030395136789E-7</v>
      </c>
      <c r="N36" s="41">
        <f t="shared" si="16"/>
        <v>4.2406383210963321E-5</v>
      </c>
      <c r="O36" s="41">
        <f t="shared" si="17"/>
        <v>4.5936167890366759E-6</v>
      </c>
      <c r="P36" s="226">
        <f t="shared" si="7"/>
        <v>13112.66478728087</v>
      </c>
      <c r="Q36" s="37">
        <f t="shared" si="18"/>
        <v>6.0234557115863438E-2</v>
      </c>
      <c r="R36" s="29">
        <f t="shared" si="8"/>
        <v>6.9999999999999999E-6</v>
      </c>
      <c r="S36" s="225">
        <f t="shared" si="9"/>
        <v>5.2973890577507606E-8</v>
      </c>
      <c r="T36" s="42">
        <f t="shared" si="19"/>
        <v>2.5124202748502423E-6</v>
      </c>
      <c r="U36" s="42">
        <f t="shared" si="20"/>
        <v>4.487579725149758E-6</v>
      </c>
      <c r="V36" s="226">
        <f t="shared" si="10"/>
        <v>248.13022944193008</v>
      </c>
      <c r="W36" s="37">
        <f t="shared" si="21"/>
        <v>1.113504186840363E-3</v>
      </c>
      <c r="X36" s="29">
        <f t="shared" si="11"/>
        <v>3.9999999999999998E-6</v>
      </c>
      <c r="Y36" s="225">
        <f t="shared" si="12"/>
        <v>3.7468723404255325E-8</v>
      </c>
      <c r="Z36" s="42">
        <f t="shared" si="22"/>
        <v>1.7770486427813355E-6</v>
      </c>
      <c r="AA36" s="42">
        <f t="shared" si="23"/>
        <v>2.2229513572186643E-6</v>
      </c>
      <c r="AB36" s="226">
        <f t="shared" si="13"/>
        <v>33622.519551397483</v>
      </c>
      <c r="AC36" s="37">
        <f t="shared" si="24"/>
        <v>7.4741225469890107E-2</v>
      </c>
      <c r="AD36" s="84">
        <f t="shared" si="26"/>
        <v>3.4981462003857211</v>
      </c>
      <c r="AE36" s="84">
        <f t="shared" si="25"/>
        <v>3.4981462003857211</v>
      </c>
    </row>
    <row r="37" spans="3:31" x14ac:dyDescent="0.2">
      <c r="C37" s="8" t="str">
        <v>Hungary</v>
      </c>
      <c r="D37" s="56" t="str">
        <v>Europe &amp; Central Asia</v>
      </c>
      <c r="E37" s="218">
        <f t="shared" si="0"/>
        <v>0.1358</v>
      </c>
      <c r="F37" s="148">
        <f t="shared" si="1"/>
        <v>8.7000000000000001E-4</v>
      </c>
      <c r="G37" s="225">
        <f t="shared" si="2"/>
        <v>2.4285302013422818E-7</v>
      </c>
      <c r="H37" s="42">
        <f t="shared" si="14"/>
        <v>1.9787664080536914E-5</v>
      </c>
      <c r="I37" s="42">
        <f t="shared" si="3"/>
        <v>8.5021233591946307E-4</v>
      </c>
      <c r="J37" s="226">
        <f t="shared" si="4"/>
        <v>4551.7762600686456</v>
      </c>
      <c r="K37" s="37">
        <f t="shared" si="15"/>
        <v>3.8699763266557206</v>
      </c>
      <c r="L37" s="29">
        <f t="shared" si="5"/>
        <v>4.6999999999999997E-5</v>
      </c>
      <c r="M37" s="227">
        <f t="shared" si="6"/>
        <v>2.714340604026846E-7</v>
      </c>
      <c r="N37" s="41">
        <f t="shared" si="16"/>
        <v>2.2116447241610743E-5</v>
      </c>
      <c r="O37" s="41">
        <f t="shared" si="17"/>
        <v>2.4883552758389254E-5</v>
      </c>
      <c r="P37" s="226">
        <f t="shared" si="7"/>
        <v>14987.806244300957</v>
      </c>
      <c r="Q37" s="37">
        <f t="shared" si="18"/>
        <v>0.37294986741257874</v>
      </c>
      <c r="R37" s="29">
        <f t="shared" si="8"/>
        <v>6.9999999999999999E-6</v>
      </c>
      <c r="S37" s="225">
        <f t="shared" si="9"/>
        <v>1.5823993288590601E-8</v>
      </c>
      <c r="T37" s="42">
        <f t="shared" si="19"/>
        <v>1.2893389731543623E-6</v>
      </c>
      <c r="U37" s="42">
        <f t="shared" si="20"/>
        <v>5.710661026845638E-6</v>
      </c>
      <c r="V37" s="226">
        <f t="shared" si="10"/>
        <v>291.79187790996082</v>
      </c>
      <c r="W37" s="37">
        <f t="shared" si="21"/>
        <v>1.6663245051305139E-3</v>
      </c>
      <c r="X37" s="29">
        <f t="shared" si="11"/>
        <v>3.9999999999999998E-6</v>
      </c>
      <c r="Y37" s="225">
        <f t="shared" si="12"/>
        <v>1.1209228187919462E-8</v>
      </c>
      <c r="Z37" s="42">
        <f t="shared" si="22"/>
        <v>9.1332791275167783E-7</v>
      </c>
      <c r="AA37" s="42">
        <f t="shared" si="23"/>
        <v>3.0866720872483218E-6</v>
      </c>
      <c r="AB37" s="226">
        <f t="shared" si="13"/>
        <v>42297.772736241881</v>
      </c>
      <c r="AC37" s="37">
        <f t="shared" si="24"/>
        <v>0.1305593544577309</v>
      </c>
      <c r="AD37" s="84">
        <f t="shared" si="26"/>
        <v>4.37515187303116</v>
      </c>
      <c r="AE37" s="84">
        <f t="shared" si="25"/>
        <v>4.37515187303116</v>
      </c>
    </row>
    <row r="38" spans="3:31" x14ac:dyDescent="0.2">
      <c r="C38" s="8" t="str">
        <v>India</v>
      </c>
      <c r="D38" s="56" t="str">
        <v>South Asia</v>
      </c>
      <c r="E38" s="218">
        <f t="shared" si="0"/>
        <v>0</v>
      </c>
      <c r="F38" s="148">
        <f t="shared" si="1"/>
        <v>8.7000000000000001E-4</v>
      </c>
      <c r="G38" s="225">
        <f t="shared" si="2"/>
        <v>9.8900582352877856E-7</v>
      </c>
      <c r="H38" s="42">
        <f t="shared" si="14"/>
        <v>0</v>
      </c>
      <c r="I38" s="42">
        <f t="shared" si="3"/>
        <v>8.7000000000000001E-4</v>
      </c>
      <c r="J38" s="226">
        <f t="shared" si="4"/>
        <v>14011.661444339599</v>
      </c>
      <c r="K38" s="37">
        <f t="shared" si="15"/>
        <v>12.190145456575451</v>
      </c>
      <c r="L38" s="29">
        <f t="shared" si="5"/>
        <v>4.6999999999999997E-5</v>
      </c>
      <c r="M38" s="227">
        <f t="shared" si="6"/>
        <v>2.1971814482394858E-6</v>
      </c>
      <c r="N38" s="41">
        <f t="shared" si="16"/>
        <v>0</v>
      </c>
      <c r="O38" s="41">
        <f t="shared" si="17"/>
        <v>4.6999999999999997E-5</v>
      </c>
      <c r="P38" s="226">
        <f t="shared" si="7"/>
        <v>49027.809209929168</v>
      </c>
      <c r="Q38" s="37">
        <f t="shared" si="18"/>
        <v>2.3043070328666708</v>
      </c>
      <c r="R38" s="29">
        <f t="shared" si="8"/>
        <v>6.9999999999999999E-6</v>
      </c>
      <c r="S38" s="225">
        <f t="shared" si="9"/>
        <v>5.6694789825509418E-8</v>
      </c>
      <c r="T38" s="42">
        <f t="shared" si="19"/>
        <v>0</v>
      </c>
      <c r="U38" s="42">
        <f t="shared" si="20"/>
        <v>6.9999999999999999E-6</v>
      </c>
      <c r="V38" s="226">
        <f t="shared" si="10"/>
        <v>594.72677411159384</v>
      </c>
      <c r="W38" s="37">
        <f t="shared" si="21"/>
        <v>4.1630874187811567E-3</v>
      </c>
      <c r="X38" s="29">
        <f t="shared" si="11"/>
        <v>3.9999999999999998E-6</v>
      </c>
      <c r="Y38" s="225">
        <f t="shared" si="12"/>
        <v>2.684876349583957E-8</v>
      </c>
      <c r="Z38" s="42">
        <f t="shared" si="22"/>
        <v>0</v>
      </c>
      <c r="AA38" s="42">
        <f t="shared" si="23"/>
        <v>3.9999999999999998E-6</v>
      </c>
      <c r="AB38" s="226">
        <f t="shared" si="13"/>
        <v>144016.44596233542</v>
      </c>
      <c r="AC38" s="37">
        <f t="shared" si="24"/>
        <v>0.57606578384934171</v>
      </c>
      <c r="AD38" s="84">
        <f t="shared" si="26"/>
        <v>15.074681360710244</v>
      </c>
      <c r="AE38" s="84">
        <f t="shared" si="25"/>
        <v>15.074681360710244</v>
      </c>
    </row>
    <row r="39" spans="3:31" x14ac:dyDescent="0.2">
      <c r="C39" s="8" t="str">
        <v>Indonesia</v>
      </c>
      <c r="D39" s="56" t="str">
        <v>East Asia &amp; Pacific</v>
      </c>
      <c r="E39" s="218">
        <f t="shared" si="0"/>
        <v>0.20247117809547724</v>
      </c>
      <c r="F39" s="148">
        <f t="shared" si="1"/>
        <v>8.7000000000000001E-4</v>
      </c>
      <c r="G39" s="225">
        <f t="shared" si="2"/>
        <v>9.1336492174851606E-7</v>
      </c>
      <c r="H39" s="42">
        <f t="shared" si="14"/>
        <v>1.1095804304250325E-4</v>
      </c>
      <c r="I39" s="42">
        <f t="shared" si="3"/>
        <v>7.5904195695749676E-4</v>
      </c>
      <c r="J39" s="226">
        <f t="shared" si="4"/>
        <v>3920.9143790894022</v>
      </c>
      <c r="K39" s="37">
        <f t="shared" si="15"/>
        <v>2.9761385233668083</v>
      </c>
      <c r="L39" s="29">
        <f t="shared" si="5"/>
        <v>4.6999999999999997E-5</v>
      </c>
      <c r="M39" s="227">
        <f t="shared" si="6"/>
        <v>1.8517148731786296E-6</v>
      </c>
      <c r="N39" s="41">
        <f t="shared" si="16"/>
        <v>2.2495133512163661E-4</v>
      </c>
      <c r="O39" s="41">
        <f t="shared" si="17"/>
        <v>-1.7795133512163661E-4</v>
      </c>
      <c r="P39" s="226">
        <f t="shared" si="7"/>
        <v>13184.090594694992</v>
      </c>
      <c r="Q39" s="37">
        <f t="shared" si="18"/>
        <v>0</v>
      </c>
      <c r="R39" s="29">
        <f t="shared" si="8"/>
        <v>6.9999999999999999E-6</v>
      </c>
      <c r="S39" s="225">
        <f t="shared" si="9"/>
        <v>5.4514614139233686E-8</v>
      </c>
      <c r="T39" s="42">
        <f t="shared" si="19"/>
        <v>6.622582888914603E-6</v>
      </c>
      <c r="U39" s="42">
        <f t="shared" si="20"/>
        <v>3.7741711108539691E-7</v>
      </c>
      <c r="V39" s="226">
        <f t="shared" si="10"/>
        <v>243.44742873208131</v>
      </c>
      <c r="W39" s="37">
        <f t="shared" si="21"/>
        <v>9.1881225253230182E-5</v>
      </c>
      <c r="X39" s="29">
        <f t="shared" si="11"/>
        <v>3.9999999999999998E-6</v>
      </c>
      <c r="Y39" s="225">
        <f t="shared" si="12"/>
        <v>2.8696373448461955E-8</v>
      </c>
      <c r="Z39" s="42">
        <f t="shared" si="22"/>
        <v>3.4861131235067191E-6</v>
      </c>
      <c r="AA39" s="42">
        <f t="shared" si="23"/>
        <v>5.1388687649328076E-7</v>
      </c>
      <c r="AB39" s="226">
        <f t="shared" si="13"/>
        <v>34308.339955420459</v>
      </c>
      <c r="AC39" s="37">
        <f t="shared" si="24"/>
        <v>1.7630605657360642E-2</v>
      </c>
      <c r="AD39" s="84">
        <f t="shared" si="26"/>
        <v>2.9938610102494221</v>
      </c>
      <c r="AE39" s="84">
        <f t="shared" si="25"/>
        <v>2.9938610102494221</v>
      </c>
    </row>
    <row r="40" spans="3:31" x14ac:dyDescent="0.2">
      <c r="C40" s="8" t="str">
        <v>Ireland</v>
      </c>
      <c r="D40" s="56" t="str">
        <v>Europe &amp; Central Asia</v>
      </c>
      <c r="E40" s="218">
        <f t="shared" si="0"/>
        <v>0.46512779999999998</v>
      </c>
      <c r="F40" s="148">
        <f t="shared" si="1"/>
        <v>8.7000000000000001E-4</v>
      </c>
      <c r="G40" s="225">
        <f t="shared" si="2"/>
        <v>3.0983585467540212E-7</v>
      </c>
      <c r="H40" s="42">
        <f t="shared" si="14"/>
        <v>8.646796166777369E-5</v>
      </c>
      <c r="I40" s="42">
        <f t="shared" si="3"/>
        <v>7.8353203833222626E-4</v>
      </c>
      <c r="J40" s="226">
        <f t="shared" si="4"/>
        <v>3854.5105954176902</v>
      </c>
      <c r="K40" s="37">
        <f t="shared" si="15"/>
        <v>3.020132543600786</v>
      </c>
      <c r="L40" s="29">
        <f t="shared" si="5"/>
        <v>4.6999999999999997E-5</v>
      </c>
      <c r="M40" s="227">
        <f t="shared" si="6"/>
        <v>2.953403335318642E-7</v>
      </c>
      <c r="N40" s="41">
        <f t="shared" si="16"/>
        <v>8.2422599752165335E-5</v>
      </c>
      <c r="O40" s="41">
        <f t="shared" si="17"/>
        <v>-3.5422599752165338E-5</v>
      </c>
      <c r="P40" s="226">
        <f t="shared" si="7"/>
        <v>12924.326998957884</v>
      </c>
      <c r="Q40" s="37">
        <f t="shared" si="18"/>
        <v>0</v>
      </c>
      <c r="R40" s="29">
        <f t="shared" si="8"/>
        <v>6.9999999999999999E-6</v>
      </c>
      <c r="S40" s="225">
        <f t="shared" si="9"/>
        <v>1.3955842763549733E-8</v>
      </c>
      <c r="T40" s="42">
        <f t="shared" si="19"/>
        <v>3.8947502650534849E-6</v>
      </c>
      <c r="U40" s="42">
        <f t="shared" si="20"/>
        <v>3.105249734946515E-6</v>
      </c>
      <c r="V40" s="226">
        <f t="shared" si="10"/>
        <v>310.51624410378042</v>
      </c>
      <c r="W40" s="37">
        <f t="shared" si="21"/>
        <v>9.6423048469985149E-4</v>
      </c>
      <c r="X40" s="29">
        <f t="shared" si="11"/>
        <v>3.9999999999999998E-6</v>
      </c>
      <c r="Y40" s="225">
        <f t="shared" si="12"/>
        <v>9.7404764740917201E-9</v>
      </c>
      <c r="Z40" s="42">
        <f t="shared" si="22"/>
        <v>2.7183398360076233E-6</v>
      </c>
      <c r="AA40" s="42">
        <f t="shared" si="23"/>
        <v>1.2816601639923766E-6</v>
      </c>
      <c r="AB40" s="226">
        <f t="shared" si="13"/>
        <v>32786.114228342609</v>
      </c>
      <c r="AC40" s="37">
        <f t="shared" si="24"/>
        <v>4.2020656538570379E-2</v>
      </c>
      <c r="AD40" s="84">
        <f t="shared" si="26"/>
        <v>3.0631174306240565</v>
      </c>
      <c r="AE40" s="84">
        <f t="shared" si="25"/>
        <v>3.0631174306240565</v>
      </c>
    </row>
    <row r="41" spans="3:31" x14ac:dyDescent="0.2">
      <c r="C41" s="8" t="str">
        <v>Israel</v>
      </c>
      <c r="D41" s="56" t="str">
        <v>Middle East &amp; North Africa</v>
      </c>
      <c r="E41" s="218">
        <f t="shared" si="0"/>
        <v>1.628226E-2</v>
      </c>
      <c r="F41" s="148">
        <f t="shared" si="1"/>
        <v>8.7000000000000001E-4</v>
      </c>
      <c r="G41" s="225">
        <f t="shared" si="2"/>
        <v>5.0558872348834143E-7</v>
      </c>
      <c r="H41" s="42">
        <f t="shared" si="14"/>
        <v>4.939276229343169E-6</v>
      </c>
      <c r="I41" s="42">
        <f t="shared" si="3"/>
        <v>8.6506072377065687E-4</v>
      </c>
      <c r="J41" s="226">
        <f t="shared" si="4"/>
        <v>3333.7624018629049</v>
      </c>
      <c r="K41" s="37">
        <f t="shared" si="15"/>
        <v>2.883906916234928</v>
      </c>
      <c r="L41" s="29">
        <f t="shared" si="5"/>
        <v>4.6999999999999997E-5</v>
      </c>
      <c r="M41" s="227">
        <f t="shared" si="6"/>
        <v>6.5907790804900539E-7</v>
      </c>
      <c r="N41" s="41">
        <f t="shared" si="16"/>
        <v>6.4387667154659991E-6</v>
      </c>
      <c r="O41" s="41">
        <f t="shared" si="17"/>
        <v>4.0561233284533997E-5</v>
      </c>
      <c r="P41" s="226">
        <f t="shared" si="7"/>
        <v>9543.4188601886235</v>
      </c>
      <c r="Q41" s="37">
        <f t="shared" si="18"/>
        <v>0.38709283872013228</v>
      </c>
      <c r="R41" s="29">
        <f t="shared" si="8"/>
        <v>6.9999999999999999E-6</v>
      </c>
      <c r="S41" s="225">
        <f t="shared" si="9"/>
        <v>1.8340508496904229E-8</v>
      </c>
      <c r="T41" s="42">
        <f t="shared" si="19"/>
        <v>1.7917495672728233E-7</v>
      </c>
      <c r="U41" s="42">
        <f t="shared" si="20"/>
        <v>6.8208250432727178E-6</v>
      </c>
      <c r="V41" s="226">
        <f t="shared" si="10"/>
        <v>384.21639028872573</v>
      </c>
      <c r="W41" s="37">
        <f t="shared" si="21"/>
        <v>2.6206727769171852E-3</v>
      </c>
      <c r="X41" s="29">
        <f t="shared" si="11"/>
        <v>3.9999999999999998E-6</v>
      </c>
      <c r="Y41" s="225">
        <f t="shared" si="12"/>
        <v>9.5318666842313247E-9</v>
      </c>
      <c r="Z41" s="42">
        <f t="shared" si="22"/>
        <v>9.3120198982795394E-8</v>
      </c>
      <c r="AA41" s="42">
        <f t="shared" si="23"/>
        <v>3.9068798010172046E-6</v>
      </c>
      <c r="AB41" s="226">
        <f t="shared" si="13"/>
        <v>25421.896793141455</v>
      </c>
      <c r="AC41" s="37">
        <f t="shared" si="24"/>
        <v>9.93202950846684E-2</v>
      </c>
      <c r="AD41" s="84">
        <f t="shared" si="26"/>
        <v>3.3729407228166459</v>
      </c>
      <c r="AE41" s="84">
        <f t="shared" si="25"/>
        <v>3.3729407228166459</v>
      </c>
    </row>
    <row r="42" spans="3:31" x14ac:dyDescent="0.2">
      <c r="C42" s="8" t="str">
        <v>Italy</v>
      </c>
      <c r="D42" s="56" t="str">
        <v>Europe &amp; Central Asia</v>
      </c>
      <c r="E42" s="218">
        <f t="shared" si="0"/>
        <v>0.20488629999999999</v>
      </c>
      <c r="F42" s="148">
        <f t="shared" si="1"/>
        <v>8.7000000000000001E-4</v>
      </c>
      <c r="G42" s="225">
        <f t="shared" si="2"/>
        <v>3.5756438062580365E-7</v>
      </c>
      <c r="H42" s="42">
        <f t="shared" si="14"/>
        <v>4.3956025774927552E-5</v>
      </c>
      <c r="I42" s="42">
        <f t="shared" si="3"/>
        <v>8.2604397422507241E-4</v>
      </c>
      <c r="J42" s="226">
        <f t="shared" si="4"/>
        <v>5656.1004185951315</v>
      </c>
      <c r="K42" s="37">
        <f t="shared" si="15"/>
        <v>4.6721876683924179</v>
      </c>
      <c r="L42" s="29">
        <f t="shared" si="5"/>
        <v>4.6999999999999997E-5</v>
      </c>
      <c r="M42" s="227">
        <f t="shared" si="6"/>
        <v>3.3892285897985429E-7</v>
      </c>
      <c r="N42" s="41">
        <f t="shared" si="16"/>
        <v>4.1664390337082467E-5</v>
      </c>
      <c r="O42" s="41">
        <f t="shared" si="17"/>
        <v>5.3356096629175305E-6</v>
      </c>
      <c r="P42" s="226">
        <f t="shared" si="7"/>
        <v>18004.328370332292</v>
      </c>
      <c r="Q42" s="37">
        <f t="shared" si="18"/>
        <v>9.6064068427085217E-2</v>
      </c>
      <c r="R42" s="29">
        <f t="shared" si="8"/>
        <v>6.9999999999999999E-6</v>
      </c>
      <c r="S42" s="225">
        <f t="shared" si="9"/>
        <v>1.9674792113159015E-8</v>
      </c>
      <c r="T42" s="42">
        <f t="shared" si="19"/>
        <v>2.418657215600599E-6</v>
      </c>
      <c r="U42" s="42">
        <f t="shared" si="20"/>
        <v>4.5813427843994004E-6</v>
      </c>
      <c r="V42" s="226">
        <f t="shared" si="10"/>
        <v>376.08484996322136</v>
      </c>
      <c r="W42" s="37">
        <f t="shared" si="21"/>
        <v>1.7229736137009354E-3</v>
      </c>
      <c r="X42" s="29">
        <f t="shared" si="11"/>
        <v>3.9999999999999998E-6</v>
      </c>
      <c r="Y42" s="225">
        <f t="shared" si="12"/>
        <v>1.4339472781825974E-8</v>
      </c>
      <c r="Z42" s="42">
        <f t="shared" si="22"/>
        <v>1.7627769133314185E-6</v>
      </c>
      <c r="AA42" s="42">
        <f t="shared" si="23"/>
        <v>2.2372230866685814E-6</v>
      </c>
      <c r="AB42" s="226">
        <f t="shared" si="13"/>
        <v>55001.629150195877</v>
      </c>
      <c r="AC42" s="37">
        <f t="shared" si="24"/>
        <v>0.12305091453920185</v>
      </c>
      <c r="AD42" s="84">
        <f t="shared" si="26"/>
        <v>4.893025624972406</v>
      </c>
      <c r="AE42" s="84">
        <f t="shared" si="25"/>
        <v>4.893025624972406</v>
      </c>
    </row>
    <row r="43" spans="3:31" x14ac:dyDescent="0.2">
      <c r="C43" s="8" t="str">
        <v>Jamaica</v>
      </c>
      <c r="D43" s="56" t="str">
        <v>Latin America &amp; Caribbean</v>
      </c>
      <c r="E43" s="218">
        <f t="shared" si="0"/>
        <v>0</v>
      </c>
      <c r="F43" s="148">
        <f t="shared" si="1"/>
        <v>8.7000000000000001E-4</v>
      </c>
      <c r="G43" s="225">
        <f t="shared" si="2"/>
        <v>4.1453333333333347E-7</v>
      </c>
      <c r="H43" s="42">
        <f t="shared" si="14"/>
        <v>0</v>
      </c>
      <c r="I43" s="42">
        <f t="shared" si="3"/>
        <v>8.7000000000000001E-4</v>
      </c>
      <c r="J43" s="226">
        <f t="shared" si="4"/>
        <v>1556.2495127122827</v>
      </c>
      <c r="K43" s="37">
        <f t="shared" si="15"/>
        <v>1.3539370760596861</v>
      </c>
      <c r="L43" s="29">
        <f t="shared" si="5"/>
        <v>4.6999999999999997E-5</v>
      </c>
      <c r="M43" s="227">
        <f t="shared" si="6"/>
        <v>4.9185411764705896E-7</v>
      </c>
      <c r="N43" s="41">
        <f t="shared" si="16"/>
        <v>0</v>
      </c>
      <c r="O43" s="41">
        <f t="shared" si="17"/>
        <v>4.6999999999999997E-5</v>
      </c>
      <c r="P43" s="226">
        <f t="shared" si="7"/>
        <v>4527.6693731948681</v>
      </c>
      <c r="Q43" s="37">
        <f t="shared" si="18"/>
        <v>0.21280046054015878</v>
      </c>
      <c r="R43" s="29">
        <f t="shared" si="8"/>
        <v>6.9999999999999999E-6</v>
      </c>
      <c r="S43" s="225">
        <f t="shared" si="9"/>
        <v>2.1891764705882354E-8</v>
      </c>
      <c r="T43" s="42">
        <f t="shared" si="19"/>
        <v>0</v>
      </c>
      <c r="U43" s="42">
        <f t="shared" si="20"/>
        <v>6.9999999999999999E-6</v>
      </c>
      <c r="V43" s="226">
        <f t="shared" si="10"/>
        <v>87.072566836894651</v>
      </c>
      <c r="W43" s="37">
        <f t="shared" si="21"/>
        <v>6.0950796785826252E-4</v>
      </c>
      <c r="X43" s="29">
        <f t="shared" si="11"/>
        <v>3.9999999999999998E-6</v>
      </c>
      <c r="Y43" s="225">
        <f t="shared" si="12"/>
        <v>1.6597647058823534E-8</v>
      </c>
      <c r="Z43" s="42">
        <f t="shared" si="22"/>
        <v>0</v>
      </c>
      <c r="AA43" s="42">
        <f t="shared" si="23"/>
        <v>3.9999999999999998E-6</v>
      </c>
      <c r="AB43" s="226">
        <f t="shared" si="13"/>
        <v>14222.500172146702</v>
      </c>
      <c r="AC43" s="37">
        <f t="shared" si="24"/>
        <v>5.6890000688586802E-2</v>
      </c>
      <c r="AD43" s="84">
        <f t="shared" si="26"/>
        <v>1.62423704525629</v>
      </c>
      <c r="AE43" s="84">
        <f t="shared" si="25"/>
        <v>1.62423704525629</v>
      </c>
    </row>
    <row r="44" spans="3:31" x14ac:dyDescent="0.2">
      <c r="C44" s="8" t="str">
        <v>Japan</v>
      </c>
      <c r="D44" s="56" t="str">
        <v>East Asia &amp; Pacific</v>
      </c>
      <c r="E44" s="218">
        <f t="shared" si="0"/>
        <v>0.74850309999999998</v>
      </c>
      <c r="F44" s="148">
        <f t="shared" si="1"/>
        <v>8.7000000000000001E-4</v>
      </c>
      <c r="G44" s="225">
        <f t="shared" si="2"/>
        <v>6.1354334478254561E-7</v>
      </c>
      <c r="H44" s="42">
        <f t="shared" si="14"/>
        <v>2.7554345733246254E-4</v>
      </c>
      <c r="I44" s="42">
        <f t="shared" si="3"/>
        <v>5.9445654266753747E-4</v>
      </c>
      <c r="J44" s="226">
        <f t="shared" si="4"/>
        <v>4716.0652068426198</v>
      </c>
      <c r="K44" s="37">
        <f t="shared" si="15"/>
        <v>2.8034958178543286</v>
      </c>
      <c r="L44" s="29">
        <f t="shared" si="5"/>
        <v>4.6999999999999997E-5</v>
      </c>
      <c r="M44" s="227">
        <f t="shared" si="6"/>
        <v>1.0747076882589134E-6</v>
      </c>
      <c r="N44" s="41">
        <f t="shared" si="16"/>
        <v>4.8265322175337818E-4</v>
      </c>
      <c r="O44" s="41">
        <f>IFERROR(L44-N44,"No value")</f>
        <v>-4.3565322175337818E-4</v>
      </c>
      <c r="P44" s="226">
        <f t="shared" si="7"/>
        <v>15417.212080087433</v>
      </c>
      <c r="Q44" s="37">
        <f t="shared" si="18"/>
        <v>0</v>
      </c>
      <c r="R44" s="29">
        <f t="shared" si="8"/>
        <v>6.9999999999999999E-6</v>
      </c>
      <c r="S44" s="225">
        <f t="shared" si="9"/>
        <v>3.3769974940738232E-8</v>
      </c>
      <c r="T44" s="42">
        <f t="shared" si="19"/>
        <v>1.516615855803893E-5</v>
      </c>
      <c r="U44" s="42">
        <f t="shared" si="20"/>
        <v>-8.166158558038931E-6</v>
      </c>
      <c r="V44" s="226">
        <f t="shared" si="10"/>
        <v>310.53697257932993</v>
      </c>
      <c r="W44" s="37">
        <f t="shared" si="21"/>
        <v>0</v>
      </c>
      <c r="X44" s="29">
        <f t="shared" si="11"/>
        <v>3.9999999999999998E-6</v>
      </c>
      <c r="Y44" s="225">
        <f t="shared" si="12"/>
        <v>1.889755657684679E-8</v>
      </c>
      <c r="Z44" s="42">
        <f t="shared" si="22"/>
        <v>8.486927808117127E-6</v>
      </c>
      <c r="AA44" s="42">
        <f t="shared" si="23"/>
        <v>-4.4869278081171271E-6</v>
      </c>
      <c r="AB44" s="226">
        <f t="shared" si="13"/>
        <v>40895.482155245365</v>
      </c>
      <c r="AC44" s="37">
        <f t="shared" si="24"/>
        <v>0</v>
      </c>
      <c r="AD44" s="84">
        <f t="shared" si="26"/>
        <v>2.8034958178543286</v>
      </c>
      <c r="AE44" s="84">
        <f t="shared" si="25"/>
        <v>2.8034958178543286</v>
      </c>
    </row>
    <row r="45" spans="3:31" x14ac:dyDescent="0.2">
      <c r="C45" s="8" t="str">
        <v>Jordan</v>
      </c>
      <c r="D45" s="56" t="str">
        <v>Middle East &amp; North Africa</v>
      </c>
      <c r="E45" s="218">
        <f t="shared" ref="E45:E74" si="27">IFERROR(INDEX(Input_IncinerationER,MATCH(C45,Input_countries,0)),"No value")</f>
        <v>3.2761375746401408E-2</v>
      </c>
      <c r="F45" s="148">
        <f t="shared" ref="F45:F74" si="28">$I$3/Assump_kgTonne</f>
        <v>8.7000000000000001E-4</v>
      </c>
      <c r="G45" s="225">
        <f t="shared" ref="G45:G74" si="29">INDEX(Input_NOXintensity,MATCH(C45,Input_countries,0))</f>
        <v>2.6706008230452676E-7</v>
      </c>
      <c r="H45" s="42">
        <f t="shared" ref="H45:H74" si="30">IFERROR(E45*G45*$F$3,"No value")</f>
        <v>5.2495534219460926E-6</v>
      </c>
      <c r="I45" s="42">
        <f t="shared" ref="I45:I74" si="31">IFERROR(F45-H45,"No value")</f>
        <v>8.647504465780539E-4</v>
      </c>
      <c r="J45" s="226">
        <f t="shared" ref="J45:J74" si="32">INDEX(Input_NoxImpact,MATCH(C45,Input_countries,0))</f>
        <v>3847.7193848990114</v>
      </c>
      <c r="K45" s="37">
        <f t="shared" si="15"/>
        <v>3.3273170563984551</v>
      </c>
      <c r="L45" s="29">
        <f t="shared" ref="L45:L74" si="33">$O$3/Assump_kgTonne</f>
        <v>4.6999999999999997E-5</v>
      </c>
      <c r="M45" s="227">
        <f t="shared" ref="M45:M74" si="34">INDEX(Input_SOXintensity,MATCH(C45,Input_countries,0))</f>
        <v>7.7427654320987661E-8</v>
      </c>
      <c r="N45" s="41">
        <f t="shared" si="16"/>
        <v>1.5219818858234143E-6</v>
      </c>
      <c r="O45" s="41">
        <f t="shared" si="17"/>
        <v>4.5478018114176582E-5</v>
      </c>
      <c r="P45" s="226">
        <f t="shared" ref="P45:P74" si="35">INDEX(Input_SoxImpact,MATCH(C45,Input_countries,0))</f>
        <v>12000.49652857509</v>
      </c>
      <c r="Q45" s="37">
        <f t="shared" si="18"/>
        <v>0.54575879850565112</v>
      </c>
      <c r="R45" s="29">
        <f t="shared" ref="R45:R74" si="36">$U$3/Assump_kgTonne</f>
        <v>6.9999999999999999E-6</v>
      </c>
      <c r="S45" s="225">
        <f t="shared" ref="S45:S74" si="37">INDEX(Input_PM10intensity,MATCH(C45,Input_countries,0))</f>
        <v>5.201481481481481E-9</v>
      </c>
      <c r="T45" s="42">
        <f t="shared" si="19"/>
        <v>1.0224461355165808E-7</v>
      </c>
      <c r="U45" s="42">
        <f t="shared" si="20"/>
        <v>6.8977553864483422E-6</v>
      </c>
      <c r="V45" s="226">
        <f t="shared" ref="V45:V74" si="38">INDEX(Input_PM10impact,MATCH(C45,Input_countries,0))</f>
        <v>351.88784815715218</v>
      </c>
      <c r="W45" s="37">
        <f t="shared" si="21"/>
        <v>2.4272363000517128E-3</v>
      </c>
      <c r="X45" s="29">
        <f t="shared" ref="X45:X74" si="39">$AA$3/Assump_kgTonne</f>
        <v>3.9999999999999998E-6</v>
      </c>
      <c r="Y45" s="225">
        <f t="shared" ref="Y45:Y74" si="40">INDEX(Input_PM25intensity,MATCH(C45,Input_countries,0))</f>
        <v>4.4113580246913584E-9</v>
      </c>
      <c r="Z45" s="42">
        <f t="shared" si="22"/>
        <v>8.6713294679290021E-8</v>
      </c>
      <c r="AA45" s="42">
        <f t="shared" si="23"/>
        <v>3.9132867053207102E-6</v>
      </c>
      <c r="AB45" s="226">
        <f t="shared" ref="AB45:AB74" si="41">INDEX(Input_PM2.5impact,MATCH(C45,Input_countries,0))</f>
        <v>32497.806457666175</v>
      </c>
      <c r="AC45" s="37">
        <f t="shared" si="24"/>
        <v>0.12717323396287056</v>
      </c>
      <c r="AD45" s="84">
        <f t="shared" si="26"/>
        <v>4.0026763251670285</v>
      </c>
      <c r="AE45" s="84">
        <f t="shared" si="25"/>
        <v>4.0026763251670285</v>
      </c>
    </row>
    <row r="46" spans="3:31" x14ac:dyDescent="0.2">
      <c r="C46" s="8" t="str">
        <v>Korea, Rep.</v>
      </c>
      <c r="D46" s="56" t="str">
        <v>East Asia &amp; Pacific</v>
      </c>
      <c r="E46" s="218">
        <f t="shared" si="27"/>
        <v>0.28475471862836249</v>
      </c>
      <c r="F46" s="148">
        <f t="shared" si="28"/>
        <v>8.7000000000000001E-4</v>
      </c>
      <c r="G46" s="225">
        <f t="shared" si="29"/>
        <v>5.6105764078092519E-7</v>
      </c>
      <c r="H46" s="42">
        <f t="shared" si="30"/>
        <v>9.5858286380919131E-5</v>
      </c>
      <c r="I46" s="42">
        <f t="shared" si="31"/>
        <v>7.7414171361908082E-4</v>
      </c>
      <c r="J46" s="226">
        <f t="shared" si="32"/>
        <v>4236.2289603861391</v>
      </c>
      <c r="K46" s="37">
        <f t="shared" si="15"/>
        <v>3.2794415466761029</v>
      </c>
      <c r="L46" s="29">
        <f t="shared" si="33"/>
        <v>4.6999999999999997E-5</v>
      </c>
      <c r="M46" s="227">
        <f t="shared" si="34"/>
        <v>1.0247460155733609E-6</v>
      </c>
      <c r="N46" s="41">
        <f t="shared" si="16"/>
        <v>1.7508075799807678E-4</v>
      </c>
      <c r="O46" s="41">
        <f t="shared" si="17"/>
        <v>-1.2808075799807677E-4</v>
      </c>
      <c r="P46" s="226">
        <f t="shared" si="35"/>
        <v>13105.269264666393</v>
      </c>
      <c r="Q46" s="37">
        <f t="shared" si="18"/>
        <v>0</v>
      </c>
      <c r="R46" s="29">
        <f t="shared" si="36"/>
        <v>6.9999999999999999E-6</v>
      </c>
      <c r="S46" s="225">
        <f t="shared" si="37"/>
        <v>2.9948414451305035E-8</v>
      </c>
      <c r="T46" s="42">
        <f t="shared" si="19"/>
        <v>5.1167713982681703E-6</v>
      </c>
      <c r="U46" s="42">
        <f t="shared" si="20"/>
        <v>1.8832286017318296E-6</v>
      </c>
      <c r="V46" s="226">
        <f t="shared" si="38"/>
        <v>267.02929306559946</v>
      </c>
      <c r="W46" s="37">
        <f t="shared" si="21"/>
        <v>5.0287720220136784E-4</v>
      </c>
      <c r="X46" s="29">
        <f t="shared" si="39"/>
        <v>3.9999999999999998E-6</v>
      </c>
      <c r="Y46" s="225">
        <f t="shared" si="40"/>
        <v>1.5778590659207789E-8</v>
      </c>
      <c r="Z46" s="42">
        <f t="shared" si="22"/>
        <v>2.6958168861088934E-6</v>
      </c>
      <c r="AA46" s="42">
        <f t="shared" si="23"/>
        <v>1.3041831138911064E-6</v>
      </c>
      <c r="AB46" s="226">
        <f t="shared" si="41"/>
        <v>33609.281742043764</v>
      </c>
      <c r="AC46" s="37">
        <f t="shared" si="24"/>
        <v>4.3832657717982143E-2</v>
      </c>
      <c r="AD46" s="84">
        <f t="shared" si="26"/>
        <v>3.3237770815962864</v>
      </c>
      <c r="AE46" s="84">
        <f t="shared" si="25"/>
        <v>3.3237770815962864</v>
      </c>
    </row>
    <row r="47" spans="3:31" x14ac:dyDescent="0.2">
      <c r="C47" s="8" t="str">
        <v>Latvia</v>
      </c>
      <c r="D47" s="56" t="str">
        <v>Europe &amp; Central Asia</v>
      </c>
      <c r="E47" s="218">
        <f t="shared" si="27"/>
        <v>3.2799999999999996E-2</v>
      </c>
      <c r="F47" s="148">
        <f t="shared" si="28"/>
        <v>8.7000000000000001E-4</v>
      </c>
      <c r="G47" s="225">
        <f t="shared" si="29"/>
        <v>1.9947174348697393E-7</v>
      </c>
      <c r="H47" s="42">
        <f t="shared" si="30"/>
        <v>3.925603911823646E-6</v>
      </c>
      <c r="I47" s="42">
        <f t="shared" si="31"/>
        <v>8.6607439608817635E-4</v>
      </c>
      <c r="J47" s="226">
        <f t="shared" si="32"/>
        <v>3811.8120211432906</v>
      </c>
      <c r="K47" s="37">
        <f t="shared" si="15"/>
        <v>3.3013127942133265</v>
      </c>
      <c r="L47" s="29">
        <f t="shared" si="33"/>
        <v>4.6999999999999997E-5</v>
      </c>
      <c r="M47" s="227">
        <f t="shared" si="34"/>
        <v>6.6105811623246479E-9</v>
      </c>
      <c r="N47" s="41">
        <f t="shared" si="16"/>
        <v>1.3009623727454904E-7</v>
      </c>
      <c r="O47" s="41">
        <f t="shared" si="17"/>
        <v>4.6869903762725445E-5</v>
      </c>
      <c r="P47" s="226">
        <f t="shared" si="35"/>
        <v>13032.339490069206</v>
      </c>
      <c r="Q47" s="37">
        <f>IFERROR(IF(O47*P47&lt;0,0,O47*P47),"No value")</f>
        <v>0.61082449770271008</v>
      </c>
      <c r="R47" s="29">
        <f t="shared" si="36"/>
        <v>6.9999999999999999E-6</v>
      </c>
      <c r="S47" s="225">
        <f t="shared" si="37"/>
        <v>2.2717515030060124E-8</v>
      </c>
      <c r="T47" s="42">
        <f t="shared" si="19"/>
        <v>4.4708069579158314E-7</v>
      </c>
      <c r="U47" s="42">
        <f t="shared" si="20"/>
        <v>6.5529193042084168E-6</v>
      </c>
      <c r="V47" s="226">
        <f t="shared" si="38"/>
        <v>249.75140489317539</v>
      </c>
      <c r="W47" s="37">
        <f t="shared" si="21"/>
        <v>1.6366008023776615E-3</v>
      </c>
      <c r="X47" s="29">
        <f t="shared" si="39"/>
        <v>3.9999999999999998E-6</v>
      </c>
      <c r="Y47" s="225">
        <f t="shared" si="40"/>
        <v>1.9831743486973948E-8</v>
      </c>
      <c r="Z47" s="42">
        <f t="shared" si="22"/>
        <v>3.9028871182364723E-7</v>
      </c>
      <c r="AA47" s="42">
        <f t="shared" si="23"/>
        <v>3.6097112881763525E-6</v>
      </c>
      <c r="AB47" s="226">
        <f t="shared" si="41"/>
        <v>33374.023191148866</v>
      </c>
      <c r="AC47" s="37">
        <f t="shared" si="24"/>
        <v>0.12047058824494944</v>
      </c>
      <c r="AD47" s="84">
        <f t="shared" si="26"/>
        <v>4.0342444809633635</v>
      </c>
      <c r="AE47" s="84">
        <f t="shared" si="25"/>
        <v>4.0342444809633635</v>
      </c>
    </row>
    <row r="48" spans="3:31" x14ac:dyDescent="0.2">
      <c r="C48" s="8" t="str">
        <v>Lithuania</v>
      </c>
      <c r="D48" s="56" t="str">
        <v>Europe &amp; Central Asia</v>
      </c>
      <c r="E48" s="218">
        <f t="shared" si="27"/>
        <v>0.16776469999999999</v>
      </c>
      <c r="F48" s="148">
        <f t="shared" si="28"/>
        <v>8.7000000000000001E-4</v>
      </c>
      <c r="G48" s="225">
        <f t="shared" si="29"/>
        <v>2.66373786407767E-7</v>
      </c>
      <c r="H48" s="42">
        <f t="shared" si="30"/>
        <v>2.6812871018737866E-5</v>
      </c>
      <c r="I48" s="42">
        <f t="shared" si="31"/>
        <v>8.431871289812621E-4</v>
      </c>
      <c r="J48" s="226">
        <f t="shared" si="32"/>
        <v>3838.8674275631761</v>
      </c>
      <c r="K48" s="37">
        <f t="shared" si="15"/>
        <v>3.2368836047866778</v>
      </c>
      <c r="L48" s="29">
        <f t="shared" si="33"/>
        <v>4.6999999999999997E-5</v>
      </c>
      <c r="M48" s="227">
        <f t="shared" si="34"/>
        <v>2.2308902912621362E-7</v>
      </c>
      <c r="N48" s="41">
        <f t="shared" si="16"/>
        <v>2.2455878426790293E-5</v>
      </c>
      <c r="O48" s="41">
        <f t="shared" si="17"/>
        <v>2.4544121573209705E-5</v>
      </c>
      <c r="P48" s="226">
        <f t="shared" si="35"/>
        <v>13003.01201915938</v>
      </c>
      <c r="Q48" s="37">
        <f t="shared" si="18"/>
        <v>0.31914750781615481</v>
      </c>
      <c r="R48" s="29">
        <f t="shared" si="36"/>
        <v>6.9999999999999999E-6</v>
      </c>
      <c r="S48" s="225">
        <f t="shared" si="37"/>
        <v>3.199718446601942E-8</v>
      </c>
      <c r="T48" s="42">
        <f>IFERROR(E48*$F$3*S48,"No value")</f>
        <v>3.2207988316718448E-6</v>
      </c>
      <c r="U48" s="42">
        <f t="shared" si="20"/>
        <v>3.7792011683281551E-6</v>
      </c>
      <c r="V48" s="226">
        <f t="shared" si="38"/>
        <v>271.89997648787784</v>
      </c>
      <c r="W48" s="37">
        <f t="shared" si="21"/>
        <v>1.0275647088113858E-3</v>
      </c>
      <c r="X48" s="29">
        <f t="shared" si="39"/>
        <v>3.9999999999999998E-6</v>
      </c>
      <c r="Y48" s="225">
        <f t="shared" si="40"/>
        <v>2.6667087378640775E-8</v>
      </c>
      <c r="Z48" s="42">
        <f t="shared" si="22"/>
        <v>2.6842775483708735E-6</v>
      </c>
      <c r="AA48" s="42">
        <f t="shared" si="23"/>
        <v>1.3157224516291263E-6</v>
      </c>
      <c r="AB48" s="226">
        <f t="shared" si="41"/>
        <v>33137.251535107665</v>
      </c>
      <c r="AC48" s="37">
        <f t="shared" si="24"/>
        <v>4.3599425830022888E-2</v>
      </c>
      <c r="AD48" s="84">
        <f t="shared" si="26"/>
        <v>3.6006581031416669</v>
      </c>
      <c r="AE48" s="84">
        <f t="shared" si="25"/>
        <v>3.6006581031416669</v>
      </c>
    </row>
    <row r="49" spans="3:31" x14ac:dyDescent="0.2">
      <c r="C49" s="8" t="str">
        <v>Malaysia</v>
      </c>
      <c r="D49" s="56" t="str">
        <v>East Asia &amp; Pacific</v>
      </c>
      <c r="E49" s="218">
        <f t="shared" si="27"/>
        <v>0.20247117809547724</v>
      </c>
      <c r="F49" s="148">
        <f t="shared" si="28"/>
        <v>8.7000000000000001E-4</v>
      </c>
      <c r="G49" s="225">
        <f t="shared" si="29"/>
        <v>6.7997437738141265E-7</v>
      </c>
      <c r="H49" s="42">
        <f t="shared" si="30"/>
        <v>8.2605127957891949E-5</v>
      </c>
      <c r="I49" s="42">
        <f t="shared" si="31"/>
        <v>7.8739487204210808E-4</v>
      </c>
      <c r="J49" s="226">
        <f t="shared" si="32"/>
        <v>6495.3797789405362</v>
      </c>
      <c r="K49" s="37">
        <f t="shared" si="15"/>
        <v>5.1144287299037794</v>
      </c>
      <c r="L49" s="29">
        <f t="shared" si="33"/>
        <v>4.6999999999999997E-5</v>
      </c>
      <c r="M49" s="227">
        <f t="shared" si="34"/>
        <v>1.2628836379700705E-6</v>
      </c>
      <c r="N49" s="41">
        <f t="shared" si="16"/>
        <v>1.5341852278638141E-4</v>
      </c>
      <c r="O49" s="41">
        <f t="shared" si="17"/>
        <v>-1.064185227863814E-4</v>
      </c>
      <c r="P49" s="226">
        <f t="shared" si="35"/>
        <v>22837.844763485144</v>
      </c>
      <c r="Q49" s="37">
        <f t="shared" si="18"/>
        <v>0</v>
      </c>
      <c r="R49" s="29">
        <f t="shared" si="36"/>
        <v>6.9999999999999999E-6</v>
      </c>
      <c r="S49" s="225">
        <f t="shared" si="37"/>
        <v>3.3093500469379871E-8</v>
      </c>
      <c r="T49" s="42">
        <f t="shared" si="19"/>
        <v>4.0202880164031428E-6</v>
      </c>
      <c r="U49" s="42">
        <f t="shared" si="20"/>
        <v>2.9797119835968571E-6</v>
      </c>
      <c r="V49" s="226">
        <f t="shared" si="38"/>
        <v>406.76065651328435</v>
      </c>
      <c r="W49" s="37">
        <f t="shared" si="21"/>
        <v>1.2120296026683582E-3</v>
      </c>
      <c r="X49" s="29">
        <f t="shared" si="39"/>
        <v>3.9999999999999998E-6</v>
      </c>
      <c r="Y49" s="225">
        <f t="shared" si="40"/>
        <v>1.6099607929758684E-8</v>
      </c>
      <c r="Z49" s="42">
        <f t="shared" si="22"/>
        <v>1.9558239506481168E-6</v>
      </c>
      <c r="AA49" s="42">
        <f t="shared" si="23"/>
        <v>2.044176049351883E-6</v>
      </c>
      <c r="AB49" s="226">
        <f t="shared" si="41"/>
        <v>63122.035452703945</v>
      </c>
      <c r="AC49" s="37">
        <f t="shared" si="24"/>
        <v>0.12903255305875785</v>
      </c>
      <c r="AD49" s="84">
        <f t="shared" si="26"/>
        <v>5.2446733125652054</v>
      </c>
      <c r="AE49" s="84">
        <f t="shared" si="25"/>
        <v>5.2446733125652054</v>
      </c>
    </row>
    <row r="50" spans="3:31" x14ac:dyDescent="0.2">
      <c r="C50" s="8" t="str">
        <v>Mauritius</v>
      </c>
      <c r="D50" s="56" t="str">
        <v>Sub-Saharan Africa</v>
      </c>
      <c r="E50" s="218">
        <f t="shared" si="27"/>
        <v>0</v>
      </c>
      <c r="F50" s="148">
        <f t="shared" si="28"/>
        <v>8.7000000000000001E-4</v>
      </c>
      <c r="G50" s="225">
        <f t="shared" si="29"/>
        <v>8.9745641025641047E-7</v>
      </c>
      <c r="H50" s="42">
        <f t="shared" si="30"/>
        <v>0</v>
      </c>
      <c r="I50" s="42">
        <f t="shared" si="31"/>
        <v>8.7000000000000001E-4</v>
      </c>
      <c r="J50" s="226">
        <f t="shared" si="32"/>
        <v>1485.520737971262</v>
      </c>
      <c r="K50" s="37">
        <f t="shared" si="15"/>
        <v>1.2924030420349979</v>
      </c>
      <c r="L50" s="29">
        <f t="shared" si="33"/>
        <v>4.6999999999999997E-5</v>
      </c>
      <c r="M50" s="227">
        <f t="shared" si="34"/>
        <v>1.8585846153846155E-6</v>
      </c>
      <c r="N50" s="41">
        <f t="shared" si="16"/>
        <v>0</v>
      </c>
      <c r="O50" s="41">
        <f t="shared" si="17"/>
        <v>4.6999999999999997E-5</v>
      </c>
      <c r="P50" s="226">
        <f t="shared" si="35"/>
        <v>3851.9146179343375</v>
      </c>
      <c r="Q50" s="37">
        <f t="shared" si="18"/>
        <v>0.18103998704291385</v>
      </c>
      <c r="R50" s="29">
        <f t="shared" si="36"/>
        <v>6.9999999999999999E-6</v>
      </c>
      <c r="S50" s="225">
        <f t="shared" si="37"/>
        <v>6.9333333333333345E-8</v>
      </c>
      <c r="T50" s="42">
        <f t="shared" si="19"/>
        <v>0</v>
      </c>
      <c r="U50" s="42">
        <f t="shared" si="20"/>
        <v>6.9999999999999999E-6</v>
      </c>
      <c r="V50" s="226">
        <f t="shared" si="38"/>
        <v>83.787041175034332</v>
      </c>
      <c r="W50" s="37">
        <f t="shared" si="21"/>
        <v>5.8650928822524036E-4</v>
      </c>
      <c r="X50" s="29">
        <f t="shared" si="39"/>
        <v>3.9999999999999998E-6</v>
      </c>
      <c r="Y50" s="225">
        <f t="shared" si="40"/>
        <v>4.4923076923076927E-8</v>
      </c>
      <c r="Z50" s="42">
        <f t="shared" si="22"/>
        <v>0</v>
      </c>
      <c r="AA50" s="42">
        <f t="shared" si="23"/>
        <v>3.9999999999999998E-6</v>
      </c>
      <c r="AB50" s="226">
        <f t="shared" si="41"/>
        <v>11421.4077897882</v>
      </c>
      <c r="AC50" s="37">
        <f t="shared" si="24"/>
        <v>4.5685631159152799E-2</v>
      </c>
      <c r="AD50" s="84">
        <f t="shared" si="26"/>
        <v>1.5197151695252897</v>
      </c>
      <c r="AE50" s="84">
        <f t="shared" si="25"/>
        <v>1.5197151695252897</v>
      </c>
    </row>
    <row r="51" spans="3:31" x14ac:dyDescent="0.2">
      <c r="C51" s="8" t="str">
        <v>Mexico</v>
      </c>
      <c r="D51" s="56" t="str">
        <v>Latin America &amp; Caribbean</v>
      </c>
      <c r="E51" s="218">
        <f t="shared" si="27"/>
        <v>7.9045867296149375E-2</v>
      </c>
      <c r="F51" s="148">
        <f t="shared" si="28"/>
        <v>8.7000000000000001E-4</v>
      </c>
      <c r="G51" s="225">
        <f t="shared" si="29"/>
        <v>3.5612008570841524E-7</v>
      </c>
      <c r="H51" s="42">
        <f t="shared" si="30"/>
        <v>1.688989262184044E-5</v>
      </c>
      <c r="I51" s="42">
        <f t="shared" si="31"/>
        <v>8.5311010737815956E-4</v>
      </c>
      <c r="J51" s="226">
        <f t="shared" si="32"/>
        <v>4145.7635283578957</v>
      </c>
      <c r="K51" s="37">
        <f t="shared" si="15"/>
        <v>3.5367927688418619</v>
      </c>
      <c r="L51" s="29">
        <f t="shared" si="33"/>
        <v>4.6999999999999997E-5</v>
      </c>
      <c r="M51" s="227">
        <f t="shared" si="34"/>
        <v>3.6635233203205261E-7</v>
      </c>
      <c r="N51" s="41">
        <f t="shared" si="16"/>
        <v>1.7375182692864291E-5</v>
      </c>
      <c r="O51" s="41">
        <f t="shared" si="17"/>
        <v>2.9624817307135706E-5</v>
      </c>
      <c r="P51" s="226">
        <f t="shared" si="35"/>
        <v>13842.951332854016</v>
      </c>
      <c r="Q51" s="37">
        <f t="shared" si="18"/>
        <v>0.41009490422737094</v>
      </c>
      <c r="R51" s="29">
        <f t="shared" si="36"/>
        <v>6.9999999999999999E-6</v>
      </c>
      <c r="S51" s="225">
        <f t="shared" si="37"/>
        <v>1.5616660307023977E-8</v>
      </c>
      <c r="T51" s="42">
        <f t="shared" si="19"/>
        <v>7.4065947494283641E-7</v>
      </c>
      <c r="U51" s="42">
        <f t="shared" si="20"/>
        <v>6.2593405250571636E-6</v>
      </c>
      <c r="V51" s="226">
        <f t="shared" si="38"/>
        <v>277.86486423475782</v>
      </c>
      <c r="W51" s="37">
        <f t="shared" si="21"/>
        <v>1.7392508051941266E-3</v>
      </c>
      <c r="X51" s="29">
        <f t="shared" si="39"/>
        <v>3.9999999999999998E-6</v>
      </c>
      <c r="Y51" s="225">
        <f t="shared" si="40"/>
        <v>1.0915812028530336E-8</v>
      </c>
      <c r="Z51" s="42">
        <f t="shared" si="22"/>
        <v>5.1770989742215205E-7</v>
      </c>
      <c r="AA51" s="42">
        <f t="shared" si="23"/>
        <v>3.482290102577848E-6</v>
      </c>
      <c r="AB51" s="226">
        <f t="shared" si="41"/>
        <v>36715.301450655636</v>
      </c>
      <c r="AC51" s="37">
        <f t="shared" si="24"/>
        <v>0.12785333085478023</v>
      </c>
      <c r="AD51" s="84">
        <f t="shared" si="26"/>
        <v>4.0764802547292067</v>
      </c>
      <c r="AE51" s="84">
        <f t="shared" si="25"/>
        <v>4.0764802547292067</v>
      </c>
    </row>
    <row r="52" spans="3:31" x14ac:dyDescent="0.2">
      <c r="C52" s="8" t="str">
        <v>Netherlands</v>
      </c>
      <c r="D52" s="56" t="str">
        <v>Europe &amp; Central Asia</v>
      </c>
      <c r="E52" s="218">
        <f t="shared" si="27"/>
        <v>0.40620030000000001</v>
      </c>
      <c r="F52" s="148">
        <f t="shared" si="28"/>
        <v>8.7000000000000001E-4</v>
      </c>
      <c r="G52" s="225">
        <f t="shared" si="29"/>
        <v>3.8169457931493189E-7</v>
      </c>
      <c r="H52" s="42">
        <f t="shared" si="30"/>
        <v>9.302667157565949E-5</v>
      </c>
      <c r="I52" s="42">
        <f t="shared" si="31"/>
        <v>7.7697332842434049E-4</v>
      </c>
      <c r="J52" s="226">
        <f t="shared" si="32"/>
        <v>4065.1514930928602</v>
      </c>
      <c r="K52" s="37">
        <f t="shared" si="15"/>
        <v>3.158514286137537</v>
      </c>
      <c r="L52" s="29">
        <f t="shared" si="33"/>
        <v>4.6999999999999997E-5</v>
      </c>
      <c r="M52" s="227">
        <f t="shared" si="34"/>
        <v>4.4178761223811113E-7</v>
      </c>
      <c r="N52" s="41">
        <f t="shared" si="16"/>
        <v>1.0767255637644265E-4</v>
      </c>
      <c r="O52" s="41">
        <f t="shared" si="17"/>
        <v>-6.067255637644265E-5</v>
      </c>
      <c r="P52" s="226">
        <f t="shared" si="35"/>
        <v>12941.922060503761</v>
      </c>
      <c r="Q52" s="37">
        <f t="shared" si="18"/>
        <v>0</v>
      </c>
      <c r="R52" s="29">
        <f t="shared" si="36"/>
        <v>6.9999999999999999E-6</v>
      </c>
      <c r="S52" s="225">
        <f t="shared" si="37"/>
        <v>2.4060109743930833E-8</v>
      </c>
      <c r="T52" s="42">
        <f t="shared" si="19"/>
        <v>5.8639342776105765E-6</v>
      </c>
      <c r="U52" s="42">
        <f t="shared" si="20"/>
        <v>1.1360657223894234E-6</v>
      </c>
      <c r="V52" s="226">
        <f t="shared" si="38"/>
        <v>299.82115888271881</v>
      </c>
      <c r="W52" s="37">
        <f t="shared" si="21"/>
        <v>3.4061654145373002E-4</v>
      </c>
      <c r="X52" s="29">
        <f t="shared" si="39"/>
        <v>3.9999999999999998E-6</v>
      </c>
      <c r="Y52" s="225">
        <f t="shared" si="40"/>
        <v>1.6950199534419689E-8</v>
      </c>
      <c r="Z52" s="42">
        <f t="shared" si="22"/>
        <v>4.1311056815646829E-6</v>
      </c>
      <c r="AA52" s="42">
        <f t="shared" si="23"/>
        <v>-1.3110568156468305E-7</v>
      </c>
      <c r="AB52" s="226">
        <f t="shared" si="41"/>
        <v>32806.132182913097</v>
      </c>
      <c r="AC52" s="37">
        <f t="shared" si="24"/>
        <v>0</v>
      </c>
      <c r="AD52" s="84">
        <f t="shared" si="26"/>
        <v>3.1588549026789909</v>
      </c>
      <c r="AE52" s="84">
        <f t="shared" si="25"/>
        <v>3.1588549026789909</v>
      </c>
    </row>
    <row r="53" spans="3:31" x14ac:dyDescent="0.2">
      <c r="C53" s="8" t="str">
        <v>New Zealand</v>
      </c>
      <c r="D53" s="56" t="str">
        <v>East Asia &amp; Pacific</v>
      </c>
      <c r="E53" s="218">
        <f t="shared" si="27"/>
        <v>0</v>
      </c>
      <c r="F53" s="148">
        <f t="shared" si="28"/>
        <v>8.7000000000000001E-4</v>
      </c>
      <c r="G53" s="225">
        <f t="shared" si="29"/>
        <v>1.0086272912423625E-7</v>
      </c>
      <c r="H53" s="42">
        <f t="shared" si="30"/>
        <v>0</v>
      </c>
      <c r="I53" s="42">
        <f t="shared" si="31"/>
        <v>8.7000000000000001E-4</v>
      </c>
      <c r="J53" s="226">
        <f t="shared" si="32"/>
        <v>1019.3819563813404</v>
      </c>
      <c r="K53" s="37">
        <f t="shared" si="15"/>
        <v>0.88686230205176619</v>
      </c>
      <c r="L53" s="29">
        <f t="shared" si="33"/>
        <v>4.6999999999999997E-5</v>
      </c>
      <c r="M53" s="227">
        <f t="shared" si="34"/>
        <v>1.0215837067209777E-7</v>
      </c>
      <c r="N53" s="41">
        <f t="shared" si="16"/>
        <v>0</v>
      </c>
      <c r="O53" s="41">
        <f t="shared" si="17"/>
        <v>4.6999999999999997E-5</v>
      </c>
      <c r="P53" s="226">
        <f t="shared" si="35"/>
        <v>3057.6228623319516</v>
      </c>
      <c r="Q53" s="37">
        <f t="shared" si="18"/>
        <v>0.14370827452960172</v>
      </c>
      <c r="R53" s="29">
        <f t="shared" si="36"/>
        <v>6.9999999999999999E-6</v>
      </c>
      <c r="S53" s="225">
        <f t="shared" si="37"/>
        <v>7.9260285132382896E-9</v>
      </c>
      <c r="T53" s="42">
        <f t="shared" si="19"/>
        <v>0</v>
      </c>
      <c r="U53" s="42">
        <f t="shared" si="20"/>
        <v>6.9999999999999999E-6</v>
      </c>
      <c r="V53" s="226">
        <f t="shared" si="38"/>
        <v>79.577101111163358</v>
      </c>
      <c r="W53" s="37">
        <f t="shared" si="21"/>
        <v>5.5703970777814355E-4</v>
      </c>
      <c r="X53" s="29">
        <f t="shared" si="39"/>
        <v>3.9999999999999998E-6</v>
      </c>
      <c r="Y53" s="225">
        <f t="shared" si="40"/>
        <v>6.0123828920570263E-9</v>
      </c>
      <c r="Z53" s="42">
        <f t="shared" si="22"/>
        <v>0</v>
      </c>
      <c r="AA53" s="42">
        <f t="shared" si="23"/>
        <v>3.9999999999999998E-6</v>
      </c>
      <c r="AB53" s="226">
        <f t="shared" si="41"/>
        <v>8936.2735704408842</v>
      </c>
      <c r="AC53" s="37">
        <f t="shared" si="24"/>
        <v>3.5745094281763534E-2</v>
      </c>
      <c r="AD53" s="84">
        <f t="shared" si="26"/>
        <v>1.0668727105709097</v>
      </c>
      <c r="AE53" s="84">
        <f t="shared" si="25"/>
        <v>1.0668727105709097</v>
      </c>
    </row>
    <row r="54" spans="3:31" x14ac:dyDescent="0.2">
      <c r="C54" s="8" t="str">
        <v>Norway</v>
      </c>
      <c r="D54" s="56" t="str">
        <v>Europe &amp; Central Asia</v>
      </c>
      <c r="E54" s="218">
        <f t="shared" si="27"/>
        <v>0.49461509999999997</v>
      </c>
      <c r="F54" s="148">
        <f t="shared" si="28"/>
        <v>8.7000000000000001E-4</v>
      </c>
      <c r="G54" s="225">
        <f t="shared" si="29"/>
        <v>8.2331695331695301E-9</v>
      </c>
      <c r="H54" s="42">
        <f t="shared" si="30"/>
        <v>2.4433499831793602E-6</v>
      </c>
      <c r="I54" s="42">
        <f t="shared" si="31"/>
        <v>8.6755665001682066E-4</v>
      </c>
      <c r="J54" s="226">
        <f t="shared" si="32"/>
        <v>5544.9910782911074</v>
      </c>
      <c r="K54" s="37">
        <f t="shared" si="15"/>
        <v>4.8105938842553915</v>
      </c>
      <c r="L54" s="29">
        <f t="shared" si="33"/>
        <v>4.6999999999999997E-5</v>
      </c>
      <c r="M54" s="227">
        <f t="shared" si="34"/>
        <v>1.0174078624078625E-8</v>
      </c>
      <c r="N54" s="41">
        <f t="shared" si="16"/>
        <v>3.0193517496339064E-6</v>
      </c>
      <c r="O54" s="41">
        <f t="shared" si="17"/>
        <v>4.3980648250366088E-5</v>
      </c>
      <c r="P54" s="226">
        <f t="shared" si="35"/>
        <v>19135.591724250655</v>
      </c>
      <c r="Q54" s="37">
        <f t="shared" si="18"/>
        <v>0.84159572868688437</v>
      </c>
      <c r="R54" s="29">
        <f t="shared" si="36"/>
        <v>6.9999999999999999E-6</v>
      </c>
      <c r="S54" s="225">
        <f t="shared" si="37"/>
        <v>6.14127764127764E-10</v>
      </c>
      <c r="T54" s="42">
        <f t="shared" si="19"/>
        <v>1.8225411928009823E-7</v>
      </c>
      <c r="U54" s="42">
        <f t="shared" si="20"/>
        <v>6.8177458807199013E-6</v>
      </c>
      <c r="V54" s="226">
        <f t="shared" si="38"/>
        <v>370.38989947015551</v>
      </c>
      <c r="W54" s="37">
        <f t="shared" si="21"/>
        <v>2.5252242113729109E-3</v>
      </c>
      <c r="X54" s="29">
        <f t="shared" si="39"/>
        <v>3.9999999999999998E-6</v>
      </c>
      <c r="Y54" s="225">
        <f t="shared" si="40"/>
        <v>4.780098280098279E-10</v>
      </c>
      <c r="Z54" s="42">
        <f t="shared" si="22"/>
        <v>1.4185852732923827E-7</v>
      </c>
      <c r="AA54" s="42">
        <f t="shared" si="23"/>
        <v>3.8581414726707612E-6</v>
      </c>
      <c r="AB54" s="226">
        <f t="shared" si="41"/>
        <v>64170.54903841691</v>
      </c>
      <c r="AC54" s="37">
        <f t="shared" si="24"/>
        <v>0.24757905656916912</v>
      </c>
      <c r="AD54" s="84">
        <f t="shared" si="26"/>
        <v>5.9022938937228169</v>
      </c>
      <c r="AE54" s="84">
        <f t="shared" si="25"/>
        <v>5.9022938937228169</v>
      </c>
    </row>
    <row r="55" spans="3:31" x14ac:dyDescent="0.2">
      <c r="C55" s="8" t="str">
        <v>Panama</v>
      </c>
      <c r="D55" s="56" t="str">
        <v>Latin America &amp; Caribbean</v>
      </c>
      <c r="E55" s="218">
        <f t="shared" si="27"/>
        <v>0.14075852269581329</v>
      </c>
      <c r="F55" s="148">
        <f t="shared" si="28"/>
        <v>8.7000000000000001E-4</v>
      </c>
      <c r="G55" s="225">
        <f t="shared" si="29"/>
        <v>1.3168832335329346E-7</v>
      </c>
      <c r="H55" s="42">
        <f t="shared" si="30"/>
        <v>1.1121752310898894E-5</v>
      </c>
      <c r="I55" s="42">
        <f t="shared" si="31"/>
        <v>8.5887824768910109E-4</v>
      </c>
      <c r="J55" s="226">
        <f t="shared" si="32"/>
        <v>3788.9117391781856</v>
      </c>
      <c r="K55" s="37">
        <f t="shared" si="15"/>
        <v>3.2542138751940244</v>
      </c>
      <c r="L55" s="29">
        <f t="shared" si="33"/>
        <v>4.6999999999999997E-5</v>
      </c>
      <c r="M55" s="227">
        <f t="shared" si="34"/>
        <v>1.9886523952095811E-7</v>
      </c>
      <c r="N55" s="41">
        <f t="shared" si="16"/>
        <v>1.6795186398311477E-5</v>
      </c>
      <c r="O55" s="41">
        <f t="shared" si="17"/>
        <v>3.0204813601688521E-5</v>
      </c>
      <c r="P55" s="226">
        <f t="shared" si="35"/>
        <v>12936.110324741208</v>
      </c>
      <c r="Q55" s="37">
        <f t="shared" si="18"/>
        <v>0.39073280108968655</v>
      </c>
      <c r="R55" s="29">
        <f t="shared" si="36"/>
        <v>6.9999999999999999E-6</v>
      </c>
      <c r="S55" s="225">
        <f t="shared" si="37"/>
        <v>6.5621856287425145E-9</v>
      </c>
      <c r="T55" s="42">
        <f t="shared" si="19"/>
        <v>5.5421013285449588E-7</v>
      </c>
      <c r="U55" s="42">
        <f t="shared" si="20"/>
        <v>6.4457898671455041E-6</v>
      </c>
      <c r="V55" s="226">
        <f t="shared" si="38"/>
        <v>250.82218219074332</v>
      </c>
      <c r="W55" s="37">
        <f t="shared" si="21"/>
        <v>1.6167470804204168E-3</v>
      </c>
      <c r="X55" s="29">
        <f t="shared" si="39"/>
        <v>3.9999999999999998E-6</v>
      </c>
      <c r="Y55" s="225">
        <f t="shared" si="40"/>
        <v>4.0966167664670663E-9</v>
      </c>
      <c r="Z55" s="42">
        <f t="shared" si="22"/>
        <v>3.4598023445928231E-7</v>
      </c>
      <c r="AA55" s="42">
        <f t="shared" si="23"/>
        <v>3.6540197655407176E-6</v>
      </c>
      <c r="AB55" s="226">
        <f t="shared" si="41"/>
        <v>32847.406859578485</v>
      </c>
      <c r="AC55" s="37">
        <f t="shared" si="24"/>
        <v>0.12002507391165754</v>
      </c>
      <c r="AD55" s="84">
        <f t="shared" si="26"/>
        <v>3.766588497275789</v>
      </c>
      <c r="AE55" s="84">
        <f t="shared" si="25"/>
        <v>3.766588497275789</v>
      </c>
    </row>
    <row r="56" spans="3:31" x14ac:dyDescent="0.2">
      <c r="C56" s="8" t="str">
        <v>Peru</v>
      </c>
      <c r="D56" s="56" t="str">
        <v>Latin America &amp; Caribbean</v>
      </c>
      <c r="E56" s="218">
        <f t="shared" si="27"/>
        <v>7.9045867296149375E-2</v>
      </c>
      <c r="F56" s="148">
        <f t="shared" si="28"/>
        <v>8.7000000000000001E-4</v>
      </c>
      <c r="G56" s="225">
        <f t="shared" si="29"/>
        <v>1.3714850798056909E-7</v>
      </c>
      <c r="H56" s="42">
        <f t="shared" si="30"/>
        <v>6.5046136570181683E-6</v>
      </c>
      <c r="I56" s="42">
        <f t="shared" si="31"/>
        <v>8.6349538634298184E-4</v>
      </c>
      <c r="J56" s="226">
        <f t="shared" si="32"/>
        <v>3928.8818178251126</v>
      </c>
      <c r="K56" s="37">
        <f t="shared" si="15"/>
        <v>3.3925713231788124</v>
      </c>
      <c r="L56" s="29">
        <f t="shared" si="33"/>
        <v>4.6999999999999997E-5</v>
      </c>
      <c r="M56" s="227">
        <f t="shared" si="34"/>
        <v>1.9709750173490634E-8</v>
      </c>
      <c r="N56" s="41">
        <f t="shared" si="16"/>
        <v>9.3478457799239861E-7</v>
      </c>
      <c r="O56" s="41">
        <f t="shared" si="17"/>
        <v>4.6065215422007598E-5</v>
      </c>
      <c r="P56" s="226">
        <f t="shared" si="35"/>
        <v>13537.526049837634</v>
      </c>
      <c r="Q56" s="37">
        <f t="shared" si="18"/>
        <v>0.6236090537668102</v>
      </c>
      <c r="R56" s="29">
        <f t="shared" si="36"/>
        <v>6.9999999999999999E-6</v>
      </c>
      <c r="S56" s="225">
        <f t="shared" si="37"/>
        <v>3.2499306037473982E-9</v>
      </c>
      <c r="T56" s="42">
        <f t="shared" si="19"/>
        <v>1.5413614993530687E-7</v>
      </c>
      <c r="U56" s="42">
        <f t="shared" si="20"/>
        <v>6.8458638500646929E-6</v>
      </c>
      <c r="V56" s="226">
        <f t="shared" si="38"/>
        <v>254.43814814717527</v>
      </c>
      <c r="W56" s="37">
        <f t="shared" si="21"/>
        <v>1.7418489204781521E-3</v>
      </c>
      <c r="X56" s="29">
        <f t="shared" si="39"/>
        <v>3.9999999999999998E-6</v>
      </c>
      <c r="Y56" s="225">
        <f t="shared" si="40"/>
        <v>2.8439625260235948E-9</v>
      </c>
      <c r="Z56" s="42">
        <f t="shared" si="22"/>
        <v>1.3488209065636971E-7</v>
      </c>
      <c r="AA56" s="42">
        <f t="shared" si="23"/>
        <v>3.8651179093436304E-6</v>
      </c>
      <c r="AB56" s="226">
        <f t="shared" si="41"/>
        <v>35871.614979330931</v>
      </c>
      <c r="AC56" s="37">
        <f t="shared" si="24"/>
        <v>0.13864802149369121</v>
      </c>
      <c r="AD56" s="84">
        <f t="shared" si="26"/>
        <v>4.1565702473597916</v>
      </c>
      <c r="AE56" s="84">
        <f t="shared" si="25"/>
        <v>4.1565702473597916</v>
      </c>
    </row>
    <row r="57" spans="3:31" x14ac:dyDescent="0.2">
      <c r="C57" s="8" t="str">
        <v>Philippines</v>
      </c>
      <c r="D57" s="56" t="str">
        <v>East Asia &amp; Pacific</v>
      </c>
      <c r="E57" s="218">
        <f t="shared" si="27"/>
        <v>0.15618668654572929</v>
      </c>
      <c r="F57" s="148">
        <f t="shared" si="28"/>
        <v>8.7000000000000001E-4</v>
      </c>
      <c r="G57" s="225">
        <f t="shared" si="29"/>
        <v>8.4349137244491654E-7</v>
      </c>
      <c r="H57" s="42">
        <f t="shared" si="30"/>
        <v>7.9045273555248711E-5</v>
      </c>
      <c r="I57" s="42">
        <f t="shared" si="31"/>
        <v>7.9095472644475132E-4</v>
      </c>
      <c r="J57" s="226">
        <f t="shared" si="32"/>
        <v>4045.45518620644</v>
      </c>
      <c r="K57" s="37">
        <f t="shared" si="15"/>
        <v>3.1997719001504152</v>
      </c>
      <c r="L57" s="29">
        <f t="shared" si="33"/>
        <v>4.6999999999999997E-5</v>
      </c>
      <c r="M57" s="227">
        <f t="shared" si="34"/>
        <v>1.7765303955402178E-6</v>
      </c>
      <c r="N57" s="41">
        <f t="shared" si="16"/>
        <v>1.6648223761632028E-4</v>
      </c>
      <c r="O57" s="41">
        <f t="shared" si="17"/>
        <v>-1.1948223761632028E-4</v>
      </c>
      <c r="P57" s="226">
        <f t="shared" si="35"/>
        <v>13417.46047566774</v>
      </c>
      <c r="Q57" s="37">
        <f t="shared" si="18"/>
        <v>0</v>
      </c>
      <c r="R57" s="29">
        <f t="shared" si="36"/>
        <v>6.9999999999999999E-6</v>
      </c>
      <c r="S57" s="225">
        <f t="shared" si="37"/>
        <v>4.5797823201486603E-8</v>
      </c>
      <c r="T57" s="42">
        <f t="shared" si="19"/>
        <v>4.29180615410839E-6</v>
      </c>
      <c r="U57" s="42">
        <f t="shared" si="20"/>
        <v>2.7081938458916099E-6</v>
      </c>
      <c r="V57" s="226">
        <f t="shared" si="38"/>
        <v>253.04459641979187</v>
      </c>
      <c r="W57" s="37">
        <f t="shared" si="21"/>
        <v>6.8529381876020646E-4</v>
      </c>
      <c r="X57" s="29">
        <f t="shared" si="39"/>
        <v>3.9999999999999998E-6</v>
      </c>
      <c r="Y57" s="225">
        <f t="shared" si="40"/>
        <v>2.1875869392089194E-8</v>
      </c>
      <c r="Z57" s="42">
        <f t="shared" si="22"/>
        <v>2.050031733394529E-6</v>
      </c>
      <c r="AA57" s="42">
        <f t="shared" si="23"/>
        <v>1.9499682666054708E-6</v>
      </c>
      <c r="AB57" s="226">
        <f t="shared" si="41"/>
        <v>35201.078870122612</v>
      </c>
      <c r="AC57" s="37">
        <f t="shared" si="24"/>
        <v>6.8640986747015451E-2</v>
      </c>
      <c r="AD57" s="84">
        <f t="shared" si="26"/>
        <v>3.269098180716191</v>
      </c>
      <c r="AE57" s="84">
        <f t="shared" si="25"/>
        <v>3.269098180716191</v>
      </c>
    </row>
    <row r="58" spans="3:31" x14ac:dyDescent="0.2">
      <c r="C58" s="8" t="str">
        <v>Poland</v>
      </c>
      <c r="D58" s="56" t="str">
        <v>Europe &amp; Central Asia</v>
      </c>
      <c r="E58" s="218">
        <f t="shared" si="27"/>
        <v>0.2149973</v>
      </c>
      <c r="F58" s="148">
        <f t="shared" si="28"/>
        <v>8.7000000000000001E-4</v>
      </c>
      <c r="G58" s="225">
        <f t="shared" si="29"/>
        <v>9.790885018202184E-7</v>
      </c>
      <c r="H58" s="42">
        <f t="shared" si="30"/>
        <v>1.2630083061143522E-4</v>
      </c>
      <c r="I58" s="42">
        <f t="shared" si="31"/>
        <v>7.4369916938856482E-4</v>
      </c>
      <c r="J58" s="226">
        <f t="shared" si="32"/>
        <v>4204.290728226234</v>
      </c>
      <c r="K58" s="37">
        <f t="shared" si="15"/>
        <v>3.1267275224498947</v>
      </c>
      <c r="L58" s="29">
        <f t="shared" si="33"/>
        <v>4.6999999999999997E-5</v>
      </c>
      <c r="M58" s="227">
        <f t="shared" si="34"/>
        <v>2.1110786715205825E-6</v>
      </c>
      <c r="N58" s="41">
        <f t="shared" si="16"/>
        <v>2.7232572867870729E-4</v>
      </c>
      <c r="O58" s="41">
        <f t="shared" si="17"/>
        <v>-2.2532572867870729E-4</v>
      </c>
      <c r="P58" s="226">
        <f t="shared" si="35"/>
        <v>13906.906637145785</v>
      </c>
      <c r="Q58" s="37">
        <f t="shared" si="18"/>
        <v>0</v>
      </c>
      <c r="R58" s="29">
        <f t="shared" si="36"/>
        <v>6.9999999999999999E-6</v>
      </c>
      <c r="S58" s="225">
        <f t="shared" si="37"/>
        <v>5.8098495659479138E-8</v>
      </c>
      <c r="T58" s="42">
        <f t="shared" si="19"/>
        <v>7.4946118205098405E-6</v>
      </c>
      <c r="U58" s="42">
        <f t="shared" si="20"/>
        <v>-4.9461182050984056E-7</v>
      </c>
      <c r="V58" s="226">
        <f t="shared" si="38"/>
        <v>270.92917819276579</v>
      </c>
      <c r="W58" s="37">
        <f t="shared" si="21"/>
        <v>0</v>
      </c>
      <c r="X58" s="29">
        <f t="shared" si="39"/>
        <v>3.9999999999999998E-6</v>
      </c>
      <c r="Y58" s="225">
        <f t="shared" si="40"/>
        <v>2.9179940632875944E-8</v>
      </c>
      <c r="Z58" s="42">
        <f t="shared" si="22"/>
        <v>3.7641650701371715E-6</v>
      </c>
      <c r="AA58" s="42">
        <f t="shared" si="23"/>
        <v>2.3583492986282831E-7</v>
      </c>
      <c r="AB58" s="226">
        <f t="shared" si="41"/>
        <v>37643.768780390259</v>
      </c>
      <c r="AC58" s="37">
        <f t="shared" si="24"/>
        <v>8.8777155700958624E-3</v>
      </c>
      <c r="AD58" s="84">
        <f t="shared" si="26"/>
        <v>3.1356052380199904</v>
      </c>
      <c r="AE58" s="84">
        <f t="shared" si="25"/>
        <v>3.1356052380199904</v>
      </c>
    </row>
    <row r="59" spans="3:31" x14ac:dyDescent="0.2">
      <c r="C59" s="8" t="str">
        <v>Portugal</v>
      </c>
      <c r="D59" s="56" t="str">
        <v>Europe &amp; Central Asia</v>
      </c>
      <c r="E59" s="218">
        <f t="shared" si="27"/>
        <v>0.19813990000000001</v>
      </c>
      <c r="F59" s="148">
        <f t="shared" si="28"/>
        <v>8.7000000000000001E-4</v>
      </c>
      <c r="G59" s="225">
        <f t="shared" si="29"/>
        <v>2.0973106125970665E-7</v>
      </c>
      <c r="H59" s="42">
        <f t="shared" si="30"/>
        <v>2.4933654902935291E-5</v>
      </c>
      <c r="I59" s="42">
        <f t="shared" si="31"/>
        <v>8.4506634509706475E-4</v>
      </c>
      <c r="J59" s="226">
        <f t="shared" si="32"/>
        <v>4011.4480444903056</v>
      </c>
      <c r="K59" s="37">
        <f t="shared" si="15"/>
        <v>3.3899397375041902</v>
      </c>
      <c r="L59" s="29">
        <f t="shared" si="33"/>
        <v>4.6999999999999997E-5</v>
      </c>
      <c r="M59" s="227">
        <f t="shared" si="34"/>
        <v>5.4005979292493537E-8</v>
      </c>
      <c r="N59" s="41">
        <f t="shared" si="16"/>
        <v>6.4204436018500446E-6</v>
      </c>
      <c r="O59" s="41">
        <f t="shared" si="17"/>
        <v>4.0579556398149951E-5</v>
      </c>
      <c r="P59" s="226">
        <f t="shared" si="35"/>
        <v>13312.349255646664</v>
      </c>
      <c r="Q59" s="37">
        <f t="shared" si="18"/>
        <v>0.54020922741138333</v>
      </c>
      <c r="R59" s="29">
        <f t="shared" si="36"/>
        <v>6.9999999999999999E-6</v>
      </c>
      <c r="S59" s="225">
        <f t="shared" si="37"/>
        <v>1.520223468507334E-8</v>
      </c>
      <c r="T59" s="42">
        <f t="shared" si="19"/>
        <v>1.8073015561661781E-6</v>
      </c>
      <c r="U59" s="42">
        <f t="shared" si="20"/>
        <v>5.1926984438338216E-6</v>
      </c>
      <c r="V59" s="226">
        <f t="shared" si="38"/>
        <v>275.98089606216172</v>
      </c>
      <c r="W59" s="37">
        <f t="shared" si="21"/>
        <v>1.4330855695098509E-3</v>
      </c>
      <c r="X59" s="29">
        <f t="shared" si="39"/>
        <v>3.9999999999999998E-6</v>
      </c>
      <c r="Y59" s="225">
        <f t="shared" si="40"/>
        <v>1.3090069025021572E-8</v>
      </c>
      <c r="Z59" s="42">
        <f t="shared" si="22"/>
        <v>1.5561989805665233E-6</v>
      </c>
      <c r="AA59" s="42">
        <f t="shared" si="23"/>
        <v>2.4438010194334765E-6</v>
      </c>
      <c r="AB59" s="226">
        <f t="shared" si="41"/>
        <v>34647.281044741329</v>
      </c>
      <c r="AC59" s="37">
        <f t="shared" si="24"/>
        <v>8.4671060737737031E-2</v>
      </c>
      <c r="AD59" s="84">
        <f t="shared" si="26"/>
        <v>4.0162531112228201</v>
      </c>
      <c r="AE59" s="84">
        <f t="shared" si="25"/>
        <v>4.0162531112228201</v>
      </c>
    </row>
    <row r="60" spans="3:31" x14ac:dyDescent="0.2">
      <c r="C60" s="8" t="str">
        <v>Romania</v>
      </c>
      <c r="D60" s="56" t="str">
        <v>Europe &amp; Central Asia</v>
      </c>
      <c r="E60" s="218">
        <f t="shared" si="27"/>
        <v>5.1995153345963344E-2</v>
      </c>
      <c r="F60" s="148">
        <f t="shared" si="28"/>
        <v>8.7000000000000001E-4</v>
      </c>
      <c r="G60" s="225">
        <f t="shared" si="29"/>
        <v>3.1398303783586187E-7</v>
      </c>
      <c r="H60" s="42">
        <f t="shared" si="30"/>
        <v>9.7953577201842307E-6</v>
      </c>
      <c r="I60" s="42">
        <f t="shared" si="31"/>
        <v>8.6020464227981575E-4</v>
      </c>
      <c r="J60" s="226">
        <f t="shared" si="32"/>
        <v>4054.4176678441218</v>
      </c>
      <c r="K60" s="37">
        <f t="shared" si="15"/>
        <v>3.4876288996208178</v>
      </c>
      <c r="L60" s="29">
        <f t="shared" si="33"/>
        <v>4.6999999999999997E-5</v>
      </c>
      <c r="M60" s="227">
        <f t="shared" si="34"/>
        <v>5.7072265399378544E-7</v>
      </c>
      <c r="N60" s="41">
        <f t="shared" si="16"/>
        <v>1.7804887147453231E-5</v>
      </c>
      <c r="O60" s="41">
        <f t="shared" si="17"/>
        <v>2.9195112852546766E-5</v>
      </c>
      <c r="P60" s="226">
        <f t="shared" si="35"/>
        <v>13480.829465663386</v>
      </c>
      <c r="Q60" s="37">
        <f t="shared" si="18"/>
        <v>0.39357433759598026</v>
      </c>
      <c r="R60" s="29">
        <f t="shared" si="36"/>
        <v>6.9999999999999999E-6</v>
      </c>
      <c r="S60" s="225">
        <f t="shared" si="37"/>
        <v>1.6215923962712485E-8</v>
      </c>
      <c r="T60" s="42">
        <f t="shared" si="19"/>
        <v>5.0588967185263036E-7</v>
      </c>
      <c r="U60" s="42">
        <f t="shared" si="20"/>
        <v>6.4941103281473697E-6</v>
      </c>
      <c r="V60" s="226">
        <f t="shared" si="38"/>
        <v>260.02337916224968</v>
      </c>
      <c r="W60" s="37">
        <f t="shared" si="21"/>
        <v>1.6886205121773453E-3</v>
      </c>
      <c r="X60" s="29">
        <f t="shared" si="39"/>
        <v>3.9999999999999998E-6</v>
      </c>
      <c r="Y60" s="225">
        <f t="shared" si="40"/>
        <v>8.3875196490586721E-9</v>
      </c>
      <c r="Z60" s="42">
        <f t="shared" si="22"/>
        <v>2.616662222070518E-7</v>
      </c>
      <c r="AA60" s="42">
        <f t="shared" si="23"/>
        <v>3.7383337777929481E-6</v>
      </c>
      <c r="AB60" s="226">
        <f t="shared" si="41"/>
        <v>35113.216081115053</v>
      </c>
      <c r="AC60" s="37">
        <f t="shared" si="24"/>
        <v>0.13126492172297494</v>
      </c>
      <c r="AD60" s="84">
        <f t="shared" si="26"/>
        <v>4.0141567794519499</v>
      </c>
      <c r="AE60" s="84">
        <f t="shared" si="25"/>
        <v>4.0141567794519499</v>
      </c>
    </row>
    <row r="61" spans="3:31" x14ac:dyDescent="0.2">
      <c r="C61" s="8" t="str">
        <v>Russian Federation</v>
      </c>
      <c r="D61" s="56" t="str">
        <v>Europe &amp; Central Asia</v>
      </c>
      <c r="E61" s="218">
        <f t="shared" si="27"/>
        <v>0.17058630613898421</v>
      </c>
      <c r="F61" s="148">
        <f t="shared" si="28"/>
        <v>8.7000000000000001E-4</v>
      </c>
      <c r="G61" s="225">
        <f t="shared" si="29"/>
        <v>3.686133888631807E-7</v>
      </c>
      <c r="H61" s="42">
        <f t="shared" si="30"/>
        <v>3.7728237839725787E-5</v>
      </c>
      <c r="I61" s="42">
        <f t="shared" si="31"/>
        <v>8.3227176216027422E-4</v>
      </c>
      <c r="J61" s="226">
        <f t="shared" si="32"/>
        <v>4272.5435044866181</v>
      </c>
      <c r="K61" s="37">
        <f t="shared" si="15"/>
        <v>3.5559173113855111</v>
      </c>
      <c r="L61" s="29">
        <f t="shared" si="33"/>
        <v>4.6999999999999997E-5</v>
      </c>
      <c r="M61" s="227">
        <f t="shared" si="34"/>
        <v>5.0481756285670224E-7</v>
      </c>
      <c r="N61" s="41">
        <f t="shared" si="16"/>
        <v>5.1668977993085585E-5</v>
      </c>
      <c r="O61" s="41">
        <f t="shared" si="17"/>
        <v>-4.6689779930855874E-6</v>
      </c>
      <c r="P61" s="226">
        <f t="shared" si="35"/>
        <v>15044.021993919923</v>
      </c>
      <c r="Q61" s="37">
        <f t="shared" si="18"/>
        <v>0</v>
      </c>
      <c r="R61" s="29">
        <f t="shared" si="36"/>
        <v>6.9999999999999999E-6</v>
      </c>
      <c r="S61" s="225">
        <f t="shared" si="37"/>
        <v>1.4107663118926425E-8</v>
      </c>
      <c r="T61" s="42">
        <f t="shared" si="19"/>
        <v>1.443944483826504E-6</v>
      </c>
      <c r="U61" s="42">
        <f t="shared" si="20"/>
        <v>5.5560555161734961E-6</v>
      </c>
      <c r="V61" s="226">
        <f t="shared" si="38"/>
        <v>256.13983962420411</v>
      </c>
      <c r="W61" s="37">
        <f t="shared" si="21"/>
        <v>1.4231271688558539E-3</v>
      </c>
      <c r="X61" s="29">
        <f t="shared" si="39"/>
        <v>3.9999999999999998E-6</v>
      </c>
      <c r="Y61" s="225">
        <f t="shared" si="40"/>
        <v>7.3851581058152091E-9</v>
      </c>
      <c r="Z61" s="42">
        <f t="shared" si="22"/>
        <v>7.558841049140364E-7</v>
      </c>
      <c r="AA61" s="42">
        <f t="shared" si="23"/>
        <v>3.2441158950859634E-6</v>
      </c>
      <c r="AB61" s="226">
        <f t="shared" si="41"/>
        <v>42383.935555451259</v>
      </c>
      <c r="AC61" s="37">
        <f t="shared" si="24"/>
        <v>0.13749839903173855</v>
      </c>
      <c r="AD61" s="84">
        <f t="shared" si="26"/>
        <v>3.6948388375861057</v>
      </c>
      <c r="AE61" s="84">
        <f t="shared" si="25"/>
        <v>3.6948388375861057</v>
      </c>
    </row>
    <row r="62" spans="3:31" x14ac:dyDescent="0.2">
      <c r="C62" s="8" t="str">
        <v>Slovak Republic</v>
      </c>
      <c r="D62" s="56" t="str">
        <v>Europe &amp; Central Asia</v>
      </c>
      <c r="E62" s="218">
        <f t="shared" si="27"/>
        <v>5.4669080000000002E-2</v>
      </c>
      <c r="F62" s="148">
        <f t="shared" si="28"/>
        <v>8.7000000000000001E-4</v>
      </c>
      <c r="G62" s="225">
        <f t="shared" si="29"/>
        <v>1.786015071590053E-7</v>
      </c>
      <c r="H62" s="42">
        <f t="shared" si="30"/>
        <v>5.8583880497977406E-6</v>
      </c>
      <c r="I62" s="42">
        <f t="shared" si="31"/>
        <v>8.6414161195020223E-4</v>
      </c>
      <c r="J62" s="226">
        <f t="shared" si="32"/>
        <v>4017.3439081253455</v>
      </c>
      <c r="K62" s="37">
        <f t="shared" si="15"/>
        <v>3.4715540405257612</v>
      </c>
      <c r="L62" s="29">
        <f t="shared" si="33"/>
        <v>4.6999999999999997E-5</v>
      </c>
      <c r="M62" s="227">
        <f t="shared" si="34"/>
        <v>2.535490580256217E-7</v>
      </c>
      <c r="N62" s="41">
        <f t="shared" si="16"/>
        <v>8.3167762422764128E-6</v>
      </c>
      <c r="O62" s="41">
        <f t="shared" si="17"/>
        <v>3.8683223757723581E-5</v>
      </c>
      <c r="P62" s="226">
        <f t="shared" si="35"/>
        <v>13218.452887644273</v>
      </c>
      <c r="Q62" s="37">
        <f t="shared" si="18"/>
        <v>0.51133237078367078</v>
      </c>
      <c r="R62" s="29">
        <f t="shared" si="36"/>
        <v>6.9999999999999999E-6</v>
      </c>
      <c r="S62" s="225">
        <f t="shared" si="37"/>
        <v>1.4968349660889226E-8</v>
      </c>
      <c r="T62" s="42">
        <f t="shared" si="19"/>
        <v>4.9098354304747562E-7</v>
      </c>
      <c r="U62" s="42">
        <f t="shared" si="20"/>
        <v>6.5090164569525244E-6</v>
      </c>
      <c r="V62" s="226">
        <f t="shared" si="38"/>
        <v>266.61541686320925</v>
      </c>
      <c r="W62" s="37">
        <f t="shared" si="21"/>
        <v>1.7354041360398867E-3</v>
      </c>
      <c r="X62" s="29">
        <f t="shared" si="39"/>
        <v>3.9999999999999998E-6</v>
      </c>
      <c r="Y62" s="225">
        <f t="shared" si="40"/>
        <v>1.0808138658628483E-8</v>
      </c>
      <c r="Z62" s="42">
        <f t="shared" si="22"/>
        <v>3.5452259818779194E-7</v>
      </c>
      <c r="AA62" s="42">
        <f t="shared" si="23"/>
        <v>3.6454774018122078E-6</v>
      </c>
      <c r="AB62" s="226">
        <f t="shared" si="41"/>
        <v>34120.526699318667</v>
      </c>
      <c r="AC62" s="37">
        <f t="shared" si="24"/>
        <v>0.12438560902029627</v>
      </c>
      <c r="AD62" s="84">
        <f t="shared" si="26"/>
        <v>4.1090074244657684</v>
      </c>
      <c r="AE62" s="84">
        <f t="shared" si="25"/>
        <v>4.1090074244657684</v>
      </c>
    </row>
    <row r="63" spans="3:31" x14ac:dyDescent="0.2">
      <c r="C63" s="8" t="str">
        <v>Slovenia</v>
      </c>
      <c r="D63" s="56" t="str">
        <v>Europe &amp; Central Asia</v>
      </c>
      <c r="E63" s="218">
        <f t="shared" si="27"/>
        <v>0.15706980000000001</v>
      </c>
      <c r="F63" s="148">
        <f t="shared" si="28"/>
        <v>8.7000000000000001E-4</v>
      </c>
      <c r="G63" s="225">
        <f t="shared" si="29"/>
        <v>3.3363862275449104E-7</v>
      </c>
      <c r="H63" s="42">
        <f t="shared" si="30"/>
        <v>3.1442731048994013E-5</v>
      </c>
      <c r="I63" s="42">
        <f t="shared" si="31"/>
        <v>8.3855726895100597E-4</v>
      </c>
      <c r="J63" s="226">
        <f t="shared" si="32"/>
        <v>4115.4662051500145</v>
      </c>
      <c r="K63" s="37">
        <f t="shared" si="15"/>
        <v>3.4510541014507568</v>
      </c>
      <c r="L63" s="29">
        <f t="shared" si="33"/>
        <v>4.6999999999999997E-5</v>
      </c>
      <c r="M63" s="227">
        <f t="shared" si="34"/>
        <v>7.0025038922155684E-7</v>
      </c>
      <c r="N63" s="41">
        <f t="shared" si="16"/>
        <v>6.5992913150971261E-5</v>
      </c>
      <c r="O63" s="41">
        <f t="shared" si="17"/>
        <v>-1.8992913150971264E-5</v>
      </c>
      <c r="P63" s="226">
        <f t="shared" si="35"/>
        <v>13465.414440646056</v>
      </c>
      <c r="Q63" s="37">
        <f t="shared" si="18"/>
        <v>0</v>
      </c>
      <c r="R63" s="29">
        <f t="shared" si="36"/>
        <v>6.9999999999999999E-6</v>
      </c>
      <c r="S63" s="225">
        <f t="shared" si="37"/>
        <v>1.9940389221556889E-8</v>
      </c>
      <c r="T63" s="42">
        <f t="shared" si="19"/>
        <v>1.8792197681712581E-6</v>
      </c>
      <c r="U63" s="42">
        <f t="shared" si="20"/>
        <v>5.1207802318287423E-6</v>
      </c>
      <c r="V63" s="226">
        <f t="shared" si="38"/>
        <v>275.29896429402731</v>
      </c>
      <c r="W63" s="37">
        <f t="shared" si="21"/>
        <v>1.4097454941997818E-3</v>
      </c>
      <c r="X63" s="29">
        <f t="shared" si="39"/>
        <v>3.9999999999999998E-6</v>
      </c>
      <c r="Y63" s="225">
        <f t="shared" si="40"/>
        <v>1.0231706586826347E-8</v>
      </c>
      <c r="Z63" s="42">
        <f t="shared" si="22"/>
        <v>9.6425526435089839E-7</v>
      </c>
      <c r="AA63" s="42">
        <f t="shared" si="23"/>
        <v>3.0357447356491014E-6</v>
      </c>
      <c r="AB63" s="226">
        <f t="shared" si="41"/>
        <v>35341.052068894307</v>
      </c>
      <c r="AC63" s="37">
        <f t="shared" si="24"/>
        <v>0.10728641277044668</v>
      </c>
      <c r="AD63" s="84">
        <f t="shared" si="26"/>
        <v>3.5597502597154032</v>
      </c>
      <c r="AE63" s="84">
        <f t="shared" si="25"/>
        <v>3.5597502597154032</v>
      </c>
    </row>
    <row r="64" spans="3:31" x14ac:dyDescent="0.2">
      <c r="C64" s="8" t="str">
        <v>South Africa</v>
      </c>
      <c r="D64" s="56" t="str">
        <v>Sub-Saharan Africa</v>
      </c>
      <c r="E64" s="218">
        <f t="shared" si="27"/>
        <v>0</v>
      </c>
      <c r="F64" s="148">
        <f t="shared" si="28"/>
        <v>8.7000000000000001E-4</v>
      </c>
      <c r="G64" s="225">
        <f t="shared" si="29"/>
        <v>1.1076606258640191E-6</v>
      </c>
      <c r="H64" s="42">
        <f t="shared" si="30"/>
        <v>0</v>
      </c>
      <c r="I64" s="42">
        <f t="shared" si="31"/>
        <v>8.7000000000000001E-4</v>
      </c>
      <c r="J64" s="226">
        <f t="shared" si="32"/>
        <v>1193.4032405036846</v>
      </c>
      <c r="K64" s="37">
        <f t="shared" si="15"/>
        <v>1.0382608192382057</v>
      </c>
      <c r="L64" s="29">
        <f t="shared" si="33"/>
        <v>4.6999999999999997E-5</v>
      </c>
      <c r="M64" s="227">
        <f t="shared" si="34"/>
        <v>2.5196973231117253E-6</v>
      </c>
      <c r="N64" s="41">
        <f t="shared" si="16"/>
        <v>0</v>
      </c>
      <c r="O64" s="41">
        <f t="shared" si="17"/>
        <v>4.6999999999999997E-5</v>
      </c>
      <c r="P64" s="226">
        <f t="shared" si="35"/>
        <v>3506.3325265984163</v>
      </c>
      <c r="Q64" s="37">
        <f t="shared" si="18"/>
        <v>0.16479762875012555</v>
      </c>
      <c r="R64" s="29">
        <f t="shared" si="36"/>
        <v>6.9999999999999999E-6</v>
      </c>
      <c r="S64" s="225">
        <f t="shared" si="37"/>
        <v>6.2043182103807971E-8</v>
      </c>
      <c r="T64" s="42">
        <f t="shared" si="19"/>
        <v>0</v>
      </c>
      <c r="U64" s="42">
        <f t="shared" si="20"/>
        <v>6.9999999999999999E-6</v>
      </c>
      <c r="V64" s="226">
        <f t="shared" si="38"/>
        <v>68.225828315032103</v>
      </c>
      <c r="W64" s="37">
        <f t="shared" si="21"/>
        <v>4.775807982052247E-4</v>
      </c>
      <c r="X64" s="29">
        <f t="shared" si="39"/>
        <v>3.9999999999999998E-6</v>
      </c>
      <c r="Y64" s="225">
        <f t="shared" si="40"/>
        <v>2.8294482845293453E-8</v>
      </c>
      <c r="Z64" s="42">
        <f t="shared" si="22"/>
        <v>0</v>
      </c>
      <c r="AA64" s="42">
        <f t="shared" si="23"/>
        <v>3.9999999999999998E-6</v>
      </c>
      <c r="AB64" s="226">
        <f t="shared" si="41"/>
        <v>10448.265928237701</v>
      </c>
      <c r="AC64" s="37">
        <f t="shared" si="24"/>
        <v>4.1793063712950801E-2</v>
      </c>
      <c r="AD64" s="84">
        <f t="shared" si="26"/>
        <v>1.2453290924994873</v>
      </c>
      <c r="AE64" s="84">
        <f t="shared" si="25"/>
        <v>1.2453290924994873</v>
      </c>
    </row>
    <row r="65" spans="3:31" x14ac:dyDescent="0.2">
      <c r="C65" s="8" t="str">
        <v>Spain</v>
      </c>
      <c r="D65" s="56" t="str">
        <v>Europe &amp; Central Asia</v>
      </c>
      <c r="E65" s="218">
        <f t="shared" si="27"/>
        <v>0.10984099999999999</v>
      </c>
      <c r="F65" s="148">
        <f t="shared" si="28"/>
        <v>8.7000000000000001E-4</v>
      </c>
      <c r="G65" s="225">
        <f t="shared" si="29"/>
        <v>1.8159897998393125E-7</v>
      </c>
      <c r="H65" s="42">
        <f t="shared" si="30"/>
        <v>1.1968208136248995E-5</v>
      </c>
      <c r="I65" s="42">
        <f t="shared" si="31"/>
        <v>8.5803179186375099E-4</v>
      </c>
      <c r="J65" s="226">
        <f t="shared" si="32"/>
        <v>4358.6611713036864</v>
      </c>
      <c r="K65" s="37">
        <f t="shared" si="15"/>
        <v>3.7398698549406579</v>
      </c>
      <c r="L65" s="29">
        <f t="shared" si="33"/>
        <v>4.6999999999999997E-5</v>
      </c>
      <c r="M65" s="227">
        <f t="shared" si="34"/>
        <v>1.5361626436580854E-7</v>
      </c>
      <c r="N65" s="41">
        <f t="shared" si="16"/>
        <v>1.0124018456522865E-5</v>
      </c>
      <c r="O65" s="41">
        <f t="shared" si="17"/>
        <v>3.6875981543477134E-5</v>
      </c>
      <c r="P65" s="226">
        <f t="shared" si="35"/>
        <v>14378.458678406085</v>
      </c>
      <c r="Q65" s="37">
        <f t="shared" si="18"/>
        <v>0.53021977684855137</v>
      </c>
      <c r="R65" s="29">
        <f t="shared" si="36"/>
        <v>6.9999999999999999E-6</v>
      </c>
      <c r="S65" s="225">
        <f t="shared" si="37"/>
        <v>8.8470185489223457E-9</v>
      </c>
      <c r="T65" s="42">
        <f t="shared" si="19"/>
        <v>5.8305921865930763E-7</v>
      </c>
      <c r="U65" s="42">
        <f t="shared" si="20"/>
        <v>6.4169407813406927E-6</v>
      </c>
      <c r="V65" s="226">
        <f t="shared" si="38"/>
        <v>315.15539838889401</v>
      </c>
      <c r="W65" s="37">
        <f t="shared" si="21"/>
        <v>2.0223335283813667E-3</v>
      </c>
      <c r="X65" s="29">
        <f t="shared" si="39"/>
        <v>3.9999999999999998E-6</v>
      </c>
      <c r="Y65" s="225">
        <f t="shared" si="40"/>
        <v>6.5971285849023647E-9</v>
      </c>
      <c r="Z65" s="42">
        <f t="shared" si="22"/>
        <v>4.3478112053655637E-7</v>
      </c>
      <c r="AA65" s="42">
        <f t="shared" si="23"/>
        <v>3.5652188794634437E-6</v>
      </c>
      <c r="AB65" s="226">
        <f t="shared" si="41"/>
        <v>39257.179898669296</v>
      </c>
      <c r="AC65" s="37">
        <f t="shared" si="24"/>
        <v>0.13996043892922858</v>
      </c>
      <c r="AD65" s="84">
        <f t="shared" si="26"/>
        <v>4.4120724042468185</v>
      </c>
      <c r="AE65" s="84">
        <f t="shared" si="25"/>
        <v>4.4120724042468185</v>
      </c>
    </row>
    <row r="66" spans="3:31" x14ac:dyDescent="0.2">
      <c r="C66" s="8" t="str">
        <v>Sri Lanka</v>
      </c>
      <c r="D66" s="56" t="str">
        <v>South Asia</v>
      </c>
      <c r="E66" s="218">
        <f t="shared" si="27"/>
        <v>0</v>
      </c>
      <c r="F66" s="148">
        <f t="shared" si="28"/>
        <v>8.7000000000000001E-4</v>
      </c>
      <c r="G66" s="225">
        <f t="shared" si="29"/>
        <v>7.0886029919447642E-7</v>
      </c>
      <c r="H66" s="42">
        <f t="shared" si="30"/>
        <v>0</v>
      </c>
      <c r="I66" s="42">
        <f t="shared" si="31"/>
        <v>8.7000000000000001E-4</v>
      </c>
      <c r="J66" s="226">
        <f t="shared" si="32"/>
        <v>4464.9687976213791</v>
      </c>
      <c r="K66" s="37">
        <f t="shared" si="15"/>
        <v>3.8845228539305996</v>
      </c>
      <c r="L66" s="29">
        <f t="shared" si="33"/>
        <v>4.6999999999999997E-5</v>
      </c>
      <c r="M66" s="227">
        <f t="shared" si="34"/>
        <v>1.5894310701956272E-6</v>
      </c>
      <c r="N66" s="41">
        <f t="shared" si="16"/>
        <v>0</v>
      </c>
      <c r="O66" s="41">
        <f t="shared" si="17"/>
        <v>4.6999999999999997E-5</v>
      </c>
      <c r="P66" s="226">
        <f t="shared" si="35"/>
        <v>14465.094602710447</v>
      </c>
      <c r="Q66" s="37">
        <f t="shared" si="18"/>
        <v>0.67985944632739104</v>
      </c>
      <c r="R66" s="29">
        <f t="shared" si="36"/>
        <v>6.9999999999999999E-6</v>
      </c>
      <c r="S66" s="225">
        <f t="shared" si="37"/>
        <v>4.5445339470655928E-8</v>
      </c>
      <c r="T66" s="42">
        <f t="shared" si="19"/>
        <v>0</v>
      </c>
      <c r="U66" s="42">
        <f t="shared" si="20"/>
        <v>6.9999999999999999E-6</v>
      </c>
      <c r="V66" s="226">
        <f t="shared" si="38"/>
        <v>272.97845744166324</v>
      </c>
      <c r="W66" s="37">
        <f t="shared" si="21"/>
        <v>1.9108492020916427E-3</v>
      </c>
      <c r="X66" s="29">
        <f t="shared" si="39"/>
        <v>3.9999999999999998E-6</v>
      </c>
      <c r="Y66" s="225">
        <f t="shared" si="40"/>
        <v>2.5113003452243959E-8</v>
      </c>
      <c r="Z66" s="42">
        <f t="shared" si="22"/>
        <v>0</v>
      </c>
      <c r="AA66" s="42">
        <f t="shared" si="23"/>
        <v>3.9999999999999998E-6</v>
      </c>
      <c r="AB66" s="226">
        <f t="shared" si="41"/>
        <v>39728.947901056381</v>
      </c>
      <c r="AC66" s="37">
        <f t="shared" si="24"/>
        <v>0.1589157916042255</v>
      </c>
      <c r="AD66" s="84">
        <f t="shared" si="26"/>
        <v>4.7252089410643077</v>
      </c>
      <c r="AE66" s="84">
        <f t="shared" si="25"/>
        <v>4.7252089410643077</v>
      </c>
    </row>
    <row r="67" spans="3:31" x14ac:dyDescent="0.2">
      <c r="C67" s="8" t="str">
        <v>Sweden</v>
      </c>
      <c r="D67" s="56" t="str">
        <v>Europe &amp; Central Asia</v>
      </c>
      <c r="E67" s="218">
        <f t="shared" si="27"/>
        <v>0.52628600000000003</v>
      </c>
      <c r="F67" s="148">
        <f t="shared" si="28"/>
        <v>8.7000000000000001E-4</v>
      </c>
      <c r="G67" s="225">
        <f t="shared" si="29"/>
        <v>7.0122335817016106E-8</v>
      </c>
      <c r="H67" s="42">
        <f t="shared" si="30"/>
        <v>2.2142642176676485E-5</v>
      </c>
      <c r="I67" s="42">
        <f t="shared" si="31"/>
        <v>8.4785735782332353E-4</v>
      </c>
      <c r="J67" s="226">
        <f t="shared" si="32"/>
        <v>1403.7384179924345</v>
      </c>
      <c r="K67" s="37">
        <f t="shared" si="15"/>
        <v>1.1901699461541577</v>
      </c>
      <c r="L67" s="29">
        <f t="shared" si="33"/>
        <v>4.6999999999999997E-5</v>
      </c>
      <c r="M67" s="227">
        <f t="shared" si="34"/>
        <v>3.0901299601455556E-8</v>
      </c>
      <c r="N67" s="41">
        <f t="shared" si="16"/>
        <v>9.7577528172309844E-6</v>
      </c>
      <c r="O67" s="41">
        <f t="shared" si="17"/>
        <v>3.7242247182769011E-5</v>
      </c>
      <c r="P67" s="226">
        <f t="shared" si="35"/>
        <v>4305.8407908608124</v>
      </c>
      <c r="Q67" s="37">
        <f t="shared" si="18"/>
        <v>0.16035918706288799</v>
      </c>
      <c r="R67" s="29">
        <f t="shared" si="36"/>
        <v>6.9999999999999999E-6</v>
      </c>
      <c r="S67" s="225">
        <f t="shared" si="37"/>
        <v>1.1387315889793797E-8</v>
      </c>
      <c r="T67" s="42">
        <f t="shared" si="19"/>
        <v>3.5957909582256114E-6</v>
      </c>
      <c r="U67" s="42">
        <f t="shared" si="20"/>
        <v>3.4042090417743885E-6</v>
      </c>
      <c r="V67" s="226">
        <f t="shared" si="38"/>
        <v>112.28389486353332</v>
      </c>
      <c r="W67" s="37">
        <f t="shared" si="21"/>
        <v>3.8223785014008496E-4</v>
      </c>
      <c r="X67" s="29">
        <f t="shared" si="39"/>
        <v>3.9999999999999998E-6</v>
      </c>
      <c r="Y67" s="225">
        <f t="shared" si="40"/>
        <v>9.7371339455900192E-9</v>
      </c>
      <c r="Z67" s="42">
        <f t="shared" si="22"/>
        <v>3.0747103654132735E-6</v>
      </c>
      <c r="AA67" s="42">
        <f t="shared" si="23"/>
        <v>9.2528963458672632E-7</v>
      </c>
      <c r="AB67" s="226">
        <f t="shared" si="41"/>
        <v>12695.159432366776</v>
      </c>
      <c r="AC67" s="37">
        <f t="shared" si="24"/>
        <v>1.1746699432194887E-2</v>
      </c>
      <c r="AD67" s="84">
        <f t="shared" si="26"/>
        <v>1.3626580704993807</v>
      </c>
      <c r="AE67" s="84">
        <f t="shared" si="25"/>
        <v>1.3626580704993807</v>
      </c>
    </row>
    <row r="68" spans="3:31" x14ac:dyDescent="0.2">
      <c r="C68" s="8" t="str">
        <v>Thailand</v>
      </c>
      <c r="D68" s="56" t="str">
        <v>East Asia &amp; Pacific</v>
      </c>
      <c r="E68" s="218">
        <f t="shared" si="27"/>
        <v>3.1732831489740342E-2</v>
      </c>
      <c r="F68" s="148">
        <f t="shared" si="28"/>
        <v>8.7000000000000001E-4</v>
      </c>
      <c r="G68" s="225">
        <f t="shared" si="29"/>
        <v>5.2344758525090097E-7</v>
      </c>
      <c r="H68" s="42">
        <f t="shared" si="30"/>
        <v>9.9662844098869979E-6</v>
      </c>
      <c r="I68" s="42">
        <f t="shared" si="31"/>
        <v>8.6003371559011305E-4</v>
      </c>
      <c r="J68" s="226">
        <f t="shared" si="32"/>
        <v>5027.7456590095408</v>
      </c>
      <c r="K68" s="37">
        <f t="shared" si="15"/>
        <v>4.3240307801600366</v>
      </c>
      <c r="L68" s="29">
        <f t="shared" si="33"/>
        <v>4.6999999999999997E-5</v>
      </c>
      <c r="M68" s="227">
        <f t="shared" si="34"/>
        <v>6.0180985417244242E-7</v>
      </c>
      <c r="N68" s="41">
        <f t="shared" si="16"/>
        <v>1.1458278414791594E-5</v>
      </c>
      <c r="O68" s="41">
        <f t="shared" si="17"/>
        <v>3.5541721585208405E-5</v>
      </c>
      <c r="P68" s="226">
        <f t="shared" si="35"/>
        <v>16720.52831741553</v>
      </c>
      <c r="Q68" s="37">
        <f t="shared" si="18"/>
        <v>0.59427636221517588</v>
      </c>
      <c r="R68" s="29">
        <f t="shared" si="36"/>
        <v>6.9999999999999999E-6</v>
      </c>
      <c r="S68" s="225">
        <f t="shared" si="37"/>
        <v>2.7147133906293315E-8</v>
      </c>
      <c r="T68" s="42">
        <f t="shared" si="19"/>
        <v>5.1687325540669328E-7</v>
      </c>
      <c r="U68" s="42">
        <f t="shared" si="20"/>
        <v>6.4831267445933062E-6</v>
      </c>
      <c r="V68" s="226">
        <f t="shared" si="38"/>
        <v>312.00054838389241</v>
      </c>
      <c r="W68" s="37">
        <f t="shared" si="21"/>
        <v>2.0227390995553908E-3</v>
      </c>
      <c r="X68" s="29">
        <f t="shared" si="39"/>
        <v>3.9999999999999998E-6</v>
      </c>
      <c r="Y68" s="225">
        <f t="shared" si="40"/>
        <v>1.7821866370945383E-8</v>
      </c>
      <c r="Z68" s="42">
        <f t="shared" si="22"/>
        <v>3.3932296942912803E-7</v>
      </c>
      <c r="AA68" s="42">
        <f t="shared" si="23"/>
        <v>3.6606770305708717E-6</v>
      </c>
      <c r="AB68" s="226">
        <f t="shared" si="41"/>
        <v>48157.766460785824</v>
      </c>
      <c r="AC68" s="37">
        <f t="shared" si="24"/>
        <v>0.17629002952659498</v>
      </c>
      <c r="AD68" s="84">
        <f t="shared" si="26"/>
        <v>5.0966199110013628</v>
      </c>
      <c r="AE68" s="84">
        <f t="shared" si="25"/>
        <v>5.0966199110013628</v>
      </c>
    </row>
    <row r="69" spans="3:31" x14ac:dyDescent="0.2">
      <c r="C69" s="8" t="str">
        <v>Ukraine</v>
      </c>
      <c r="D69" s="56" t="str">
        <v>Europe &amp; Central Asia</v>
      </c>
      <c r="E69" s="218">
        <f t="shared" si="27"/>
        <v>5.5697912669943173E-2</v>
      </c>
      <c r="F69" s="148">
        <f t="shared" si="28"/>
        <v>8.7000000000000001E-4</v>
      </c>
      <c r="G69" s="225">
        <f t="shared" si="29"/>
        <v>3.1230758583976577E-7</v>
      </c>
      <c r="H69" s="42">
        <f t="shared" si="30"/>
        <v>1.0436928385358434E-5</v>
      </c>
      <c r="I69" s="42">
        <f t="shared" si="31"/>
        <v>8.5956307161464155E-4</v>
      </c>
      <c r="J69" s="226">
        <f t="shared" si="32"/>
        <v>4062.712579476181</v>
      </c>
      <c r="K69" s="37">
        <f t="shared" si="15"/>
        <v>3.4921577039019898</v>
      </c>
      <c r="L69" s="29">
        <f t="shared" si="33"/>
        <v>4.6999999999999997E-5</v>
      </c>
      <c r="M69" s="227">
        <f t="shared" si="34"/>
        <v>6.5711310087836026E-7</v>
      </c>
      <c r="N69" s="41">
        <f t="shared" si="16"/>
        <v>2.1959896864199082E-5</v>
      </c>
      <c r="O69" s="41">
        <f t="shared" si="17"/>
        <v>2.5040103135800916E-5</v>
      </c>
      <c r="P69" s="226">
        <f t="shared" si="35"/>
        <v>13591.04043908243</v>
      </c>
      <c r="Q69" s="37">
        <f t="shared" si="18"/>
        <v>0.34032105431746501</v>
      </c>
      <c r="R69" s="29">
        <f t="shared" si="36"/>
        <v>6.9999999999999999E-6</v>
      </c>
      <c r="S69" s="225">
        <f t="shared" si="37"/>
        <v>1.6932169284003192E-8</v>
      </c>
      <c r="T69" s="42">
        <f t="shared" si="19"/>
        <v>5.6585189165586241E-7</v>
      </c>
      <c r="U69" s="42">
        <f t="shared" si="20"/>
        <v>6.4341481083441372E-6</v>
      </c>
      <c r="V69" s="226">
        <f t="shared" si="38"/>
        <v>239.80270217221872</v>
      </c>
      <c r="W69" s="37">
        <f t="shared" si="21"/>
        <v>1.5429261025571937E-3</v>
      </c>
      <c r="X69" s="29">
        <f t="shared" si="39"/>
        <v>3.9999999999999998E-6</v>
      </c>
      <c r="Y69" s="225">
        <f t="shared" si="40"/>
        <v>8.0642427468725036E-9</v>
      </c>
      <c r="Z69" s="42">
        <f>IFERROR(E69*$F$3*Y69,"No value")</f>
        <v>2.6949689295871644E-7</v>
      </c>
      <c r="AA69" s="42">
        <f t="shared" si="23"/>
        <v>3.7305031070412832E-6</v>
      </c>
      <c r="AB69" s="226">
        <f t="shared" si="41"/>
        <v>36087.059634154422</v>
      </c>
      <c r="AC69" s="37">
        <f t="shared" si="24"/>
        <v>0.13462288808919715</v>
      </c>
      <c r="AD69" s="84">
        <f t="shared" si="26"/>
        <v>3.9686445724112089</v>
      </c>
      <c r="AE69" s="84">
        <f t="shared" si="25"/>
        <v>3.9686445724112089</v>
      </c>
    </row>
    <row r="70" spans="3:31" x14ac:dyDescent="0.2">
      <c r="C70" s="8" t="str">
        <v>United Kingdom</v>
      </c>
      <c r="D70" s="56" t="str">
        <v>Europe &amp; Central Asia</v>
      </c>
      <c r="E70" s="218">
        <f t="shared" si="27"/>
        <v>0.40126430000000002</v>
      </c>
      <c r="F70" s="148">
        <f t="shared" si="28"/>
        <v>8.7000000000000001E-4</v>
      </c>
      <c r="G70" s="225">
        <f t="shared" si="29"/>
        <v>2.576170995737373E-7</v>
      </c>
      <c r="H70" s="42">
        <f t="shared" si="30"/>
        <v>6.2023527077091606E-5</v>
      </c>
      <c r="I70" s="42">
        <f t="shared" si="31"/>
        <v>8.0797647292290837E-4</v>
      </c>
      <c r="J70" s="226">
        <f t="shared" si="32"/>
        <v>6969.75564220249</v>
      </c>
      <c r="K70" s="37">
        <f t="shared" si="15"/>
        <v>5.6313985809213083</v>
      </c>
      <c r="L70" s="29">
        <f t="shared" si="33"/>
        <v>4.6999999999999997E-5</v>
      </c>
      <c r="M70" s="227">
        <f t="shared" si="34"/>
        <v>1.2234071575331965E-7</v>
      </c>
      <c r="N70" s="41">
        <f t="shared" si="16"/>
        <v>2.9454577000952873E-5</v>
      </c>
      <c r="O70" s="41">
        <f t="shared" si="17"/>
        <v>1.7545422999047125E-5</v>
      </c>
      <c r="P70" s="226">
        <f t="shared" si="35"/>
        <v>23224.372028486327</v>
      </c>
      <c r="Q70" s="37">
        <f t="shared" si="18"/>
        <v>0.40748143112703072</v>
      </c>
      <c r="R70" s="29">
        <f t="shared" si="36"/>
        <v>6.9999999999999999E-6</v>
      </c>
      <c r="S70" s="225">
        <f t="shared" si="37"/>
        <v>1.9840571621331537E-8</v>
      </c>
      <c r="T70" s="42">
        <f t="shared" si="19"/>
        <v>4.7767878499400787E-6</v>
      </c>
      <c r="U70" s="42">
        <f t="shared" si="20"/>
        <v>2.2232121500599212E-6</v>
      </c>
      <c r="V70" s="226">
        <f t="shared" si="38"/>
        <v>444.11349641008513</v>
      </c>
      <c r="W70" s="37">
        <f t="shared" si="21"/>
        <v>9.8735852122449437E-4</v>
      </c>
      <c r="X70" s="29">
        <f t="shared" si="39"/>
        <v>3.9999999999999998E-6</v>
      </c>
      <c r="Y70" s="225">
        <f t="shared" si="40"/>
        <v>1.6514581863902606E-8</v>
      </c>
      <c r="Z70" s="42">
        <f t="shared" si="22"/>
        <v>3.9760272788469446E-6</v>
      </c>
      <c r="AA70" s="42">
        <f t="shared" si="23"/>
        <v>2.3972721153055194E-8</v>
      </c>
      <c r="AB70" s="226">
        <f t="shared" si="41"/>
        <v>83845.970363713699</v>
      </c>
      <c r="AC70" s="37">
        <f t="shared" si="24"/>
        <v>2.0100160673366383E-3</v>
      </c>
      <c r="AD70" s="84">
        <f t="shared" si="26"/>
        <v>6.0418773866368998</v>
      </c>
      <c r="AE70" s="84">
        <f t="shared" si="25"/>
        <v>6.0418773866368998</v>
      </c>
    </row>
    <row r="71" spans="3:31" x14ac:dyDescent="0.2">
      <c r="C71" s="8" t="str">
        <v>United States</v>
      </c>
      <c r="D71" s="56" t="str">
        <v>North America</v>
      </c>
      <c r="E71" s="218">
        <f t="shared" si="27"/>
        <v>0.15927231931571248</v>
      </c>
      <c r="F71" s="148">
        <f t="shared" si="28"/>
        <v>8.7000000000000001E-4</v>
      </c>
      <c r="G71" s="225">
        <f t="shared" si="29"/>
        <v>3.936324317515413E-7</v>
      </c>
      <c r="H71" s="42">
        <f t="shared" si="30"/>
        <v>3.7616850217771133E-5</v>
      </c>
      <c r="I71" s="42">
        <f t="shared" si="31"/>
        <v>8.3238314978222885E-4</v>
      </c>
      <c r="J71" s="226">
        <f t="shared" si="32"/>
        <v>4165.8554055057102</v>
      </c>
      <c r="K71" s="37">
        <f t="shared" si="15"/>
        <v>3.4675878439721672</v>
      </c>
      <c r="L71" s="29">
        <f t="shared" si="33"/>
        <v>4.6999999999999997E-5</v>
      </c>
      <c r="M71" s="227">
        <f t="shared" si="34"/>
        <v>5.8922586562349113E-7</v>
      </c>
      <c r="N71" s="41">
        <f t="shared" si="16"/>
        <v>5.630842213119706E-5</v>
      </c>
      <c r="O71" s="41">
        <f t="shared" si="17"/>
        <v>-9.3084221311970627E-6</v>
      </c>
      <c r="P71" s="226">
        <f t="shared" si="35"/>
        <v>13865.002981022628</v>
      </c>
      <c r="Q71" s="37">
        <f t="shared" si="18"/>
        <v>0</v>
      </c>
      <c r="R71" s="29">
        <f t="shared" si="36"/>
        <v>6.9999999999999999E-6</v>
      </c>
      <c r="S71" s="225">
        <f t="shared" si="37"/>
        <v>1.7479205021798919E-8</v>
      </c>
      <c r="T71" s="42">
        <f t="shared" si="19"/>
        <v>1.6703721141700573E-6</v>
      </c>
      <c r="U71" s="42">
        <f t="shared" si="20"/>
        <v>5.3296278858299424E-6</v>
      </c>
      <c r="V71" s="226">
        <f t="shared" si="38"/>
        <v>331.66897437615063</v>
      </c>
      <c r="W71" s="37">
        <f t="shared" si="21"/>
        <v>1.7676722146997489E-3</v>
      </c>
      <c r="X71" s="29">
        <f t="shared" si="39"/>
        <v>3.9999999999999998E-6</v>
      </c>
      <c r="Y71" s="225">
        <f t="shared" si="40"/>
        <v>9.4182436300272223E-9</v>
      </c>
      <c r="Z71" s="42">
        <f t="shared" si="22"/>
        <v>9.0003930410092241E-7</v>
      </c>
      <c r="AA71" s="42">
        <f t="shared" si="23"/>
        <v>3.0999606958990774E-6</v>
      </c>
      <c r="AB71" s="226">
        <f t="shared" si="41"/>
        <v>36872.795975726884</v>
      </c>
      <c r="AC71" s="37">
        <f t="shared" si="24"/>
        <v>0.11430421827265901</v>
      </c>
      <c r="AD71" s="84">
        <f t="shared" si="26"/>
        <v>3.5836597344595256</v>
      </c>
      <c r="AE71" s="84">
        <f t="shared" si="25"/>
        <v>3.5836597344595256</v>
      </c>
    </row>
    <row r="72" spans="3:31" x14ac:dyDescent="0.2">
      <c r="C72" s="8" t="str">
        <v>Uruguay</v>
      </c>
      <c r="D72" s="56" t="str">
        <v>Latin America &amp; Caribbean</v>
      </c>
      <c r="E72" s="218">
        <f t="shared" si="27"/>
        <v>0.14075852269581329</v>
      </c>
      <c r="F72" s="148">
        <f t="shared" si="28"/>
        <v>8.7000000000000001E-4</v>
      </c>
      <c r="G72" s="225">
        <f t="shared" si="29"/>
        <v>2.1196600790513825E-7</v>
      </c>
      <c r="H72" s="42">
        <f t="shared" si="30"/>
        <v>1.7901613280673803E-5</v>
      </c>
      <c r="I72" s="42">
        <f t="shared" si="31"/>
        <v>8.5209838671932618E-4</v>
      </c>
      <c r="J72" s="226">
        <f t="shared" si="32"/>
        <v>3720.7768100229464</v>
      </c>
      <c r="K72" s="37">
        <f t="shared" si="15"/>
        <v>3.1704679171632333</v>
      </c>
      <c r="L72" s="29">
        <f t="shared" si="33"/>
        <v>4.6999999999999997E-5</v>
      </c>
      <c r="M72" s="227">
        <f t="shared" si="34"/>
        <v>1.6498577075098812E-7</v>
      </c>
      <c r="N72" s="41">
        <f t="shared" si="16"/>
        <v>1.3933892014043527E-5</v>
      </c>
      <c r="O72" s="41">
        <f t="shared" si="17"/>
        <v>3.3066107985956472E-5</v>
      </c>
      <c r="P72" s="226">
        <f t="shared" si="35"/>
        <v>12963.310491709037</v>
      </c>
      <c r="Q72" s="37">
        <f t="shared" si="18"/>
        <v>0.42864622457433349</v>
      </c>
      <c r="R72" s="29">
        <f t="shared" si="36"/>
        <v>6.9999999999999999E-6</v>
      </c>
      <c r="S72" s="225">
        <f t="shared" si="37"/>
        <v>3.1441897233201572E-8</v>
      </c>
      <c r="T72" s="42">
        <f t="shared" si="19"/>
        <v>2.6554290031794197E-6</v>
      </c>
      <c r="U72" s="42">
        <f t="shared" si="20"/>
        <v>4.3445709968205802E-6</v>
      </c>
      <c r="V72" s="226">
        <f t="shared" si="38"/>
        <v>249.01902424912316</v>
      </c>
      <c r="W72" s="37">
        <f t="shared" si="21"/>
        <v>1.0818808304093013E-3</v>
      </c>
      <c r="X72" s="29">
        <f t="shared" si="39"/>
        <v>3.9999999999999998E-6</v>
      </c>
      <c r="Y72" s="225">
        <f t="shared" si="40"/>
        <v>2.6449802371541498E-8</v>
      </c>
      <c r="Z72" s="42">
        <f t="shared" si="22"/>
        <v>2.2338210644486402E-6</v>
      </c>
      <c r="AA72" s="42">
        <f t="shared" si="23"/>
        <v>1.7661789355513596E-6</v>
      </c>
      <c r="AB72" s="226">
        <f t="shared" si="41"/>
        <v>32928.855288838313</v>
      </c>
      <c r="AC72" s="37">
        <f t="shared" si="24"/>
        <v>5.8158250582965212E-2</v>
      </c>
      <c r="AD72" s="84">
        <f t="shared" si="26"/>
        <v>3.6583542731509411</v>
      </c>
      <c r="AE72" s="84">
        <f t="shared" si="25"/>
        <v>3.6583542731509411</v>
      </c>
    </row>
    <row r="73" spans="3:31" x14ac:dyDescent="0.2">
      <c r="C73" s="8" t="str">
        <v>Venezuela, RB</v>
      </c>
      <c r="D73" s="56" t="str">
        <v>Latin America &amp; Caribbean</v>
      </c>
      <c r="E73" s="218">
        <f t="shared" si="27"/>
        <v>7.9045867296149375E-2</v>
      </c>
      <c r="F73" s="148">
        <f t="shared" si="28"/>
        <v>8.7000000000000001E-4</v>
      </c>
      <c r="G73" s="225">
        <f t="shared" si="29"/>
        <v>1.0161729270021265E-7</v>
      </c>
      <c r="H73" s="42">
        <f t="shared" si="30"/>
        <v>4.8194562202649868E-6</v>
      </c>
      <c r="I73" s="42">
        <f t="shared" si="31"/>
        <v>8.6518054377973501E-4</v>
      </c>
      <c r="J73" s="226">
        <f t="shared" si="32"/>
        <v>3792.5521043705617</v>
      </c>
      <c r="K73" s="37">
        <f t="shared" si="15"/>
        <v>3.2812422919723008</v>
      </c>
      <c r="L73" s="29">
        <f t="shared" si="33"/>
        <v>4.6999999999999997E-5</v>
      </c>
      <c r="M73" s="227">
        <f t="shared" si="34"/>
        <v>1.1628029766123317E-7</v>
      </c>
      <c r="N73" s="41">
        <f t="shared" si="16"/>
        <v>5.5148861868519517E-6</v>
      </c>
      <c r="O73" s="41">
        <f>IFERROR(L73-N73,"No value")</f>
        <v>4.1485113813148047E-5</v>
      </c>
      <c r="P73" s="226">
        <f t="shared" si="35"/>
        <v>13007.571409390974</v>
      </c>
      <c r="Q73" s="37">
        <f t="shared" si="18"/>
        <v>0.53962058035123506</v>
      </c>
      <c r="R73" s="29">
        <f t="shared" si="36"/>
        <v>6.9999999999999999E-6</v>
      </c>
      <c r="S73" s="225">
        <f t="shared" si="37"/>
        <v>4.8163713678242376E-9</v>
      </c>
      <c r="T73" s="42">
        <f t="shared" si="19"/>
        <v>2.2842855119400488E-7</v>
      </c>
      <c r="U73" s="42">
        <f t="shared" si="20"/>
        <v>6.7715714488059953E-6</v>
      </c>
      <c r="V73" s="226">
        <f t="shared" si="38"/>
        <v>251.51199937863015</v>
      </c>
      <c r="W73" s="37">
        <f t="shared" si="21"/>
        <v>1.7031314740244433E-3</v>
      </c>
      <c r="X73" s="29">
        <f t="shared" si="39"/>
        <v>3.9999999999999998E-6</v>
      </c>
      <c r="Y73" s="225">
        <f t="shared" si="40"/>
        <v>3.6193479801559182E-9</v>
      </c>
      <c r="Z73" s="42">
        <f t="shared" si="22"/>
        <v>1.716567000827946E-7</v>
      </c>
      <c r="AA73" s="42">
        <f t="shared" si="23"/>
        <v>3.8283432999172053E-6</v>
      </c>
      <c r="AB73" s="226">
        <f t="shared" si="41"/>
        <v>33175.144306152826</v>
      </c>
      <c r="AC73" s="37">
        <f t="shared" si="24"/>
        <v>0.12700584142824659</v>
      </c>
      <c r="AD73" s="84">
        <f t="shared" si="26"/>
        <v>3.9495718452258073</v>
      </c>
      <c r="AE73" s="84">
        <f t="shared" si="25"/>
        <v>3.9495718452258073</v>
      </c>
    </row>
    <row r="74" spans="3:31" x14ac:dyDescent="0.2">
      <c r="C74" s="8" t="str">
        <v>Viet Nam</v>
      </c>
      <c r="D74" s="56" t="str">
        <v>East Asia &amp; Pacific</v>
      </c>
      <c r="E74" s="218">
        <f t="shared" si="27"/>
        <v>0.15618668654572929</v>
      </c>
      <c r="F74" s="148">
        <f t="shared" si="28"/>
        <v>8.7000000000000001E-4</v>
      </c>
      <c r="G74" s="225">
        <f t="shared" si="29"/>
        <v>5.3974784214170311E-7</v>
      </c>
      <c r="H74" s="42">
        <f t="shared" si="30"/>
        <v>5.0580856220591972E-5</v>
      </c>
      <c r="I74" s="42">
        <f t="shared" si="31"/>
        <v>8.1941914377940803E-4</v>
      </c>
      <c r="J74" s="226">
        <f t="shared" si="32"/>
        <v>6286.9304276687417</v>
      </c>
      <c r="K74" s="37">
        <f t="shared" si="15"/>
        <v>5.1516311480410275</v>
      </c>
      <c r="L74" s="29">
        <f t="shared" si="33"/>
        <v>4.6999999999999997E-5</v>
      </c>
      <c r="M74" s="227">
        <f t="shared" si="34"/>
        <v>1.1491999676898221E-6</v>
      </c>
      <c r="N74" s="41">
        <f t="shared" si="16"/>
        <v>1.0769384107915949E-4</v>
      </c>
      <c r="O74" s="41">
        <f t="shared" si="17"/>
        <v>-6.0693841079159488E-5</v>
      </c>
      <c r="P74" s="226">
        <f t="shared" si="35"/>
        <v>21307.477800530069</v>
      </c>
      <c r="Q74" s="37">
        <f t="shared" si="18"/>
        <v>0</v>
      </c>
      <c r="R74" s="29">
        <f t="shared" si="36"/>
        <v>6.9999999999999999E-6</v>
      </c>
      <c r="S74" s="225">
        <f t="shared" si="37"/>
        <v>2.8620443111008538E-8</v>
      </c>
      <c r="T74" s="42">
        <f t="shared" si="19"/>
        <v>2.6820793061873804E-6</v>
      </c>
      <c r="U74" s="42">
        <f t="shared" si="20"/>
        <v>4.3179206938126199E-6</v>
      </c>
      <c r="V74" s="226">
        <f t="shared" si="38"/>
        <v>395.21114623348274</v>
      </c>
      <c r="W74" s="37">
        <f t="shared" si="21"/>
        <v>1.7064903867469606E-3</v>
      </c>
      <c r="X74" s="29">
        <f t="shared" si="39"/>
        <v>3.9999999999999998E-6</v>
      </c>
      <c r="Y74" s="225">
        <f t="shared" si="40"/>
        <v>1.3196302792522501E-8</v>
      </c>
      <c r="Z74" s="42">
        <f t="shared" si="22"/>
        <v>1.2366520846909464E-6</v>
      </c>
      <c r="AA74" s="42">
        <f t="shared" si="23"/>
        <v>2.7633479153090532E-6</v>
      </c>
      <c r="AB74" s="226">
        <f t="shared" si="41"/>
        <v>63466.399512581549</v>
      </c>
      <c r="AC74" s="37">
        <f t="shared" si="24"/>
        <v>0.17537974278526375</v>
      </c>
      <c r="AD74" s="84">
        <f t="shared" si="26"/>
        <v>5.3287173812130382</v>
      </c>
      <c r="AE74" s="84">
        <f t="shared" si="25"/>
        <v>5.3287173812130382</v>
      </c>
    </row>
  </sheetData>
  <mergeCells count="5">
    <mergeCell ref="F7:K7"/>
    <mergeCell ref="L7:Q7"/>
    <mergeCell ref="R7:W7"/>
    <mergeCell ref="X7:AC7"/>
    <mergeCell ref="B5:E6"/>
  </mergeCells>
  <hyperlinks>
    <hyperlink ref="D9" r:id="rId1" xr:uid="{3EC768E9-DC9E-4143-9C9B-B9B51A99CBFD}"/>
  </hyperlinks>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A176-2E0B-42E1-BDA3-6DEEA1164F33}">
  <sheetPr codeName="Sheet9">
    <tabColor theme="7" tint="-0.249977111117893"/>
  </sheetPr>
  <dimension ref="B2:W75"/>
  <sheetViews>
    <sheetView showGridLines="0" zoomScaleNormal="100" workbookViewId="0"/>
  </sheetViews>
  <sheetFormatPr baseColWidth="10" defaultColWidth="8.83203125" defaultRowHeight="15" x14ac:dyDescent="0.2"/>
  <cols>
    <col min="2" max="2" width="27.5" customWidth="1"/>
    <col min="3" max="3" width="26.5" customWidth="1"/>
    <col min="4" max="4" width="28.5" customWidth="1"/>
    <col min="5" max="5" width="26.1640625" customWidth="1"/>
    <col min="6" max="6" width="24.1640625" customWidth="1"/>
    <col min="7" max="7" width="20.1640625" customWidth="1"/>
    <col min="8" max="8" width="23.83203125" customWidth="1"/>
    <col min="9" max="9" width="29.1640625" customWidth="1"/>
    <col min="10" max="10" width="22.83203125" customWidth="1"/>
    <col min="11" max="11" width="24.83203125" customWidth="1"/>
    <col min="12" max="13" width="25.1640625" customWidth="1"/>
    <col min="14" max="14" width="22.1640625" customWidth="1"/>
    <col min="15" max="16" width="23.1640625" customWidth="1"/>
    <col min="17" max="17" width="19.83203125" customWidth="1"/>
    <col min="18" max="18" width="24.1640625" customWidth="1"/>
    <col min="19" max="19" width="23.1640625" customWidth="1"/>
    <col min="20" max="20" width="23.5" customWidth="1"/>
    <col min="21" max="21" width="24.1640625" customWidth="1"/>
    <col min="22" max="22" width="27.1640625" customWidth="1"/>
    <col min="23" max="23" width="24.83203125" customWidth="1"/>
  </cols>
  <sheetData>
    <row r="2" spans="2:23" ht="21" x14ac:dyDescent="0.25">
      <c r="B2" s="1" t="s">
        <v>822</v>
      </c>
      <c r="C2" s="1"/>
      <c r="D2" s="1"/>
    </row>
    <row r="3" spans="2:23" x14ac:dyDescent="0.2">
      <c r="E3" t="s">
        <v>711</v>
      </c>
      <c r="F3" s="79" t="s">
        <v>620</v>
      </c>
      <c r="G3" s="40">
        <f>'4. Inflation Calculations'!D30/'4. Inflation Calculations'!D28</f>
        <v>1.1250360000000001</v>
      </c>
      <c r="I3" s="62" t="s">
        <v>678</v>
      </c>
      <c r="J3" s="60">
        <f>Assump_CostNFCancer</f>
        <v>680139</v>
      </c>
      <c r="N3" s="62" t="s">
        <v>679</v>
      </c>
      <c r="O3" s="182">
        <f>Assump_CostIQ*'4. Inflation Calculations'!D30</f>
        <v>28066.856876445436</v>
      </c>
      <c r="S3" s="71" t="s">
        <v>681</v>
      </c>
      <c r="T3" s="40">
        <f>Assump_IQperkgHg</f>
        <v>0.8</v>
      </c>
    </row>
    <row r="4" spans="2:23" x14ac:dyDescent="0.2">
      <c r="B4" s="3" t="s">
        <v>594</v>
      </c>
      <c r="C4" s="3"/>
      <c r="D4" s="3"/>
      <c r="E4" s="180" t="b">
        <f>Assump_AdjustHealthIncome</f>
        <v>0</v>
      </c>
      <c r="F4" s="62" t="s">
        <v>627</v>
      </c>
      <c r="G4" s="60">
        <f>Assump_OECDVSL</f>
        <v>4873263</v>
      </c>
      <c r="I4" s="62" t="s">
        <v>427</v>
      </c>
      <c r="J4" s="60">
        <f>Assump_ProportionCancers</f>
        <v>0.5</v>
      </c>
      <c r="N4" s="71" t="s">
        <v>680</v>
      </c>
      <c r="O4" s="40">
        <f>Assump_IQperkgPb</f>
        <v>0.06</v>
      </c>
    </row>
    <row r="5" spans="2:23" ht="14.5" customHeight="1" x14ac:dyDescent="0.2">
      <c r="B5" s="360" t="s">
        <v>644</v>
      </c>
      <c r="C5" s="361"/>
      <c r="D5" s="361"/>
      <c r="E5" s="149"/>
      <c r="F5" s="63" t="s">
        <v>628</v>
      </c>
      <c r="G5" s="60">
        <f>Assump_OECDGNI</f>
        <v>54483</v>
      </c>
      <c r="I5" s="71" t="s">
        <v>659</v>
      </c>
      <c r="J5" s="40">
        <f>Assump_CancersperKG</f>
        <v>93</v>
      </c>
    </row>
    <row r="6" spans="2:23" x14ac:dyDescent="0.2">
      <c r="B6" s="361"/>
      <c r="C6" s="361"/>
      <c r="D6" s="361"/>
      <c r="E6" s="149"/>
      <c r="F6" s="62" t="s">
        <v>424</v>
      </c>
      <c r="G6" s="60">
        <f>Assump_HealthElasticity</f>
        <v>0.6</v>
      </c>
    </row>
    <row r="7" spans="2:23" x14ac:dyDescent="0.2">
      <c r="B7" s="361"/>
      <c r="C7" s="361"/>
      <c r="D7" s="361"/>
      <c r="E7" s="142"/>
      <c r="F7" s="62" t="s">
        <v>629</v>
      </c>
      <c r="G7" s="60">
        <f>Assump_USGNI</f>
        <v>80023</v>
      </c>
    </row>
    <row r="8" spans="2:23" ht="26.5" customHeight="1" x14ac:dyDescent="0.2">
      <c r="I8" s="358" t="s">
        <v>492</v>
      </c>
      <c r="J8" s="358"/>
      <c r="K8" s="358"/>
      <c r="L8" s="358"/>
      <c r="M8" s="358"/>
      <c r="N8" s="358"/>
      <c r="O8" s="359" t="s">
        <v>493</v>
      </c>
      <c r="P8" s="359"/>
      <c r="Q8" s="359"/>
      <c r="R8" s="359"/>
      <c r="S8" s="358" t="s">
        <v>494</v>
      </c>
      <c r="T8" s="358"/>
      <c r="U8" s="358"/>
    </row>
    <row r="9" spans="2:23" ht="32" x14ac:dyDescent="0.2">
      <c r="B9" s="193" t="s">
        <v>788</v>
      </c>
      <c r="C9" s="2" t="s">
        <v>0</v>
      </c>
      <c r="D9" s="2" t="s">
        <v>20</v>
      </c>
      <c r="E9" s="2" t="s">
        <v>675</v>
      </c>
      <c r="F9" s="2" t="s">
        <v>675</v>
      </c>
      <c r="G9" s="2" t="s">
        <v>423</v>
      </c>
      <c r="H9" s="43" t="s">
        <v>439</v>
      </c>
      <c r="I9" s="58" t="s">
        <v>425</v>
      </c>
      <c r="J9" s="59" t="s">
        <v>437</v>
      </c>
      <c r="K9" s="59" t="s">
        <v>438</v>
      </c>
      <c r="L9" s="150" t="s">
        <v>428</v>
      </c>
      <c r="M9" s="150" t="s">
        <v>712</v>
      </c>
      <c r="N9" s="59" t="s">
        <v>429</v>
      </c>
      <c r="O9" s="59" t="s">
        <v>430</v>
      </c>
      <c r="P9" s="59" t="s">
        <v>437</v>
      </c>
      <c r="Q9" s="96" t="s">
        <v>433</v>
      </c>
      <c r="R9" s="151" t="s">
        <v>434</v>
      </c>
      <c r="S9" s="152" t="s">
        <v>435</v>
      </c>
      <c r="T9" s="59" t="s">
        <v>437</v>
      </c>
      <c r="U9" s="151" t="s">
        <v>436</v>
      </c>
      <c r="V9" s="49" t="s">
        <v>555</v>
      </c>
      <c r="W9" s="49" t="s">
        <v>556</v>
      </c>
    </row>
    <row r="10" spans="2:23" x14ac:dyDescent="0.2">
      <c r="B10" s="193" t="s">
        <v>789</v>
      </c>
      <c r="C10" s="6"/>
      <c r="D10" s="11" t="s">
        <v>1</v>
      </c>
      <c r="E10" s="6" t="s">
        <v>1</v>
      </c>
      <c r="F10" s="6"/>
      <c r="G10" s="6"/>
      <c r="H10" s="6"/>
      <c r="I10" s="135" t="s">
        <v>269</v>
      </c>
      <c r="J10" s="6"/>
      <c r="K10" s="6"/>
      <c r="L10" s="6"/>
      <c r="M10" s="6"/>
      <c r="N10" s="6"/>
      <c r="O10" s="135" t="s">
        <v>269</v>
      </c>
      <c r="P10" s="6"/>
      <c r="Q10" s="45"/>
      <c r="R10" s="13"/>
      <c r="S10" s="135" t="s">
        <v>269</v>
      </c>
      <c r="T10" s="45"/>
      <c r="U10" s="50"/>
      <c r="V10" s="50"/>
      <c r="W10" s="50"/>
    </row>
    <row r="11" spans="2:23" x14ac:dyDescent="0.2">
      <c r="B11" s="193" t="s">
        <v>790</v>
      </c>
      <c r="C11" s="6">
        <v>2024</v>
      </c>
      <c r="D11" s="6">
        <v>2024</v>
      </c>
      <c r="E11" s="6">
        <v>2021</v>
      </c>
      <c r="F11" s="6">
        <v>2023</v>
      </c>
      <c r="G11" s="6">
        <v>2023</v>
      </c>
      <c r="H11" s="6"/>
      <c r="I11" s="6">
        <v>2023</v>
      </c>
      <c r="J11" s="6"/>
      <c r="K11" s="6"/>
      <c r="L11" s="6">
        <v>2023</v>
      </c>
      <c r="M11" s="104"/>
      <c r="N11" s="50">
        <v>2023</v>
      </c>
      <c r="O11" s="6">
        <v>2023</v>
      </c>
      <c r="P11" s="6"/>
      <c r="Q11" s="45"/>
      <c r="R11" s="50">
        <v>2023</v>
      </c>
      <c r="S11" s="6">
        <v>2023</v>
      </c>
      <c r="T11" s="45"/>
      <c r="U11" s="50">
        <v>2023</v>
      </c>
      <c r="V11" s="50">
        <v>2023</v>
      </c>
      <c r="W11" s="50">
        <v>2023</v>
      </c>
    </row>
    <row r="12" spans="2:23" ht="16" x14ac:dyDescent="0.2">
      <c r="B12" s="193" t="s">
        <v>791</v>
      </c>
      <c r="C12" s="6"/>
      <c r="D12" s="6"/>
      <c r="E12" s="6" t="s">
        <v>413</v>
      </c>
      <c r="F12" s="6" t="s">
        <v>390</v>
      </c>
      <c r="G12" s="6" t="s">
        <v>390</v>
      </c>
      <c r="H12" s="6"/>
      <c r="I12" s="12" t="s">
        <v>421</v>
      </c>
      <c r="J12" s="6" t="s">
        <v>426</v>
      </c>
      <c r="K12" s="6" t="s">
        <v>390</v>
      </c>
      <c r="L12" s="6" t="s">
        <v>390</v>
      </c>
      <c r="M12" s="6"/>
      <c r="N12" s="6" t="s">
        <v>391</v>
      </c>
      <c r="O12" s="12" t="s">
        <v>421</v>
      </c>
      <c r="P12" s="14" t="s">
        <v>431</v>
      </c>
      <c r="Q12" s="47" t="s">
        <v>390</v>
      </c>
      <c r="R12" s="48" t="s">
        <v>391</v>
      </c>
      <c r="S12" s="12" t="s">
        <v>421</v>
      </c>
      <c r="T12" s="47" t="s">
        <v>431</v>
      </c>
      <c r="U12" s="48" t="s">
        <v>391</v>
      </c>
      <c r="V12" s="48" t="s">
        <v>391</v>
      </c>
      <c r="W12" s="48" t="s">
        <v>391</v>
      </c>
    </row>
    <row r="13" spans="2:23" x14ac:dyDescent="0.2">
      <c r="B13" s="193" t="s">
        <v>792</v>
      </c>
      <c r="C13" s="7"/>
      <c r="D13" s="7"/>
      <c r="E13" s="7"/>
      <c r="F13" s="38"/>
      <c r="G13" s="38"/>
      <c r="H13" s="38"/>
      <c r="I13" s="38"/>
      <c r="J13" s="38"/>
      <c r="K13" s="38"/>
      <c r="L13" s="38"/>
      <c r="M13" s="38"/>
      <c r="N13" s="38"/>
      <c r="O13" s="38"/>
      <c r="P13" s="38"/>
      <c r="Q13" s="46"/>
      <c r="R13" s="46"/>
      <c r="S13" s="38"/>
      <c r="T13" s="46"/>
      <c r="U13" s="51"/>
      <c r="V13" s="51" t="s">
        <v>604</v>
      </c>
      <c r="W13" s="51" t="s">
        <v>605</v>
      </c>
    </row>
    <row r="14" spans="2:23" x14ac:dyDescent="0.2">
      <c r="C14" s="8" t="str" cm="1">
        <f t="array" ref="C14:C75">ModifiedCountries</f>
        <v>Argentina</v>
      </c>
      <c r="D14" s="8" t="str" cm="1">
        <f t="array" ref="D14:D75">ModifiedRegions</f>
        <v>Latin America &amp; Caribbean</v>
      </c>
      <c r="E14" s="229">
        <f t="shared" ref="E14:E45" si="0">INDEX(Input_GNIPPP,MATCH(C14,Input_countries,0))</f>
        <v>25560</v>
      </c>
      <c r="F14" s="81">
        <f t="shared" ref="F14:F45" si="1">IFERROR(E14*$G$3,"No value")</f>
        <v>28755.920160000005</v>
      </c>
      <c r="G14" s="82">
        <f t="shared" ref="G14:G45" si="2">IFERROR($G$4*(F14/$G$5)^$G$6,"No value")</f>
        <v>3321234.9817483183</v>
      </c>
      <c r="H14" s="83">
        <f>IFERROR((F14/$G$7)^$G$6,"No value")</f>
        <v>0.54113729233512875</v>
      </c>
      <c r="I14" s="225">
        <f t="shared" ref="I14:I45" si="3">INDEX(Input_DioxinEF,MATCH(C14,Input_countries,0))</f>
        <v>1.0000000000000001E-5</v>
      </c>
      <c r="J14" s="147">
        <f t="shared" ref="J14:J45" si="4">I14/Assump_gKg</f>
        <v>1E-8</v>
      </c>
      <c r="K14" s="86">
        <f>IFERROR(H14*$J$3,"No value")</f>
        <v>368048.57687152212</v>
      </c>
      <c r="L14" s="86">
        <f>IFERROR((G14*$J$4)+(K14*(1-$J$4)),"No value")</f>
        <v>1844641.7793099203</v>
      </c>
      <c r="M14" s="86">
        <f>($G$4*$J$4)+((1-$J$4)*$J$3)</f>
        <v>2776701</v>
      </c>
      <c r="N14" s="37">
        <f>IFERROR(IF($E$4=FALSE,M14*J14*$J$5,J14*$J$5*L14),"No value")</f>
        <v>2.5823319300000001</v>
      </c>
      <c r="O14" s="230">
        <f t="shared" ref="O14:O45" si="5">INDEX(Input_LeadEF,MATCH(C14,Input_countries,0))</f>
        <v>1.3</v>
      </c>
      <c r="P14" s="30">
        <f t="shared" ref="P14:P45" si="6">O14/Assump_gKg</f>
        <v>1.2999999999999999E-3</v>
      </c>
      <c r="Q14" s="86">
        <f>IFERROR(H14*($O$3*$G$5/$G$7),"No value")</f>
        <v>10340.640235171453</v>
      </c>
      <c r="R14" s="37">
        <f>IFERROR(IF($E$4=FALSE,(P14*$O$4*($O$3*$G$5/$G$7)),P14*$O$4*Q14),"No value")</f>
        <v>1.4905088778170197</v>
      </c>
      <c r="S14" s="208">
        <f t="shared" ref="S14:S45" si="7">INDEX(Input_MercuryEF,MATCH(C14,Input_countries,0))</f>
        <v>5.6000000000000001E-2</v>
      </c>
      <c r="T14" s="29">
        <f t="shared" ref="T14:T45" si="8">S14/Assump_gKg</f>
        <v>5.5999999999999999E-5</v>
      </c>
      <c r="U14" s="37">
        <f>IFERROR(IF($E$4=FALSE,(T14*$T$3*($O$3*$G$5/$G$7)),T14*$T$3*Q14),"No value")</f>
        <v>0.85608715033592941</v>
      </c>
      <c r="V14" s="84">
        <f t="shared" ref="V14:V45" si="9">IFERROR(N14+R14+U14,"No value")</f>
        <v>4.9289279581529488</v>
      </c>
      <c r="W14" s="84">
        <f t="shared" ref="W14:W45" si="10">IFERROR(N14+R14+U14,"No value")</f>
        <v>4.9289279581529488</v>
      </c>
    </row>
    <row r="15" spans="2:23" x14ac:dyDescent="0.2">
      <c r="C15" s="8" t="str">
        <v>Australia</v>
      </c>
      <c r="D15" s="8" t="str">
        <v>East Asia &amp; Pacific</v>
      </c>
      <c r="E15" s="229">
        <f t="shared" si="0"/>
        <v>56780</v>
      </c>
      <c r="F15" s="80">
        <f t="shared" si="1"/>
        <v>63879.544080000007</v>
      </c>
      <c r="G15" s="82">
        <f t="shared" si="2"/>
        <v>5361426.13221539</v>
      </c>
      <c r="H15" s="83">
        <f t="shared" ref="H15:H45" si="11">IFERROR((F15/$G$7)^$G$6,"No value")</f>
        <v>0.87355084364268443</v>
      </c>
      <c r="I15" s="225">
        <f t="shared" si="3"/>
        <v>1.0000000000000001E-5</v>
      </c>
      <c r="J15" s="147">
        <f t="shared" si="4"/>
        <v>1E-8</v>
      </c>
      <c r="K15" s="86">
        <f t="shared" ref="K15:K75" si="12">IFERROR(H15*$J$3,"No value")</f>
        <v>594135.99724429171</v>
      </c>
      <c r="L15" s="86">
        <f t="shared" ref="L15:L75" si="13">IFERROR((G15*$J$4)+(K15*(1-$J$4)),"No value")</f>
        <v>2977781.064729841</v>
      </c>
      <c r="M15" s="86">
        <f t="shared" ref="M15:M75" si="14">($G$4*$J$4)+((1-$J$4)*$J$3)</f>
        <v>2776701</v>
      </c>
      <c r="N15" s="37">
        <f t="shared" ref="N15:N75" si="15">IFERROR(IF($E$4=FALSE,M15*J15*$J$5,J15*$J$5*L15),"No value")</f>
        <v>2.5823319300000001</v>
      </c>
      <c r="O15" s="230">
        <f t="shared" si="5"/>
        <v>1.3</v>
      </c>
      <c r="P15" s="30">
        <f t="shared" si="6"/>
        <v>1.2999999999999999E-3</v>
      </c>
      <c r="Q15" s="86">
        <f t="shared" ref="Q15:Q75" si="16">IFERROR(H15*($O$3*$G$5/$G$7),"No value")</f>
        <v>16692.760098384209</v>
      </c>
      <c r="R15" s="37">
        <f t="shared" ref="R15:R75" si="17">IFERROR(IF($E$4=FALSE,(P15*$O$4*($O$3*$G$5/$G$7)),P15*$O$4*Q15),"No value")</f>
        <v>1.4905088778170197</v>
      </c>
      <c r="S15" s="208">
        <f t="shared" si="7"/>
        <v>5.6000000000000001E-2</v>
      </c>
      <c r="T15" s="29">
        <f t="shared" si="8"/>
        <v>5.5999999999999999E-5</v>
      </c>
      <c r="U15" s="37">
        <f t="shared" ref="U15:U75" si="18">IFERROR(IF($E$4=FALSE,(T15*$T$3*($O$3*$G$5/$G$7)),T15*$T$3*Q15),"No value")</f>
        <v>0.85608715033592941</v>
      </c>
      <c r="V15" s="84">
        <f t="shared" si="9"/>
        <v>4.9289279581529488</v>
      </c>
      <c r="W15" s="84">
        <f t="shared" si="10"/>
        <v>4.9289279581529488</v>
      </c>
    </row>
    <row r="16" spans="2:23" x14ac:dyDescent="0.2">
      <c r="C16" s="8" t="str">
        <v>Austria</v>
      </c>
      <c r="D16" s="8" t="str">
        <v>Europe &amp; Central Asia</v>
      </c>
      <c r="E16" s="229">
        <f t="shared" si="0"/>
        <v>64410</v>
      </c>
      <c r="F16" s="80">
        <f t="shared" si="1"/>
        <v>72463.568760000009</v>
      </c>
      <c r="G16" s="82">
        <f t="shared" si="2"/>
        <v>5782758.7363528032</v>
      </c>
      <c r="H16" s="83">
        <f t="shared" si="11"/>
        <v>0.94219964019829816</v>
      </c>
      <c r="I16" s="225">
        <f t="shared" si="3"/>
        <v>1.0000000000000001E-5</v>
      </c>
      <c r="J16" s="147">
        <f t="shared" si="4"/>
        <v>1E-8</v>
      </c>
      <c r="K16" s="57">
        <f t="shared" si="12"/>
        <v>640826.72108483035</v>
      </c>
      <c r="L16" s="57">
        <f t="shared" si="13"/>
        <v>3211792.7287188168</v>
      </c>
      <c r="M16" s="86">
        <f t="shared" si="14"/>
        <v>2776701</v>
      </c>
      <c r="N16" s="37">
        <f t="shared" si="15"/>
        <v>2.5823319300000001</v>
      </c>
      <c r="O16" s="230">
        <f t="shared" si="5"/>
        <v>1.3</v>
      </c>
      <c r="P16" s="30">
        <f t="shared" si="6"/>
        <v>1.2999999999999999E-3</v>
      </c>
      <c r="Q16" s="86">
        <f t="shared" si="16"/>
        <v>18004.576005020066</v>
      </c>
      <c r="R16" s="37">
        <f t="shared" si="17"/>
        <v>1.4905088778170197</v>
      </c>
      <c r="S16" s="208">
        <f t="shared" si="7"/>
        <v>5.6000000000000001E-2</v>
      </c>
      <c r="T16" s="29">
        <f t="shared" si="8"/>
        <v>5.5999999999999999E-5</v>
      </c>
      <c r="U16" s="37">
        <f t="shared" si="18"/>
        <v>0.85608715033592941</v>
      </c>
      <c r="V16" s="84">
        <f t="shared" si="9"/>
        <v>4.9289279581529488</v>
      </c>
      <c r="W16" s="84">
        <f t="shared" si="10"/>
        <v>4.9289279581529488</v>
      </c>
    </row>
    <row r="17" spans="3:23" x14ac:dyDescent="0.2">
      <c r="C17" s="8" t="str">
        <v>Bangladesh</v>
      </c>
      <c r="D17" s="8" t="str">
        <v>South Asia</v>
      </c>
      <c r="E17" s="229">
        <f t="shared" si="0"/>
        <v>7750</v>
      </c>
      <c r="F17" s="80">
        <f t="shared" si="1"/>
        <v>8719.0290000000005</v>
      </c>
      <c r="G17" s="82">
        <f t="shared" si="2"/>
        <v>1623095.6559394379</v>
      </c>
      <c r="H17" s="83">
        <f t="shared" si="11"/>
        <v>0.26445511783500053</v>
      </c>
      <c r="I17" s="225">
        <f t="shared" si="3"/>
        <v>1.0000000000000001E-5</v>
      </c>
      <c r="J17" s="147">
        <f t="shared" si="4"/>
        <v>1E-8</v>
      </c>
      <c r="K17" s="57">
        <f t="shared" si="12"/>
        <v>179866.23938917942</v>
      </c>
      <c r="L17" s="57">
        <f t="shared" si="13"/>
        <v>901480.94766430871</v>
      </c>
      <c r="M17" s="86">
        <f t="shared" si="14"/>
        <v>2776701</v>
      </c>
      <c r="N17" s="37">
        <f t="shared" si="15"/>
        <v>2.5823319300000001</v>
      </c>
      <c r="O17" s="230">
        <f t="shared" si="5"/>
        <v>1.3</v>
      </c>
      <c r="P17" s="30">
        <f t="shared" si="6"/>
        <v>1.2999999999999999E-3</v>
      </c>
      <c r="Q17" s="86">
        <f t="shared" si="16"/>
        <v>5053.4961656053119</v>
      </c>
      <c r="R17" s="37">
        <f t="shared" si="17"/>
        <v>1.4905088778170197</v>
      </c>
      <c r="S17" s="208">
        <f t="shared" si="7"/>
        <v>5.6000000000000001E-2</v>
      </c>
      <c r="T17" s="29">
        <f t="shared" si="8"/>
        <v>5.5999999999999999E-5</v>
      </c>
      <c r="U17" s="37">
        <f t="shared" si="18"/>
        <v>0.85608715033592941</v>
      </c>
      <c r="V17" s="84">
        <f t="shared" si="9"/>
        <v>4.9289279581529488</v>
      </c>
      <c r="W17" s="84">
        <f t="shared" si="10"/>
        <v>4.9289279581529488</v>
      </c>
    </row>
    <row r="18" spans="3:23" x14ac:dyDescent="0.2">
      <c r="C18" s="8" t="str">
        <v>Belgium</v>
      </c>
      <c r="D18" s="8" t="str">
        <v>Europe &amp; Central Asia</v>
      </c>
      <c r="E18" s="229">
        <f t="shared" si="0"/>
        <v>62770</v>
      </c>
      <c r="F18" s="80">
        <f t="shared" si="1"/>
        <v>70618.509720000016</v>
      </c>
      <c r="G18" s="82">
        <f t="shared" si="2"/>
        <v>5693959.4648464397</v>
      </c>
      <c r="H18" s="83">
        <f t="shared" si="11"/>
        <v>0.92773134825016568</v>
      </c>
      <c r="I18" s="225">
        <f t="shared" si="3"/>
        <v>1.0000000000000001E-5</v>
      </c>
      <c r="J18" s="147">
        <f t="shared" si="4"/>
        <v>1E-8</v>
      </c>
      <c r="K18" s="57">
        <f t="shared" si="12"/>
        <v>630986.27146751946</v>
      </c>
      <c r="L18" s="57">
        <f t="shared" si="13"/>
        <v>3162472.8681569798</v>
      </c>
      <c r="M18" s="86">
        <f t="shared" si="14"/>
        <v>2776701</v>
      </c>
      <c r="N18" s="37">
        <f t="shared" si="15"/>
        <v>2.5823319300000001</v>
      </c>
      <c r="O18" s="230">
        <f t="shared" si="5"/>
        <v>1.3</v>
      </c>
      <c r="P18" s="30">
        <f t="shared" si="6"/>
        <v>1.2999999999999999E-3</v>
      </c>
      <c r="Q18" s="86">
        <f t="shared" si="16"/>
        <v>17728.10013841058</v>
      </c>
      <c r="R18" s="37">
        <f t="shared" si="17"/>
        <v>1.4905088778170197</v>
      </c>
      <c r="S18" s="208">
        <f t="shared" si="7"/>
        <v>5.6000000000000001E-2</v>
      </c>
      <c r="T18" s="29">
        <f t="shared" si="8"/>
        <v>5.5999999999999999E-5</v>
      </c>
      <c r="U18" s="37">
        <f t="shared" si="18"/>
        <v>0.85608715033592941</v>
      </c>
      <c r="V18" s="84">
        <f t="shared" si="9"/>
        <v>4.9289279581529488</v>
      </c>
      <c r="W18" s="84">
        <f t="shared" si="10"/>
        <v>4.9289279581529488</v>
      </c>
    </row>
    <row r="19" spans="3:23" x14ac:dyDescent="0.2">
      <c r="C19" s="8" t="str">
        <v>Bolivia</v>
      </c>
      <c r="D19" s="8" t="str">
        <v>Latin America &amp; Caribbean</v>
      </c>
      <c r="E19" s="229">
        <f t="shared" si="0"/>
        <v>9110</v>
      </c>
      <c r="F19" s="80">
        <f t="shared" si="1"/>
        <v>10249.077960000001</v>
      </c>
      <c r="G19" s="82">
        <f t="shared" si="2"/>
        <v>1788438.951587003</v>
      </c>
      <c r="H19" s="83">
        <f t="shared" si="11"/>
        <v>0.29139492299909958</v>
      </c>
      <c r="I19" s="225">
        <f t="shared" si="3"/>
        <v>1.0000000000000001E-5</v>
      </c>
      <c r="J19" s="147">
        <f t="shared" si="4"/>
        <v>1E-8</v>
      </c>
      <c r="K19" s="57">
        <f t="shared" si="12"/>
        <v>198189.0515336846</v>
      </c>
      <c r="L19" s="57">
        <f t="shared" si="13"/>
        <v>993314.00156034378</v>
      </c>
      <c r="M19" s="86">
        <f t="shared" si="14"/>
        <v>2776701</v>
      </c>
      <c r="N19" s="37">
        <f t="shared" si="15"/>
        <v>2.5823319300000001</v>
      </c>
      <c r="O19" s="230">
        <f t="shared" si="5"/>
        <v>1.3</v>
      </c>
      <c r="P19" s="30">
        <f t="shared" si="6"/>
        <v>1.2999999999999999E-3</v>
      </c>
      <c r="Q19" s="86">
        <f t="shared" si="16"/>
        <v>5568.291277961087</v>
      </c>
      <c r="R19" s="37">
        <f t="shared" si="17"/>
        <v>1.4905088778170197</v>
      </c>
      <c r="S19" s="208">
        <f t="shared" si="7"/>
        <v>5.6000000000000001E-2</v>
      </c>
      <c r="T19" s="29">
        <f t="shared" si="8"/>
        <v>5.5999999999999999E-5</v>
      </c>
      <c r="U19" s="37">
        <f t="shared" si="18"/>
        <v>0.85608715033592941</v>
      </c>
      <c r="V19" s="84">
        <f t="shared" si="9"/>
        <v>4.9289279581529488</v>
      </c>
      <c r="W19" s="84">
        <f t="shared" si="10"/>
        <v>4.9289279581529488</v>
      </c>
    </row>
    <row r="20" spans="3:23" x14ac:dyDescent="0.2">
      <c r="C20" s="8" t="str">
        <v>Brazil</v>
      </c>
      <c r="D20" s="8" t="str">
        <v>Latin America &amp; Caribbean</v>
      </c>
      <c r="E20" s="229">
        <f t="shared" si="0"/>
        <v>17120</v>
      </c>
      <c r="F20" s="80">
        <f t="shared" si="1"/>
        <v>19260.616320000001</v>
      </c>
      <c r="G20" s="82">
        <f t="shared" si="2"/>
        <v>2611351.5980063197</v>
      </c>
      <c r="H20" s="83">
        <f t="shared" si="11"/>
        <v>0.42547418079291921</v>
      </c>
      <c r="I20" s="225">
        <f t="shared" si="3"/>
        <v>1.0000000000000001E-5</v>
      </c>
      <c r="J20" s="147">
        <f t="shared" si="4"/>
        <v>1E-8</v>
      </c>
      <c r="K20" s="57">
        <f t="shared" si="12"/>
        <v>289381.58385031531</v>
      </c>
      <c r="L20" s="57">
        <f t="shared" si="13"/>
        <v>1450366.5909283175</v>
      </c>
      <c r="M20" s="86">
        <f t="shared" si="14"/>
        <v>2776701</v>
      </c>
      <c r="N20" s="37">
        <f t="shared" si="15"/>
        <v>2.5823319300000001</v>
      </c>
      <c r="O20" s="230">
        <f t="shared" si="5"/>
        <v>1.3</v>
      </c>
      <c r="P20" s="30">
        <f t="shared" si="6"/>
        <v>1.2999999999999999E-3</v>
      </c>
      <c r="Q20" s="86">
        <f t="shared" si="16"/>
        <v>8130.4236378688438</v>
      </c>
      <c r="R20" s="37">
        <f t="shared" si="17"/>
        <v>1.4905088778170197</v>
      </c>
      <c r="S20" s="208">
        <f t="shared" si="7"/>
        <v>5.6000000000000001E-2</v>
      </c>
      <c r="T20" s="29">
        <f t="shared" si="8"/>
        <v>5.5999999999999999E-5</v>
      </c>
      <c r="U20" s="37">
        <f t="shared" si="18"/>
        <v>0.85608715033592941</v>
      </c>
      <c r="V20" s="84">
        <f t="shared" si="9"/>
        <v>4.9289279581529488</v>
      </c>
      <c r="W20" s="84">
        <f t="shared" si="10"/>
        <v>4.9289279581529488</v>
      </c>
    </row>
    <row r="21" spans="3:23" x14ac:dyDescent="0.2">
      <c r="C21" s="8" t="str">
        <v>Bulgaria</v>
      </c>
      <c r="D21" s="8" t="str">
        <v>Europe &amp; Central Asia</v>
      </c>
      <c r="E21" s="229">
        <f t="shared" si="0"/>
        <v>28240</v>
      </c>
      <c r="F21" s="80">
        <f t="shared" si="1"/>
        <v>31771.016640000005</v>
      </c>
      <c r="G21" s="82">
        <f t="shared" si="2"/>
        <v>3525996.7635147693</v>
      </c>
      <c r="H21" s="83">
        <f t="shared" si="11"/>
        <v>0.57449965205003395</v>
      </c>
      <c r="I21" s="225">
        <f t="shared" si="3"/>
        <v>1.0000000000000001E-5</v>
      </c>
      <c r="J21" s="147">
        <f t="shared" si="4"/>
        <v>1E-8</v>
      </c>
      <c r="K21" s="57">
        <f t="shared" si="12"/>
        <v>390739.61884565803</v>
      </c>
      <c r="L21" s="57">
        <f t="shared" si="13"/>
        <v>1958368.1911802136</v>
      </c>
      <c r="M21" s="86">
        <f t="shared" si="14"/>
        <v>2776701</v>
      </c>
      <c r="N21" s="37">
        <f t="shared" si="15"/>
        <v>2.5823319300000001</v>
      </c>
      <c r="O21" s="230">
        <f t="shared" si="5"/>
        <v>1.3</v>
      </c>
      <c r="P21" s="30">
        <f t="shared" si="6"/>
        <v>1.2999999999999999E-3</v>
      </c>
      <c r="Q21" s="86">
        <f t="shared" si="16"/>
        <v>10978.164508761081</v>
      </c>
      <c r="R21" s="37">
        <f t="shared" si="17"/>
        <v>1.4905088778170197</v>
      </c>
      <c r="S21" s="208">
        <f t="shared" si="7"/>
        <v>5.6000000000000001E-2</v>
      </c>
      <c r="T21" s="29">
        <f t="shared" si="8"/>
        <v>5.5999999999999999E-5</v>
      </c>
      <c r="U21" s="37">
        <f t="shared" si="18"/>
        <v>0.85608715033592941</v>
      </c>
      <c r="V21" s="84">
        <f t="shared" si="9"/>
        <v>4.9289279581529488</v>
      </c>
      <c r="W21" s="84">
        <f t="shared" si="10"/>
        <v>4.9289279581529488</v>
      </c>
    </row>
    <row r="22" spans="3:23" x14ac:dyDescent="0.2">
      <c r="C22" s="8" t="str">
        <v>Canada</v>
      </c>
      <c r="D22" s="8" t="str">
        <v>North America</v>
      </c>
      <c r="E22" s="229">
        <f t="shared" si="0"/>
        <v>55300</v>
      </c>
      <c r="F22" s="80">
        <f t="shared" si="1"/>
        <v>62214.490800000007</v>
      </c>
      <c r="G22" s="82">
        <f t="shared" si="2"/>
        <v>5277134.6137771113</v>
      </c>
      <c r="H22" s="83">
        <f t="shared" si="11"/>
        <v>0.85981701140703337</v>
      </c>
      <c r="I22" s="225">
        <f t="shared" si="3"/>
        <v>1.0000000000000001E-5</v>
      </c>
      <c r="J22" s="147">
        <f t="shared" si="4"/>
        <v>1E-8</v>
      </c>
      <c r="K22" s="57">
        <f t="shared" si="12"/>
        <v>584795.08232136827</v>
      </c>
      <c r="L22" s="57">
        <f t="shared" si="13"/>
        <v>2930964.8480492397</v>
      </c>
      <c r="M22" s="86">
        <f t="shared" si="14"/>
        <v>2776701</v>
      </c>
      <c r="N22" s="37">
        <f t="shared" si="15"/>
        <v>2.5823319300000001</v>
      </c>
      <c r="O22" s="230">
        <f t="shared" si="5"/>
        <v>1.3</v>
      </c>
      <c r="P22" s="30">
        <f t="shared" si="6"/>
        <v>1.2999999999999999E-3</v>
      </c>
      <c r="Q22" s="86">
        <f t="shared" si="16"/>
        <v>16430.319087183088</v>
      </c>
      <c r="R22" s="37">
        <f t="shared" si="17"/>
        <v>1.4905088778170197</v>
      </c>
      <c r="S22" s="208">
        <f t="shared" si="7"/>
        <v>5.6000000000000001E-2</v>
      </c>
      <c r="T22" s="29">
        <f t="shared" si="8"/>
        <v>5.5999999999999999E-5</v>
      </c>
      <c r="U22" s="37">
        <f t="shared" si="18"/>
        <v>0.85608715033592941</v>
      </c>
      <c r="V22" s="84">
        <f t="shared" si="9"/>
        <v>4.9289279581529488</v>
      </c>
      <c r="W22" s="84">
        <f t="shared" si="10"/>
        <v>4.9289279581529488</v>
      </c>
    </row>
    <row r="23" spans="3:23" x14ac:dyDescent="0.2">
      <c r="C23" s="8" t="str">
        <v>Chile</v>
      </c>
      <c r="D23" s="8" t="str">
        <v>Latin America &amp; Caribbean</v>
      </c>
      <c r="E23" s="229">
        <f t="shared" si="0"/>
        <v>27410</v>
      </c>
      <c r="F23" s="80">
        <f t="shared" si="1"/>
        <v>30837.236760000003</v>
      </c>
      <c r="G23" s="82">
        <f t="shared" si="2"/>
        <v>3463446.7533121686</v>
      </c>
      <c r="H23" s="83">
        <f t="shared" si="11"/>
        <v>0.56430821924188246</v>
      </c>
      <c r="I23" s="225">
        <f t="shared" si="3"/>
        <v>1.0000000000000001E-5</v>
      </c>
      <c r="J23" s="147">
        <f t="shared" si="4"/>
        <v>1E-8</v>
      </c>
      <c r="K23" s="57">
        <f t="shared" si="12"/>
        <v>383808.02792695467</v>
      </c>
      <c r="L23" s="57">
        <f t="shared" si="13"/>
        <v>1923627.3906195615</v>
      </c>
      <c r="M23" s="86">
        <f t="shared" si="14"/>
        <v>2776701</v>
      </c>
      <c r="N23" s="37">
        <f t="shared" si="15"/>
        <v>2.5823319300000001</v>
      </c>
      <c r="O23" s="230">
        <f t="shared" si="5"/>
        <v>1.3</v>
      </c>
      <c r="P23" s="30">
        <f t="shared" si="6"/>
        <v>1.2999999999999999E-3</v>
      </c>
      <c r="Q23" s="86">
        <f t="shared" si="16"/>
        <v>10783.415520578705</v>
      </c>
      <c r="R23" s="37">
        <f t="shared" si="17"/>
        <v>1.4905088778170197</v>
      </c>
      <c r="S23" s="208">
        <f t="shared" si="7"/>
        <v>5.6000000000000001E-2</v>
      </c>
      <c r="T23" s="29">
        <f t="shared" si="8"/>
        <v>5.5999999999999999E-5</v>
      </c>
      <c r="U23" s="37">
        <f t="shared" si="18"/>
        <v>0.85608715033592941</v>
      </c>
      <c r="V23" s="84">
        <f t="shared" si="9"/>
        <v>4.9289279581529488</v>
      </c>
      <c r="W23" s="84">
        <f t="shared" si="10"/>
        <v>4.9289279581529488</v>
      </c>
    </row>
    <row r="24" spans="3:23" x14ac:dyDescent="0.2">
      <c r="C24" s="8" t="str">
        <v>China</v>
      </c>
      <c r="D24" s="8" t="str">
        <v>East Asia &amp; Pacific</v>
      </c>
      <c r="E24" s="229">
        <f t="shared" si="0"/>
        <v>20260</v>
      </c>
      <c r="F24" s="80">
        <f t="shared" si="1"/>
        <v>22793.229360000001</v>
      </c>
      <c r="G24" s="82">
        <f t="shared" si="2"/>
        <v>2888994.7891645492</v>
      </c>
      <c r="H24" s="83">
        <f t="shared" si="11"/>
        <v>0.47071129455460792</v>
      </c>
      <c r="I24" s="225">
        <f t="shared" si="3"/>
        <v>1.0000000000000001E-5</v>
      </c>
      <c r="J24" s="147">
        <f t="shared" si="4"/>
        <v>1E-8</v>
      </c>
      <c r="K24" s="57">
        <f t="shared" si="12"/>
        <v>320149.10916707647</v>
      </c>
      <c r="L24" s="57">
        <f t="shared" si="13"/>
        <v>1604571.9491658129</v>
      </c>
      <c r="M24" s="86">
        <f t="shared" si="14"/>
        <v>2776701</v>
      </c>
      <c r="N24" s="37">
        <f t="shared" si="15"/>
        <v>2.5823319300000001</v>
      </c>
      <c r="O24" s="230">
        <f t="shared" si="5"/>
        <v>1.3</v>
      </c>
      <c r="P24" s="30">
        <f t="shared" si="6"/>
        <v>1.2999999999999999E-3</v>
      </c>
      <c r="Q24" s="86">
        <f t="shared" si="16"/>
        <v>8994.8636336203235</v>
      </c>
      <c r="R24" s="37">
        <f t="shared" si="17"/>
        <v>1.4905088778170197</v>
      </c>
      <c r="S24" s="208">
        <f t="shared" si="7"/>
        <v>5.6000000000000001E-2</v>
      </c>
      <c r="T24" s="29">
        <f t="shared" si="8"/>
        <v>5.5999999999999999E-5</v>
      </c>
      <c r="U24" s="37">
        <f t="shared" si="18"/>
        <v>0.85608715033592941</v>
      </c>
      <c r="V24" s="84">
        <f t="shared" si="9"/>
        <v>4.9289279581529488</v>
      </c>
      <c r="W24" s="84">
        <f t="shared" si="10"/>
        <v>4.9289279581529488</v>
      </c>
    </row>
    <row r="25" spans="3:23" x14ac:dyDescent="0.2">
      <c r="C25" s="8" t="str">
        <v>Colombia</v>
      </c>
      <c r="D25" s="8" t="str">
        <v>Latin America &amp; Caribbean</v>
      </c>
      <c r="E25" s="229">
        <f t="shared" si="0"/>
        <v>17310</v>
      </c>
      <c r="F25" s="80">
        <f t="shared" si="1"/>
        <v>19474.373160000003</v>
      </c>
      <c r="G25" s="82">
        <f t="shared" si="2"/>
        <v>2628701.8732510828</v>
      </c>
      <c r="H25" s="83">
        <f t="shared" si="11"/>
        <v>0.42830110542150357</v>
      </c>
      <c r="I25" s="225">
        <f t="shared" si="3"/>
        <v>1.0000000000000001E-5</v>
      </c>
      <c r="J25" s="147">
        <f t="shared" si="4"/>
        <v>1E-8</v>
      </c>
      <c r="K25" s="57">
        <f t="shared" si="12"/>
        <v>291304.28554027603</v>
      </c>
      <c r="L25" s="57">
        <f t="shared" si="13"/>
        <v>1460003.0793956795</v>
      </c>
      <c r="M25" s="86">
        <f t="shared" si="14"/>
        <v>2776701</v>
      </c>
      <c r="N25" s="37">
        <f t="shared" si="15"/>
        <v>2.5823319300000001</v>
      </c>
      <c r="O25" s="230">
        <f t="shared" si="5"/>
        <v>1.3</v>
      </c>
      <c r="P25" s="30">
        <f t="shared" si="6"/>
        <v>1.2999999999999999E-3</v>
      </c>
      <c r="Q25" s="86">
        <f t="shared" si="16"/>
        <v>8184.4435898665943</v>
      </c>
      <c r="R25" s="37">
        <f t="shared" si="17"/>
        <v>1.4905088778170197</v>
      </c>
      <c r="S25" s="208">
        <f t="shared" si="7"/>
        <v>5.6000000000000001E-2</v>
      </c>
      <c r="T25" s="29">
        <f t="shared" si="8"/>
        <v>5.5999999999999999E-5</v>
      </c>
      <c r="U25" s="37">
        <f t="shared" si="18"/>
        <v>0.85608715033592941</v>
      </c>
      <c r="V25" s="84">
        <f t="shared" si="9"/>
        <v>4.9289279581529488</v>
      </c>
      <c r="W25" s="84">
        <f t="shared" si="10"/>
        <v>4.9289279581529488</v>
      </c>
    </row>
    <row r="26" spans="3:23" x14ac:dyDescent="0.2">
      <c r="C26" s="8" t="str">
        <v>Costa Rica</v>
      </c>
      <c r="D26" s="8" t="str">
        <v>Latin America &amp; Caribbean</v>
      </c>
      <c r="E26" s="229">
        <f t="shared" si="0"/>
        <v>22150</v>
      </c>
      <c r="F26" s="80">
        <f t="shared" si="1"/>
        <v>24919.547400000003</v>
      </c>
      <c r="G26" s="82">
        <f t="shared" si="2"/>
        <v>3047806.0880775638</v>
      </c>
      <c r="H26" s="83">
        <f t="shared" si="11"/>
        <v>0.49658682481918881</v>
      </c>
      <c r="I26" s="225">
        <f t="shared" si="3"/>
        <v>1.0000000000000001E-5</v>
      </c>
      <c r="J26" s="147">
        <f t="shared" si="4"/>
        <v>1E-8</v>
      </c>
      <c r="K26" s="57">
        <f t="shared" si="12"/>
        <v>337748.06644569826</v>
      </c>
      <c r="L26" s="57">
        <f t="shared" si="13"/>
        <v>1692777.0772616309</v>
      </c>
      <c r="M26" s="86">
        <f t="shared" si="14"/>
        <v>2776701</v>
      </c>
      <c r="N26" s="37">
        <f t="shared" si="15"/>
        <v>2.5823319300000001</v>
      </c>
      <c r="O26" s="230">
        <f t="shared" si="5"/>
        <v>1.3</v>
      </c>
      <c r="P26" s="30">
        <f t="shared" si="6"/>
        <v>1.2999999999999999E-3</v>
      </c>
      <c r="Q26" s="86">
        <f t="shared" si="16"/>
        <v>9489.3214230764879</v>
      </c>
      <c r="R26" s="37">
        <f>IFERROR(IF($E$4=FALSE,(P26*$O$4*($O$3*$G$5/$G$7)),P26*$O$4*Q26),"No value")</f>
        <v>1.4905088778170197</v>
      </c>
      <c r="S26" s="208">
        <f t="shared" si="7"/>
        <v>5.6000000000000001E-2</v>
      </c>
      <c r="T26" s="29">
        <f t="shared" si="8"/>
        <v>5.5999999999999999E-5</v>
      </c>
      <c r="U26" s="37">
        <f t="shared" si="18"/>
        <v>0.85608715033592941</v>
      </c>
      <c r="V26" s="84">
        <f t="shared" si="9"/>
        <v>4.9289279581529488</v>
      </c>
      <c r="W26" s="84">
        <f t="shared" si="10"/>
        <v>4.9289279581529488</v>
      </c>
    </row>
    <row r="27" spans="3:23" x14ac:dyDescent="0.2">
      <c r="C27" s="8" t="str">
        <v>Czechia</v>
      </c>
      <c r="D27" s="8" t="str">
        <v>Europe &amp; Central Asia</v>
      </c>
      <c r="E27" s="229">
        <f t="shared" si="0"/>
        <v>46440</v>
      </c>
      <c r="F27" s="80">
        <f t="shared" si="1"/>
        <v>52246.67184000001</v>
      </c>
      <c r="G27" s="82">
        <f t="shared" si="2"/>
        <v>4752240.6024466893</v>
      </c>
      <c r="H27" s="83">
        <f t="shared" si="11"/>
        <v>0.77429469045859234</v>
      </c>
      <c r="I27" s="225">
        <f t="shared" si="3"/>
        <v>1.0000000000000001E-5</v>
      </c>
      <c r="J27" s="147">
        <f t="shared" si="4"/>
        <v>1E-8</v>
      </c>
      <c r="K27" s="57">
        <f t="shared" si="12"/>
        <v>526628.01647381659</v>
      </c>
      <c r="L27" s="57">
        <f t="shared" si="13"/>
        <v>2639434.309460253</v>
      </c>
      <c r="M27" s="86">
        <f t="shared" si="14"/>
        <v>2776701</v>
      </c>
      <c r="N27" s="37">
        <f t="shared" si="15"/>
        <v>2.5823319300000001</v>
      </c>
      <c r="O27" s="230">
        <f t="shared" si="5"/>
        <v>1.3</v>
      </c>
      <c r="P27" s="30">
        <f t="shared" si="6"/>
        <v>1.2999999999999999E-3</v>
      </c>
      <c r="Q27" s="86">
        <f t="shared" si="16"/>
        <v>14796.065515065553</v>
      </c>
      <c r="R27" s="37">
        <f t="shared" si="17"/>
        <v>1.4905088778170197</v>
      </c>
      <c r="S27" s="208">
        <f t="shared" si="7"/>
        <v>5.6000000000000001E-2</v>
      </c>
      <c r="T27" s="29">
        <f t="shared" si="8"/>
        <v>5.5999999999999999E-5</v>
      </c>
      <c r="U27" s="37">
        <f t="shared" si="18"/>
        <v>0.85608715033592941</v>
      </c>
      <c r="V27" s="84">
        <f t="shared" si="9"/>
        <v>4.9289279581529488</v>
      </c>
      <c r="W27" s="84">
        <f t="shared" si="10"/>
        <v>4.9289279581529488</v>
      </c>
    </row>
    <row r="28" spans="3:23" x14ac:dyDescent="0.2">
      <c r="C28" s="8" t="str">
        <v>Denmark</v>
      </c>
      <c r="D28" s="8" t="str">
        <v>Europe &amp; Central Asia</v>
      </c>
      <c r="E28" s="229">
        <f t="shared" si="0"/>
        <v>72640</v>
      </c>
      <c r="F28" s="80">
        <f t="shared" si="1"/>
        <v>81722.615040000004</v>
      </c>
      <c r="G28" s="82">
        <f t="shared" si="2"/>
        <v>6215393.0124936067</v>
      </c>
      <c r="H28" s="83">
        <f t="shared" si="11"/>
        <v>1.0126898470185826</v>
      </c>
      <c r="I28" s="225">
        <f t="shared" si="3"/>
        <v>1.0000000000000001E-5</v>
      </c>
      <c r="J28" s="147">
        <f t="shared" si="4"/>
        <v>1E-8</v>
      </c>
      <c r="K28" s="57">
        <f t="shared" si="12"/>
        <v>688769.85986137169</v>
      </c>
      <c r="L28" s="57">
        <f t="shared" si="13"/>
        <v>3452081.4361774893</v>
      </c>
      <c r="M28" s="86">
        <f t="shared" si="14"/>
        <v>2776701</v>
      </c>
      <c r="N28" s="37">
        <f t="shared" si="15"/>
        <v>2.5823319300000001</v>
      </c>
      <c r="O28" s="230">
        <f t="shared" si="5"/>
        <v>1.3</v>
      </c>
      <c r="P28" s="30">
        <f t="shared" si="6"/>
        <v>1.2999999999999999E-3</v>
      </c>
      <c r="Q28" s="86">
        <f t="shared" si="16"/>
        <v>19351.579582773807</v>
      </c>
      <c r="R28" s="37">
        <f t="shared" si="17"/>
        <v>1.4905088778170197</v>
      </c>
      <c r="S28" s="208">
        <f t="shared" si="7"/>
        <v>5.6000000000000001E-2</v>
      </c>
      <c r="T28" s="29">
        <f t="shared" si="8"/>
        <v>5.5999999999999999E-5</v>
      </c>
      <c r="U28" s="37">
        <f t="shared" si="18"/>
        <v>0.85608715033592941</v>
      </c>
      <c r="V28" s="84">
        <f t="shared" si="9"/>
        <v>4.9289279581529488</v>
      </c>
      <c r="W28" s="84">
        <f t="shared" si="10"/>
        <v>4.9289279581529488</v>
      </c>
    </row>
    <row r="29" spans="3:23" x14ac:dyDescent="0.2">
      <c r="C29" s="8" t="str">
        <v>Dominican Republic</v>
      </c>
      <c r="D29" s="8" t="str">
        <v>Latin America &amp; Caribbean</v>
      </c>
      <c r="E29" s="229">
        <f t="shared" si="0"/>
        <v>20830</v>
      </c>
      <c r="F29" s="80">
        <f t="shared" si="1"/>
        <v>23434.499880000003</v>
      </c>
      <c r="G29" s="82">
        <f t="shared" si="2"/>
        <v>2937491.7521056584</v>
      </c>
      <c r="H29" s="83">
        <f t="shared" si="11"/>
        <v>0.47861302850497539</v>
      </c>
      <c r="I29" s="225">
        <f t="shared" si="3"/>
        <v>1.0000000000000001E-5</v>
      </c>
      <c r="J29" s="147">
        <f t="shared" si="4"/>
        <v>1E-8</v>
      </c>
      <c r="K29" s="57">
        <f t="shared" si="12"/>
        <v>325523.38659434544</v>
      </c>
      <c r="L29" s="57">
        <f t="shared" si="13"/>
        <v>1631507.5693500019</v>
      </c>
      <c r="M29" s="86">
        <f t="shared" si="14"/>
        <v>2776701</v>
      </c>
      <c r="N29" s="37">
        <f t="shared" si="15"/>
        <v>2.5823319300000001</v>
      </c>
      <c r="O29" s="230">
        <f t="shared" si="5"/>
        <v>1.3</v>
      </c>
      <c r="P29" s="30">
        <f t="shared" si="6"/>
        <v>1.2999999999999999E-3</v>
      </c>
      <c r="Q29" s="86">
        <f t="shared" si="16"/>
        <v>9145.8585644302075</v>
      </c>
      <c r="R29" s="37">
        <f t="shared" si="17"/>
        <v>1.4905088778170197</v>
      </c>
      <c r="S29" s="208">
        <f t="shared" si="7"/>
        <v>5.6000000000000001E-2</v>
      </c>
      <c r="T29" s="29">
        <f t="shared" si="8"/>
        <v>5.5999999999999999E-5</v>
      </c>
      <c r="U29" s="37">
        <f t="shared" si="18"/>
        <v>0.85608715033592941</v>
      </c>
      <c r="V29" s="84">
        <f t="shared" si="9"/>
        <v>4.9289279581529488</v>
      </c>
      <c r="W29" s="84">
        <f t="shared" si="10"/>
        <v>4.9289279581529488</v>
      </c>
    </row>
    <row r="30" spans="3:23" x14ac:dyDescent="0.2">
      <c r="C30" s="8" t="str">
        <v>Ecuador</v>
      </c>
      <c r="D30" s="8" t="str">
        <v>Latin America &amp; Caribbean</v>
      </c>
      <c r="E30" s="229">
        <f t="shared" si="0"/>
        <v>13240</v>
      </c>
      <c r="F30" s="80">
        <f t="shared" si="1"/>
        <v>14895.476640000003</v>
      </c>
      <c r="G30" s="82">
        <f t="shared" si="2"/>
        <v>2238184.5059178756</v>
      </c>
      <c r="H30" s="83">
        <f t="shared" si="11"/>
        <v>0.36467311404785718</v>
      </c>
      <c r="I30" s="225">
        <f t="shared" si="3"/>
        <v>1.0000000000000001E-5</v>
      </c>
      <c r="J30" s="147">
        <f t="shared" si="4"/>
        <v>1E-8</v>
      </c>
      <c r="K30" s="57">
        <f t="shared" si="12"/>
        <v>248028.40711539553</v>
      </c>
      <c r="L30" s="57">
        <f t="shared" si="13"/>
        <v>1243106.4565166356</v>
      </c>
      <c r="M30" s="86">
        <f t="shared" si="14"/>
        <v>2776701</v>
      </c>
      <c r="N30" s="37">
        <f t="shared" si="15"/>
        <v>2.5823319300000001</v>
      </c>
      <c r="O30" s="230">
        <f t="shared" si="5"/>
        <v>1.3</v>
      </c>
      <c r="P30" s="30">
        <f t="shared" si="6"/>
        <v>1.2999999999999999E-3</v>
      </c>
      <c r="Q30" s="86">
        <f t="shared" si="16"/>
        <v>6968.5706921732008</v>
      </c>
      <c r="R30" s="37">
        <f t="shared" si="17"/>
        <v>1.4905088778170197</v>
      </c>
      <c r="S30" s="208">
        <f t="shared" si="7"/>
        <v>5.6000000000000001E-2</v>
      </c>
      <c r="T30" s="29">
        <f t="shared" si="8"/>
        <v>5.5999999999999999E-5</v>
      </c>
      <c r="U30" s="37">
        <f t="shared" si="18"/>
        <v>0.85608715033592941</v>
      </c>
      <c r="V30" s="84">
        <f t="shared" si="9"/>
        <v>4.9289279581529488</v>
      </c>
      <c r="W30" s="84">
        <f t="shared" si="10"/>
        <v>4.9289279581529488</v>
      </c>
    </row>
    <row r="31" spans="3:23" x14ac:dyDescent="0.2">
      <c r="C31" s="8" t="str">
        <v>Egypt, Arab Rep.</v>
      </c>
      <c r="D31" s="8" t="str">
        <v>Middle East &amp; North Africa</v>
      </c>
      <c r="E31" s="229">
        <f t="shared" si="0"/>
        <v>15360</v>
      </c>
      <c r="F31" s="80">
        <f t="shared" si="1"/>
        <v>17280.552960000001</v>
      </c>
      <c r="G31" s="82">
        <f t="shared" si="2"/>
        <v>2446796.3463289812</v>
      </c>
      <c r="H31" s="83">
        <f t="shared" si="11"/>
        <v>0.39866277364420682</v>
      </c>
      <c r="I31" s="225">
        <f t="shared" si="3"/>
        <v>1.0000000000000001E-5</v>
      </c>
      <c r="J31" s="147">
        <f t="shared" si="4"/>
        <v>1E-8</v>
      </c>
      <c r="K31" s="57">
        <f t="shared" si="12"/>
        <v>271146.10020359716</v>
      </c>
      <c r="L31" s="57">
        <f t="shared" si="13"/>
        <v>1358971.2232662891</v>
      </c>
      <c r="M31" s="86">
        <f t="shared" si="14"/>
        <v>2776701</v>
      </c>
      <c r="N31" s="37">
        <f t="shared" si="15"/>
        <v>2.5823319300000001</v>
      </c>
      <c r="O31" s="230">
        <f t="shared" si="5"/>
        <v>1.3</v>
      </c>
      <c r="P31" s="30">
        <f t="shared" si="6"/>
        <v>1.2999999999999999E-3</v>
      </c>
      <c r="Q31" s="86">
        <f t="shared" si="16"/>
        <v>7618.0820945108626</v>
      </c>
      <c r="R31" s="37">
        <f t="shared" si="17"/>
        <v>1.4905088778170197</v>
      </c>
      <c r="S31" s="208">
        <f t="shared" si="7"/>
        <v>5.6000000000000001E-2</v>
      </c>
      <c r="T31" s="29">
        <f t="shared" si="8"/>
        <v>5.5999999999999999E-5</v>
      </c>
      <c r="U31" s="37">
        <f t="shared" si="18"/>
        <v>0.85608715033592941</v>
      </c>
      <c r="V31" s="84">
        <f t="shared" si="9"/>
        <v>4.9289279581529488</v>
      </c>
      <c r="W31" s="84">
        <f t="shared" si="10"/>
        <v>4.9289279581529488</v>
      </c>
    </row>
    <row r="32" spans="3:23" x14ac:dyDescent="0.2">
      <c r="C32" s="8" t="str">
        <v>Estonia</v>
      </c>
      <c r="D32" s="8" t="str">
        <v>Europe &amp; Central Asia</v>
      </c>
      <c r="E32" s="229">
        <f t="shared" si="0"/>
        <v>43940</v>
      </c>
      <c r="F32" s="80">
        <f t="shared" si="1"/>
        <v>49434.081840000006</v>
      </c>
      <c r="G32" s="82">
        <f t="shared" si="2"/>
        <v>4597048.920884178</v>
      </c>
      <c r="H32" s="83">
        <f t="shared" si="11"/>
        <v>0.74900891368724665</v>
      </c>
      <c r="I32" s="225">
        <f t="shared" si="3"/>
        <v>1.0000000000000001E-5</v>
      </c>
      <c r="J32" s="147">
        <f t="shared" si="4"/>
        <v>1E-8</v>
      </c>
      <c r="K32" s="57">
        <f t="shared" si="12"/>
        <v>509430.17354633025</v>
      </c>
      <c r="L32" s="57">
        <f t="shared" si="13"/>
        <v>2553239.547215254</v>
      </c>
      <c r="M32" s="86">
        <f t="shared" si="14"/>
        <v>2776701</v>
      </c>
      <c r="N32" s="37">
        <f t="shared" si="15"/>
        <v>2.5823319300000001</v>
      </c>
      <c r="O32" s="230">
        <f t="shared" si="5"/>
        <v>1.3</v>
      </c>
      <c r="P32" s="30">
        <f t="shared" si="6"/>
        <v>1.2999999999999999E-3</v>
      </c>
      <c r="Q32" s="86">
        <f t="shared" si="16"/>
        <v>14312.877377114397</v>
      </c>
      <c r="R32" s="37">
        <f t="shared" si="17"/>
        <v>1.4905088778170197</v>
      </c>
      <c r="S32" s="208">
        <f t="shared" si="7"/>
        <v>5.6000000000000001E-2</v>
      </c>
      <c r="T32" s="29">
        <f t="shared" si="8"/>
        <v>5.5999999999999999E-5</v>
      </c>
      <c r="U32" s="37">
        <f t="shared" si="18"/>
        <v>0.85608715033592941</v>
      </c>
      <c r="V32" s="84">
        <f t="shared" si="9"/>
        <v>4.9289279581529488</v>
      </c>
      <c r="W32" s="84">
        <f t="shared" si="10"/>
        <v>4.9289279581529488</v>
      </c>
    </row>
    <row r="33" spans="3:23" x14ac:dyDescent="0.2">
      <c r="C33" s="8" t="str">
        <v>Finland</v>
      </c>
      <c r="D33" s="8" t="str">
        <v>Europe &amp; Central Asia</v>
      </c>
      <c r="E33" s="229">
        <f t="shared" si="0"/>
        <v>58690</v>
      </c>
      <c r="F33" s="80">
        <f t="shared" si="1"/>
        <v>66028.362840000002</v>
      </c>
      <c r="G33" s="82">
        <f t="shared" si="2"/>
        <v>5468919.8627083004</v>
      </c>
      <c r="H33" s="83">
        <f t="shared" si="11"/>
        <v>0.89106507150719827</v>
      </c>
      <c r="I33" s="225">
        <f t="shared" si="3"/>
        <v>1.0000000000000001E-5</v>
      </c>
      <c r="J33" s="147">
        <f t="shared" si="4"/>
        <v>1E-8</v>
      </c>
      <c r="K33" s="57">
        <f t="shared" si="12"/>
        <v>606048.10666983435</v>
      </c>
      <c r="L33" s="57">
        <f t="shared" si="13"/>
        <v>3037483.9846890671</v>
      </c>
      <c r="M33" s="86">
        <f t="shared" si="14"/>
        <v>2776701</v>
      </c>
      <c r="N33" s="37">
        <f t="shared" si="15"/>
        <v>2.5823319300000001</v>
      </c>
      <c r="O33" s="230">
        <f t="shared" si="5"/>
        <v>1.3</v>
      </c>
      <c r="P33" s="30">
        <f t="shared" si="6"/>
        <v>1.2999999999999999E-3</v>
      </c>
      <c r="Q33" s="86">
        <f t="shared" si="16"/>
        <v>17027.441023001749</v>
      </c>
      <c r="R33" s="37">
        <f t="shared" si="17"/>
        <v>1.4905088778170197</v>
      </c>
      <c r="S33" s="208">
        <f t="shared" si="7"/>
        <v>5.6000000000000001E-2</v>
      </c>
      <c r="T33" s="29">
        <f t="shared" si="8"/>
        <v>5.5999999999999999E-5</v>
      </c>
      <c r="U33" s="37">
        <f t="shared" si="18"/>
        <v>0.85608715033592941</v>
      </c>
      <c r="V33" s="84">
        <f t="shared" si="9"/>
        <v>4.9289279581529488</v>
      </c>
      <c r="W33" s="84">
        <f t="shared" si="10"/>
        <v>4.9289279581529488</v>
      </c>
    </row>
    <row r="34" spans="3:23" x14ac:dyDescent="0.2">
      <c r="C34" s="8" t="str">
        <v>France</v>
      </c>
      <c r="D34" s="8" t="str">
        <v>Europe &amp; Central Asia</v>
      </c>
      <c r="E34" s="229">
        <f t="shared" si="0"/>
        <v>55020</v>
      </c>
      <c r="F34" s="80">
        <f t="shared" si="1"/>
        <v>61899.480720000007</v>
      </c>
      <c r="G34" s="82">
        <f t="shared" si="2"/>
        <v>5261086.5392057514</v>
      </c>
      <c r="H34" s="83">
        <f t="shared" si="11"/>
        <v>0.85720225765776181</v>
      </c>
      <c r="I34" s="225">
        <f t="shared" si="3"/>
        <v>1.0000000000000001E-5</v>
      </c>
      <c r="J34" s="147">
        <f t="shared" si="4"/>
        <v>1E-8</v>
      </c>
      <c r="K34" s="57">
        <f t="shared" si="12"/>
        <v>583016.68632109242</v>
      </c>
      <c r="L34" s="57">
        <f t="shared" si="13"/>
        <v>2922051.6127634221</v>
      </c>
      <c r="M34" s="86">
        <f t="shared" si="14"/>
        <v>2776701</v>
      </c>
      <c r="N34" s="37">
        <f t="shared" si="15"/>
        <v>2.5823319300000001</v>
      </c>
      <c r="O34" s="230">
        <f t="shared" si="5"/>
        <v>1.3</v>
      </c>
      <c r="P34" s="30">
        <f t="shared" si="6"/>
        <v>1.2999999999999999E-3</v>
      </c>
      <c r="Q34" s="86">
        <f t="shared" si="16"/>
        <v>16380.353527226749</v>
      </c>
      <c r="R34" s="37">
        <f t="shared" si="17"/>
        <v>1.4905088778170197</v>
      </c>
      <c r="S34" s="208">
        <f t="shared" si="7"/>
        <v>5.6000000000000001E-2</v>
      </c>
      <c r="T34" s="29">
        <f t="shared" si="8"/>
        <v>5.5999999999999999E-5</v>
      </c>
      <c r="U34" s="37">
        <f t="shared" si="18"/>
        <v>0.85608715033592941</v>
      </c>
      <c r="V34" s="84">
        <f t="shared" si="9"/>
        <v>4.9289279581529488</v>
      </c>
      <c r="W34" s="84">
        <f t="shared" si="10"/>
        <v>4.9289279581529488</v>
      </c>
    </row>
    <row r="35" spans="3:23" x14ac:dyDescent="0.2">
      <c r="C35" s="8" t="str">
        <v>Germany</v>
      </c>
      <c r="D35" s="8" t="str">
        <v>Europe &amp; Central Asia</v>
      </c>
      <c r="E35" s="229">
        <f t="shared" si="0"/>
        <v>64330</v>
      </c>
      <c r="F35" s="80">
        <f t="shared" si="1"/>
        <v>72373.565880000009</v>
      </c>
      <c r="G35" s="82">
        <f t="shared" si="2"/>
        <v>5778448.2036602814</v>
      </c>
      <c r="H35" s="83">
        <f t="shared" si="11"/>
        <v>0.94149731410497073</v>
      </c>
      <c r="I35" s="225">
        <f t="shared" si="3"/>
        <v>1.0000000000000001E-5</v>
      </c>
      <c r="J35" s="147">
        <f t="shared" si="4"/>
        <v>1E-8</v>
      </c>
      <c r="K35" s="57">
        <f t="shared" si="12"/>
        <v>640349.04171804071</v>
      </c>
      <c r="L35" s="57">
        <f t="shared" si="13"/>
        <v>3209398.622689161</v>
      </c>
      <c r="M35" s="86">
        <f t="shared" si="14"/>
        <v>2776701</v>
      </c>
      <c r="N35" s="37">
        <f t="shared" si="15"/>
        <v>2.5823319300000001</v>
      </c>
      <c r="O35" s="230">
        <f t="shared" si="5"/>
        <v>1.3</v>
      </c>
      <c r="P35" s="30">
        <f t="shared" si="6"/>
        <v>1.2999999999999999E-3</v>
      </c>
      <c r="Q35" s="86">
        <f t="shared" si="16"/>
        <v>17991.155193773564</v>
      </c>
      <c r="R35" s="37">
        <f t="shared" si="17"/>
        <v>1.4905088778170197</v>
      </c>
      <c r="S35" s="208">
        <f t="shared" si="7"/>
        <v>5.6000000000000001E-2</v>
      </c>
      <c r="T35" s="29">
        <f t="shared" si="8"/>
        <v>5.5999999999999999E-5</v>
      </c>
      <c r="U35" s="37">
        <f t="shared" si="18"/>
        <v>0.85608715033592941</v>
      </c>
      <c r="V35" s="84">
        <f t="shared" si="9"/>
        <v>4.9289279581529488</v>
      </c>
      <c r="W35" s="84">
        <f t="shared" si="10"/>
        <v>4.9289279581529488</v>
      </c>
    </row>
    <row r="36" spans="3:23" x14ac:dyDescent="0.2">
      <c r="C36" s="8" t="str">
        <v>Greece</v>
      </c>
      <c r="D36" s="8" t="str">
        <v>Europe &amp; Central Asia</v>
      </c>
      <c r="E36" s="229">
        <f t="shared" si="0"/>
        <v>32760</v>
      </c>
      <c r="F36" s="80">
        <f t="shared" si="1"/>
        <v>36856.179360000002</v>
      </c>
      <c r="G36" s="82">
        <f t="shared" si="2"/>
        <v>3854512.245698614</v>
      </c>
      <c r="H36" s="83">
        <f t="shared" si="11"/>
        <v>0.62802551802942774</v>
      </c>
      <c r="I36" s="225">
        <f t="shared" si="3"/>
        <v>1.0000000000000001E-5</v>
      </c>
      <c r="J36" s="147">
        <f t="shared" si="4"/>
        <v>1E-8</v>
      </c>
      <c r="K36" s="57">
        <f t="shared" si="12"/>
        <v>427144.64780701697</v>
      </c>
      <c r="L36" s="57">
        <f t="shared" si="13"/>
        <v>2140828.4467528155</v>
      </c>
      <c r="M36" s="86">
        <f t="shared" si="14"/>
        <v>2776701</v>
      </c>
      <c r="N36" s="37">
        <f t="shared" si="15"/>
        <v>2.5823319300000001</v>
      </c>
      <c r="O36" s="230">
        <f t="shared" si="5"/>
        <v>1.3</v>
      </c>
      <c r="P36" s="30">
        <f t="shared" si="6"/>
        <v>1.2999999999999999E-3</v>
      </c>
      <c r="Q36" s="86">
        <f t="shared" si="16"/>
        <v>12000.995001519164</v>
      </c>
      <c r="R36" s="37">
        <f t="shared" si="17"/>
        <v>1.4905088778170197</v>
      </c>
      <c r="S36" s="208">
        <f t="shared" si="7"/>
        <v>5.6000000000000001E-2</v>
      </c>
      <c r="T36" s="29">
        <f t="shared" si="8"/>
        <v>5.5999999999999999E-5</v>
      </c>
      <c r="U36" s="37">
        <f t="shared" si="18"/>
        <v>0.85608715033592941</v>
      </c>
      <c r="V36" s="84">
        <f t="shared" si="9"/>
        <v>4.9289279581529488</v>
      </c>
      <c r="W36" s="84">
        <f t="shared" si="10"/>
        <v>4.9289279581529488</v>
      </c>
    </row>
    <row r="37" spans="3:23" x14ac:dyDescent="0.2">
      <c r="C37" s="8" t="str">
        <v>Guatemala</v>
      </c>
      <c r="D37" s="8" t="str">
        <v>Latin America &amp; Caribbean</v>
      </c>
      <c r="E37" s="229">
        <f t="shared" si="0"/>
        <v>11810</v>
      </c>
      <c r="F37" s="80">
        <f t="shared" si="1"/>
        <v>13286.675160000003</v>
      </c>
      <c r="G37" s="82">
        <f t="shared" si="2"/>
        <v>2089839.9762009867</v>
      </c>
      <c r="H37" s="83">
        <f t="shared" si="11"/>
        <v>0.34050296120264412</v>
      </c>
      <c r="I37" s="225">
        <f t="shared" si="3"/>
        <v>1.0000000000000001E-5</v>
      </c>
      <c r="J37" s="147">
        <f t="shared" si="4"/>
        <v>1E-8</v>
      </c>
      <c r="K37" s="57">
        <f t="shared" si="12"/>
        <v>231589.34352940516</v>
      </c>
      <c r="L37" s="57">
        <f t="shared" si="13"/>
        <v>1160714.6598651959</v>
      </c>
      <c r="M37" s="86">
        <f t="shared" si="14"/>
        <v>2776701</v>
      </c>
      <c r="N37" s="37">
        <f t="shared" si="15"/>
        <v>2.5823319300000001</v>
      </c>
      <c r="O37" s="230">
        <f t="shared" si="5"/>
        <v>1.3</v>
      </c>
      <c r="P37" s="30">
        <f t="shared" si="6"/>
        <v>1.2999999999999999E-3</v>
      </c>
      <c r="Q37" s="86">
        <f t="shared" si="16"/>
        <v>6506.701110199042</v>
      </c>
      <c r="R37" s="37">
        <f t="shared" si="17"/>
        <v>1.4905088778170197</v>
      </c>
      <c r="S37" s="208">
        <f t="shared" si="7"/>
        <v>5.6000000000000001E-2</v>
      </c>
      <c r="T37" s="29">
        <f t="shared" si="8"/>
        <v>5.5999999999999999E-5</v>
      </c>
      <c r="U37" s="37">
        <f t="shared" si="18"/>
        <v>0.85608715033592941</v>
      </c>
      <c r="V37" s="84">
        <f t="shared" si="9"/>
        <v>4.9289279581529488</v>
      </c>
      <c r="W37" s="84">
        <f t="shared" si="10"/>
        <v>4.9289279581529488</v>
      </c>
    </row>
    <row r="38" spans="3:23" x14ac:dyDescent="0.2">
      <c r="C38" s="8" t="str">
        <v>Hungary</v>
      </c>
      <c r="D38" s="8" t="str">
        <v>Europe &amp; Central Asia</v>
      </c>
      <c r="E38" s="229">
        <f t="shared" si="0"/>
        <v>37420</v>
      </c>
      <c r="F38" s="80">
        <f t="shared" si="1"/>
        <v>42098.847120000006</v>
      </c>
      <c r="G38" s="82">
        <f t="shared" si="2"/>
        <v>4174700.8832945903</v>
      </c>
      <c r="H38" s="83">
        <f t="shared" si="11"/>
        <v>0.68019466996758793</v>
      </c>
      <c r="I38" s="225">
        <f t="shared" si="3"/>
        <v>1.0000000000000001E-5</v>
      </c>
      <c r="J38" s="147">
        <f t="shared" si="4"/>
        <v>1E-8</v>
      </c>
      <c r="K38" s="57">
        <f t="shared" si="12"/>
        <v>462626.92263708531</v>
      </c>
      <c r="L38" s="57">
        <f t="shared" si="13"/>
        <v>2318663.9029658376</v>
      </c>
      <c r="M38" s="86">
        <f t="shared" si="14"/>
        <v>2776701</v>
      </c>
      <c r="N38" s="37">
        <f t="shared" si="15"/>
        <v>2.5823319300000001</v>
      </c>
      <c r="O38" s="230">
        <f t="shared" si="5"/>
        <v>1.3</v>
      </c>
      <c r="P38" s="30">
        <f t="shared" si="6"/>
        <v>1.2999999999999999E-3</v>
      </c>
      <c r="Q38" s="86">
        <f t="shared" si="16"/>
        <v>12997.899926032149</v>
      </c>
      <c r="R38" s="37">
        <f t="shared" si="17"/>
        <v>1.4905088778170197</v>
      </c>
      <c r="S38" s="208">
        <f t="shared" si="7"/>
        <v>5.6000000000000001E-2</v>
      </c>
      <c r="T38" s="29">
        <f t="shared" si="8"/>
        <v>5.5999999999999999E-5</v>
      </c>
      <c r="U38" s="37">
        <f t="shared" si="18"/>
        <v>0.85608715033592941</v>
      </c>
      <c r="V38" s="84">
        <f t="shared" si="9"/>
        <v>4.9289279581529488</v>
      </c>
      <c r="W38" s="84">
        <f t="shared" si="10"/>
        <v>4.9289279581529488</v>
      </c>
    </row>
    <row r="39" spans="3:23" x14ac:dyDescent="0.2">
      <c r="C39" s="8" t="str">
        <v>India</v>
      </c>
      <c r="D39" s="8" t="str">
        <v>South Asia</v>
      </c>
      <c r="E39" s="229">
        <f t="shared" si="0"/>
        <v>7990</v>
      </c>
      <c r="F39" s="80">
        <f t="shared" si="1"/>
        <v>8989.0376400000005</v>
      </c>
      <c r="G39" s="82">
        <f t="shared" si="2"/>
        <v>1653069.6845711339</v>
      </c>
      <c r="H39" s="83">
        <f t="shared" si="11"/>
        <v>0.26933886282241282</v>
      </c>
      <c r="I39" s="225">
        <f t="shared" si="3"/>
        <v>1.0000000000000001E-5</v>
      </c>
      <c r="J39" s="147">
        <f t="shared" si="4"/>
        <v>1E-8</v>
      </c>
      <c r="K39" s="57">
        <f t="shared" si="12"/>
        <v>183187.86482117302</v>
      </c>
      <c r="L39" s="57">
        <f t="shared" si="13"/>
        <v>918128.77469615347</v>
      </c>
      <c r="M39" s="86">
        <f t="shared" si="14"/>
        <v>2776701</v>
      </c>
      <c r="N39" s="37">
        <f t="shared" si="15"/>
        <v>2.5823319300000001</v>
      </c>
      <c r="O39" s="230">
        <f t="shared" si="5"/>
        <v>1.3</v>
      </c>
      <c r="P39" s="30">
        <f t="shared" si="6"/>
        <v>1.2999999999999999E-3</v>
      </c>
      <c r="Q39" s="86">
        <f t="shared" si="16"/>
        <v>5146.8200792044454</v>
      </c>
      <c r="R39" s="37">
        <f t="shared" si="17"/>
        <v>1.4905088778170197</v>
      </c>
      <c r="S39" s="208">
        <f t="shared" si="7"/>
        <v>5.6000000000000001E-2</v>
      </c>
      <c r="T39" s="29">
        <f t="shared" si="8"/>
        <v>5.5999999999999999E-5</v>
      </c>
      <c r="U39" s="37">
        <f t="shared" si="18"/>
        <v>0.85608715033592941</v>
      </c>
      <c r="V39" s="84">
        <f t="shared" si="9"/>
        <v>4.9289279581529488</v>
      </c>
      <c r="W39" s="84">
        <f t="shared" si="10"/>
        <v>4.9289279581529488</v>
      </c>
    </row>
    <row r="40" spans="3:23" x14ac:dyDescent="0.2">
      <c r="C40" s="8" t="str">
        <v>Indonesia</v>
      </c>
      <c r="D40" s="8" t="str">
        <v>East Asia &amp; Pacific</v>
      </c>
      <c r="E40" s="229">
        <f t="shared" si="0"/>
        <v>12550</v>
      </c>
      <c r="F40" s="80">
        <f t="shared" si="1"/>
        <v>14119.201800000003</v>
      </c>
      <c r="G40" s="82">
        <f t="shared" si="2"/>
        <v>2167451.2061856664</v>
      </c>
      <c r="H40" s="83">
        <f t="shared" si="11"/>
        <v>0.35314835699050862</v>
      </c>
      <c r="I40" s="225">
        <f t="shared" si="3"/>
        <v>1.0000000000000001E-5</v>
      </c>
      <c r="J40" s="147">
        <f t="shared" si="4"/>
        <v>1E-8</v>
      </c>
      <c r="K40" s="57">
        <f t="shared" si="12"/>
        <v>240189.97037516753</v>
      </c>
      <c r="L40" s="57">
        <f t="shared" si="13"/>
        <v>1203820.588280417</v>
      </c>
      <c r="M40" s="86">
        <f t="shared" si="14"/>
        <v>2776701</v>
      </c>
      <c r="N40" s="37">
        <f t="shared" si="15"/>
        <v>2.5823319300000001</v>
      </c>
      <c r="O40" s="230">
        <f t="shared" si="5"/>
        <v>1.3</v>
      </c>
      <c r="P40" s="30">
        <f t="shared" si="6"/>
        <v>1.2999999999999999E-3</v>
      </c>
      <c r="Q40" s="86">
        <f t="shared" si="16"/>
        <v>6748.3430933441959</v>
      </c>
      <c r="R40" s="37">
        <f t="shared" si="17"/>
        <v>1.4905088778170197</v>
      </c>
      <c r="S40" s="208">
        <f t="shared" si="7"/>
        <v>5.6000000000000001E-2</v>
      </c>
      <c r="T40" s="29">
        <f t="shared" si="8"/>
        <v>5.5999999999999999E-5</v>
      </c>
      <c r="U40" s="37">
        <f t="shared" si="18"/>
        <v>0.85608715033592941</v>
      </c>
      <c r="V40" s="84">
        <f t="shared" si="9"/>
        <v>4.9289279581529488</v>
      </c>
      <c r="W40" s="84">
        <f t="shared" si="10"/>
        <v>4.9289279581529488</v>
      </c>
    </row>
    <row r="41" spans="3:23" x14ac:dyDescent="0.2">
      <c r="C41" s="8" t="str">
        <v>Ireland</v>
      </c>
      <c r="D41" s="8" t="str">
        <v>Europe &amp; Central Asia</v>
      </c>
      <c r="E41" s="229">
        <f t="shared" si="0"/>
        <v>85210</v>
      </c>
      <c r="F41" s="80">
        <f t="shared" si="1"/>
        <v>95864.31756000001</v>
      </c>
      <c r="G41" s="82">
        <f t="shared" si="2"/>
        <v>6840020.9685873585</v>
      </c>
      <c r="H41" s="83">
        <f t="shared" si="11"/>
        <v>1.1144620741373843</v>
      </c>
      <c r="I41" s="225">
        <f t="shared" si="3"/>
        <v>1.0000000000000001E-5</v>
      </c>
      <c r="J41" s="147">
        <f t="shared" si="4"/>
        <v>1E-8</v>
      </c>
      <c r="K41" s="57">
        <f t="shared" si="12"/>
        <v>757989.12064172642</v>
      </c>
      <c r="L41" s="57">
        <f t="shared" si="13"/>
        <v>3799005.0446145423</v>
      </c>
      <c r="M41" s="86">
        <f t="shared" si="14"/>
        <v>2776701</v>
      </c>
      <c r="N41" s="37">
        <f t="shared" si="15"/>
        <v>2.5823319300000001</v>
      </c>
      <c r="O41" s="230">
        <f t="shared" si="5"/>
        <v>1.3</v>
      </c>
      <c r="P41" s="30">
        <f t="shared" si="6"/>
        <v>1.2999999999999999E-3</v>
      </c>
      <c r="Q41" s="86">
        <f t="shared" si="16"/>
        <v>21296.354044771037</v>
      </c>
      <c r="R41" s="37">
        <f t="shared" si="17"/>
        <v>1.4905088778170197</v>
      </c>
      <c r="S41" s="208">
        <f t="shared" si="7"/>
        <v>5.6000000000000001E-2</v>
      </c>
      <c r="T41" s="29">
        <f t="shared" si="8"/>
        <v>5.5999999999999999E-5</v>
      </c>
      <c r="U41" s="37">
        <f t="shared" si="18"/>
        <v>0.85608715033592941</v>
      </c>
      <c r="V41" s="84">
        <f t="shared" si="9"/>
        <v>4.9289279581529488</v>
      </c>
      <c r="W41" s="84">
        <f t="shared" si="10"/>
        <v>4.9289279581529488</v>
      </c>
    </row>
    <row r="42" spans="3:23" x14ac:dyDescent="0.2">
      <c r="C42" s="8" t="str">
        <v>Israel</v>
      </c>
      <c r="D42" s="8" t="str">
        <v>Middle East &amp; North Africa</v>
      </c>
      <c r="E42" s="229">
        <f t="shared" si="0"/>
        <v>45530</v>
      </c>
      <c r="F42" s="80">
        <f t="shared" si="1"/>
        <v>51222.889080000008</v>
      </c>
      <c r="G42" s="82">
        <f t="shared" si="2"/>
        <v>4696147.0133565301</v>
      </c>
      <c r="H42" s="83">
        <f t="shared" si="11"/>
        <v>0.76515521882095794</v>
      </c>
      <c r="I42" s="225">
        <f t="shared" si="3"/>
        <v>1.0000000000000001E-5</v>
      </c>
      <c r="J42" s="147">
        <f t="shared" si="4"/>
        <v>1E-8</v>
      </c>
      <c r="K42" s="57">
        <f t="shared" si="12"/>
        <v>520411.90537366748</v>
      </c>
      <c r="L42" s="57">
        <f t="shared" si="13"/>
        <v>2608279.4593650987</v>
      </c>
      <c r="M42" s="86">
        <f t="shared" si="14"/>
        <v>2776701</v>
      </c>
      <c r="N42" s="37">
        <f t="shared" si="15"/>
        <v>2.5823319300000001</v>
      </c>
      <c r="O42" s="230">
        <f t="shared" si="5"/>
        <v>1.3</v>
      </c>
      <c r="P42" s="30">
        <f t="shared" si="6"/>
        <v>1.2999999999999999E-3</v>
      </c>
      <c r="Q42" s="86">
        <f t="shared" si="16"/>
        <v>14621.418545649516</v>
      </c>
      <c r="R42" s="37">
        <f t="shared" si="17"/>
        <v>1.4905088778170197</v>
      </c>
      <c r="S42" s="208">
        <f t="shared" si="7"/>
        <v>5.6000000000000001E-2</v>
      </c>
      <c r="T42" s="29">
        <f t="shared" si="8"/>
        <v>5.5999999999999999E-5</v>
      </c>
      <c r="U42" s="37">
        <f t="shared" si="18"/>
        <v>0.85608715033592941</v>
      </c>
      <c r="V42" s="84">
        <f t="shared" si="9"/>
        <v>4.9289279581529488</v>
      </c>
      <c r="W42" s="84">
        <f t="shared" si="10"/>
        <v>4.9289279581529488</v>
      </c>
    </row>
    <row r="43" spans="3:23" x14ac:dyDescent="0.2">
      <c r="C43" s="8" t="str">
        <v>Italy</v>
      </c>
      <c r="D43" s="8" t="str">
        <v>Europe &amp; Central Asia</v>
      </c>
      <c r="E43" s="229">
        <f t="shared" si="0"/>
        <v>50540</v>
      </c>
      <c r="F43" s="80">
        <f t="shared" si="1"/>
        <v>56859.319440000007</v>
      </c>
      <c r="G43" s="82">
        <f t="shared" si="2"/>
        <v>4999703.3450543489</v>
      </c>
      <c r="H43" s="83">
        <f t="shared" si="11"/>
        <v>0.81461442670864304</v>
      </c>
      <c r="I43" s="225">
        <f t="shared" si="3"/>
        <v>1.0000000000000001E-5</v>
      </c>
      <c r="J43" s="147">
        <f t="shared" si="4"/>
        <v>1E-8</v>
      </c>
      <c r="K43" s="57">
        <f t="shared" si="12"/>
        <v>554051.04156718974</v>
      </c>
      <c r="L43" s="57">
        <f t="shared" si="13"/>
        <v>2776877.1933107693</v>
      </c>
      <c r="M43" s="86">
        <f t="shared" si="14"/>
        <v>2776701</v>
      </c>
      <c r="N43" s="37">
        <f t="shared" si="15"/>
        <v>2.5823319300000001</v>
      </c>
      <c r="O43" s="230">
        <f t="shared" si="5"/>
        <v>1.3</v>
      </c>
      <c r="P43" s="30">
        <f t="shared" si="6"/>
        <v>1.2999999999999999E-3</v>
      </c>
      <c r="Q43" s="86">
        <f t="shared" si="16"/>
        <v>15566.538910346851</v>
      </c>
      <c r="R43" s="37">
        <f t="shared" si="17"/>
        <v>1.4905088778170197</v>
      </c>
      <c r="S43" s="208">
        <f t="shared" si="7"/>
        <v>5.6000000000000001E-2</v>
      </c>
      <c r="T43" s="29">
        <f t="shared" si="8"/>
        <v>5.5999999999999999E-5</v>
      </c>
      <c r="U43" s="37">
        <f t="shared" si="18"/>
        <v>0.85608715033592941</v>
      </c>
      <c r="V43" s="84">
        <f t="shared" si="9"/>
        <v>4.9289279581529488</v>
      </c>
      <c r="W43" s="84">
        <f t="shared" si="10"/>
        <v>4.9289279581529488</v>
      </c>
    </row>
    <row r="44" spans="3:23" x14ac:dyDescent="0.2">
      <c r="C44" s="8" t="str">
        <v>Jamaica</v>
      </c>
      <c r="D44" s="8" t="str">
        <v>Latin America &amp; Caribbean</v>
      </c>
      <c r="E44" s="229">
        <f t="shared" si="0"/>
        <v>9340</v>
      </c>
      <c r="F44" s="80">
        <f t="shared" si="1"/>
        <v>10507.836240000001</v>
      </c>
      <c r="G44" s="82">
        <f t="shared" si="2"/>
        <v>1815395.3539305141</v>
      </c>
      <c r="H44" s="83">
        <f t="shared" si="11"/>
        <v>0.29578699843351691</v>
      </c>
      <c r="I44" s="225">
        <f t="shared" si="3"/>
        <v>1.0000000000000001E-5</v>
      </c>
      <c r="J44" s="147">
        <f t="shared" si="4"/>
        <v>1E-8</v>
      </c>
      <c r="K44" s="57">
        <f t="shared" si="12"/>
        <v>201176.27332757376</v>
      </c>
      <c r="L44" s="57">
        <f t="shared" si="13"/>
        <v>1008285.8136290439</v>
      </c>
      <c r="M44" s="86">
        <f t="shared" si="14"/>
        <v>2776701</v>
      </c>
      <c r="N44" s="37">
        <f t="shared" si="15"/>
        <v>2.5823319300000001</v>
      </c>
      <c r="O44" s="230">
        <f t="shared" si="5"/>
        <v>1.3</v>
      </c>
      <c r="P44" s="30">
        <f t="shared" si="6"/>
        <v>1.2999999999999999E-3</v>
      </c>
      <c r="Q44" s="86">
        <f t="shared" si="16"/>
        <v>5652.2198347180238</v>
      </c>
      <c r="R44" s="37">
        <f t="shared" si="17"/>
        <v>1.4905088778170197</v>
      </c>
      <c r="S44" s="208">
        <f t="shared" si="7"/>
        <v>5.6000000000000001E-2</v>
      </c>
      <c r="T44" s="29">
        <f t="shared" si="8"/>
        <v>5.5999999999999999E-5</v>
      </c>
      <c r="U44" s="37">
        <f t="shared" si="18"/>
        <v>0.85608715033592941</v>
      </c>
      <c r="V44" s="84">
        <f t="shared" si="9"/>
        <v>4.9289279581529488</v>
      </c>
      <c r="W44" s="84">
        <f t="shared" si="10"/>
        <v>4.9289279581529488</v>
      </c>
    </row>
    <row r="45" spans="3:23" x14ac:dyDescent="0.2">
      <c r="C45" s="8" t="str">
        <v>Japan</v>
      </c>
      <c r="D45" s="8" t="str">
        <v>East Asia &amp; Pacific</v>
      </c>
      <c r="E45" s="229">
        <f t="shared" si="0"/>
        <v>46680</v>
      </c>
      <c r="F45" s="80">
        <f t="shared" si="1"/>
        <v>52516.68048000001</v>
      </c>
      <c r="G45" s="82">
        <f t="shared" si="2"/>
        <v>4766961.0382150412</v>
      </c>
      <c r="H45" s="83">
        <f t="shared" si="11"/>
        <v>0.77669312862916884</v>
      </c>
      <c r="I45" s="225">
        <f t="shared" si="3"/>
        <v>1.0000000000000001E-5</v>
      </c>
      <c r="J45" s="147">
        <f t="shared" si="4"/>
        <v>1E-8</v>
      </c>
      <c r="K45" s="57">
        <f t="shared" si="12"/>
        <v>528259.28781271423</v>
      </c>
      <c r="L45" s="57">
        <f t="shared" si="13"/>
        <v>2647610.1630138778</v>
      </c>
      <c r="M45" s="86">
        <f t="shared" si="14"/>
        <v>2776701</v>
      </c>
      <c r="N45" s="37">
        <f t="shared" si="15"/>
        <v>2.5823319300000001</v>
      </c>
      <c r="O45" s="230">
        <f t="shared" si="5"/>
        <v>1.3</v>
      </c>
      <c r="P45" s="30">
        <f t="shared" si="6"/>
        <v>1.2999999999999999E-3</v>
      </c>
      <c r="Q45" s="86">
        <f t="shared" si="16"/>
        <v>14841.897481554521</v>
      </c>
      <c r="R45" s="37">
        <f t="shared" si="17"/>
        <v>1.4905088778170197</v>
      </c>
      <c r="S45" s="208">
        <f t="shared" si="7"/>
        <v>5.6000000000000001E-2</v>
      </c>
      <c r="T45" s="29">
        <f t="shared" si="8"/>
        <v>5.5999999999999999E-5</v>
      </c>
      <c r="U45" s="37">
        <f t="shared" si="18"/>
        <v>0.85608715033592941</v>
      </c>
      <c r="V45" s="84">
        <f t="shared" si="9"/>
        <v>4.9289279581529488</v>
      </c>
      <c r="W45" s="84">
        <f t="shared" si="10"/>
        <v>4.9289279581529488</v>
      </c>
    </row>
    <row r="46" spans="3:23" x14ac:dyDescent="0.2">
      <c r="C46" s="8" t="str">
        <v>Jordan</v>
      </c>
      <c r="D46" s="8" t="str">
        <v>Middle East &amp; North Africa</v>
      </c>
      <c r="E46" s="229">
        <f t="shared" ref="E46:E75" si="19">INDEX(Input_GNIPPP,MATCH(C46,Input_countries,0))</f>
        <v>9070</v>
      </c>
      <c r="F46" s="80">
        <f t="shared" ref="F46:F75" si="20">IFERROR(E46*$G$3,"No value")</f>
        <v>10204.076520000001</v>
      </c>
      <c r="G46" s="82">
        <f t="shared" ref="G46:G75" si="21">IFERROR($G$4*(F46/$G$5)^$G$6,"No value")</f>
        <v>1783723.2210763942</v>
      </c>
      <c r="H46" s="83">
        <f t="shared" ref="H46:H75" si="22">IFERROR((F46/$G$7)^$G$6,"No value")</f>
        <v>0.29062657699108863</v>
      </c>
      <c r="I46" s="225">
        <f t="shared" ref="I46:I75" si="23">INDEX(Input_DioxinEF,MATCH(C46,Input_countries,0))</f>
        <v>1.0000000000000001E-5</v>
      </c>
      <c r="J46" s="147">
        <f t="shared" ref="J46:J75" si="24">I46/Assump_gKg</f>
        <v>1E-8</v>
      </c>
      <c r="K46" s="57">
        <f t="shared" si="12"/>
        <v>197666.46944814202</v>
      </c>
      <c r="L46" s="57">
        <f t="shared" si="13"/>
        <v>990694.84526226809</v>
      </c>
      <c r="M46" s="86">
        <f t="shared" si="14"/>
        <v>2776701</v>
      </c>
      <c r="N46" s="37">
        <f t="shared" si="15"/>
        <v>2.5823319300000001</v>
      </c>
      <c r="O46" s="230">
        <f t="shared" ref="O46:O75" si="25">INDEX(Input_LeadEF,MATCH(C46,Input_countries,0))</f>
        <v>1.3</v>
      </c>
      <c r="P46" s="30">
        <f t="shared" ref="P46:P75" si="26">O46/Assump_gKg</f>
        <v>1.2999999999999999E-3</v>
      </c>
      <c r="Q46" s="86">
        <f t="shared" si="16"/>
        <v>5553.6088863434516</v>
      </c>
      <c r="R46" s="37">
        <f t="shared" si="17"/>
        <v>1.4905088778170197</v>
      </c>
      <c r="S46" s="208">
        <f t="shared" ref="S46:S75" si="27">INDEX(Input_MercuryEF,MATCH(C46,Input_countries,0))</f>
        <v>5.6000000000000001E-2</v>
      </c>
      <c r="T46" s="29">
        <f t="shared" ref="T46:T75" si="28">S46/Assump_gKg</f>
        <v>5.5999999999999999E-5</v>
      </c>
      <c r="U46" s="37">
        <f t="shared" si="18"/>
        <v>0.85608715033592941</v>
      </c>
      <c r="V46" s="84">
        <f t="shared" ref="V46:V75" si="29">IFERROR(N46+R46+U46,"No value")</f>
        <v>4.9289279581529488</v>
      </c>
      <c r="W46" s="84">
        <f t="shared" ref="W46:W75" si="30">IFERROR(N46+R46+U46,"No value")</f>
        <v>4.9289279581529488</v>
      </c>
    </row>
    <row r="47" spans="3:23" x14ac:dyDescent="0.2">
      <c r="C47" s="8" t="str">
        <v>Korea, Rep.</v>
      </c>
      <c r="D47" s="8" t="str">
        <v>East Asia &amp; Pacific</v>
      </c>
      <c r="E47" s="229">
        <f t="shared" si="19"/>
        <v>49120</v>
      </c>
      <c r="F47" s="80">
        <f t="shared" si="20"/>
        <v>55261.76832000001</v>
      </c>
      <c r="G47" s="82">
        <f t="shared" si="21"/>
        <v>4914938.7359536737</v>
      </c>
      <c r="H47" s="83">
        <f t="shared" si="22"/>
        <v>0.80080351260390248</v>
      </c>
      <c r="I47" s="225">
        <f t="shared" si="23"/>
        <v>1.0000000000000001E-5</v>
      </c>
      <c r="J47" s="147">
        <f t="shared" si="24"/>
        <v>1E-8</v>
      </c>
      <c r="K47" s="57">
        <f t="shared" si="12"/>
        <v>544657.70025890565</v>
      </c>
      <c r="L47" s="57">
        <f t="shared" si="13"/>
        <v>2729798.2181062899</v>
      </c>
      <c r="M47" s="86">
        <f t="shared" si="14"/>
        <v>2776701</v>
      </c>
      <c r="N47" s="37">
        <f>IFERROR(IF($E$4=FALSE,M47*J47*$J$5,J47*$J$5*L47),"No value")</f>
        <v>2.5823319300000001</v>
      </c>
      <c r="O47" s="230">
        <f t="shared" si="25"/>
        <v>1.3</v>
      </c>
      <c r="P47" s="30">
        <f t="shared" si="26"/>
        <v>1.2999999999999999E-3</v>
      </c>
      <c r="Q47" s="86">
        <f t="shared" si="16"/>
        <v>15302.624934912439</v>
      </c>
      <c r="R47" s="37">
        <f t="shared" si="17"/>
        <v>1.4905088778170197</v>
      </c>
      <c r="S47" s="208">
        <f t="shared" si="27"/>
        <v>5.6000000000000001E-2</v>
      </c>
      <c r="T47" s="29">
        <f t="shared" si="28"/>
        <v>5.5999999999999999E-5</v>
      </c>
      <c r="U47" s="37">
        <f t="shared" si="18"/>
        <v>0.85608715033592941</v>
      </c>
      <c r="V47" s="84">
        <f t="shared" si="29"/>
        <v>4.9289279581529488</v>
      </c>
      <c r="W47" s="84">
        <f t="shared" si="30"/>
        <v>4.9289279581529488</v>
      </c>
    </row>
    <row r="48" spans="3:23" x14ac:dyDescent="0.2">
      <c r="C48" s="8" t="str">
        <v>Latvia</v>
      </c>
      <c r="D48" s="8" t="str">
        <v>Europe &amp; Central Asia</v>
      </c>
      <c r="E48" s="229">
        <f t="shared" si="19"/>
        <v>36090</v>
      </c>
      <c r="F48" s="80">
        <f t="shared" si="20"/>
        <v>40602.549240000008</v>
      </c>
      <c r="G48" s="82">
        <f t="shared" si="21"/>
        <v>4085029.744584973</v>
      </c>
      <c r="H48" s="83">
        <f t="shared" si="22"/>
        <v>0.66558432247077026</v>
      </c>
      <c r="I48" s="225">
        <f t="shared" si="23"/>
        <v>1.0000000000000001E-5</v>
      </c>
      <c r="J48" s="147">
        <f t="shared" si="24"/>
        <v>1E-8</v>
      </c>
      <c r="K48" s="57">
        <f t="shared" si="12"/>
        <v>452689.85550094722</v>
      </c>
      <c r="L48" s="57">
        <f t="shared" si="13"/>
        <v>2268859.8000429599</v>
      </c>
      <c r="M48" s="86">
        <f t="shared" si="14"/>
        <v>2776701</v>
      </c>
      <c r="N48" s="37">
        <f t="shared" si="15"/>
        <v>2.5823319300000001</v>
      </c>
      <c r="O48" s="230">
        <f t="shared" si="25"/>
        <v>1.3</v>
      </c>
      <c r="P48" s="30">
        <f t="shared" si="26"/>
        <v>1.2999999999999999E-3</v>
      </c>
      <c r="Q48" s="86">
        <f t="shared" si="16"/>
        <v>12718.709507416785</v>
      </c>
      <c r="R48" s="37">
        <f t="shared" si="17"/>
        <v>1.4905088778170197</v>
      </c>
      <c r="S48" s="208">
        <f t="shared" si="27"/>
        <v>5.6000000000000001E-2</v>
      </c>
      <c r="T48" s="29">
        <f t="shared" si="28"/>
        <v>5.5999999999999999E-5</v>
      </c>
      <c r="U48" s="37">
        <f t="shared" si="18"/>
        <v>0.85608715033592941</v>
      </c>
      <c r="V48" s="84">
        <f t="shared" si="29"/>
        <v>4.9289279581529488</v>
      </c>
      <c r="W48" s="84">
        <f t="shared" si="30"/>
        <v>4.9289279581529488</v>
      </c>
    </row>
    <row r="49" spans="3:23" x14ac:dyDescent="0.2">
      <c r="C49" s="8" t="str">
        <v>Lithuania</v>
      </c>
      <c r="D49" s="8" t="str">
        <v>Europe &amp; Central Asia</v>
      </c>
      <c r="E49" s="229">
        <f t="shared" si="19"/>
        <v>44640</v>
      </c>
      <c r="F49" s="80">
        <f t="shared" si="20"/>
        <v>50221.60704000001</v>
      </c>
      <c r="G49" s="82">
        <f t="shared" si="21"/>
        <v>4640850.7900419496</v>
      </c>
      <c r="H49" s="83">
        <f t="shared" si="22"/>
        <v>0.75614566402424832</v>
      </c>
      <c r="I49" s="225">
        <f t="shared" si="23"/>
        <v>1.0000000000000001E-5</v>
      </c>
      <c r="J49" s="147">
        <f t="shared" si="24"/>
        <v>1E-8</v>
      </c>
      <c r="K49" s="57">
        <f t="shared" si="12"/>
        <v>514284.15578378824</v>
      </c>
      <c r="L49" s="57">
        <f t="shared" si="13"/>
        <v>2577567.472912869</v>
      </c>
      <c r="M49" s="86">
        <f t="shared" si="14"/>
        <v>2776701</v>
      </c>
      <c r="N49" s="37">
        <f t="shared" si="15"/>
        <v>2.5823319300000001</v>
      </c>
      <c r="O49" s="230">
        <f t="shared" si="25"/>
        <v>1.3</v>
      </c>
      <c r="P49" s="30">
        <f t="shared" si="26"/>
        <v>1.2999999999999999E-3</v>
      </c>
      <c r="Q49" s="86">
        <f t="shared" si="16"/>
        <v>14449.254168602405</v>
      </c>
      <c r="R49" s="37">
        <f t="shared" si="17"/>
        <v>1.4905088778170197</v>
      </c>
      <c r="S49" s="208">
        <f t="shared" si="27"/>
        <v>5.6000000000000001E-2</v>
      </c>
      <c r="T49" s="29">
        <f t="shared" si="28"/>
        <v>5.5999999999999999E-5</v>
      </c>
      <c r="U49" s="37">
        <f t="shared" si="18"/>
        <v>0.85608715033592941</v>
      </c>
      <c r="V49" s="84">
        <f t="shared" si="29"/>
        <v>4.9289279581529488</v>
      </c>
      <c r="W49" s="84">
        <f t="shared" si="30"/>
        <v>4.9289279581529488</v>
      </c>
    </row>
    <row r="50" spans="3:23" x14ac:dyDescent="0.2">
      <c r="C50" s="8" t="str">
        <v>Malaysia</v>
      </c>
      <c r="D50" s="8" t="str">
        <v>East Asia &amp; Pacific</v>
      </c>
      <c r="E50" s="229">
        <f t="shared" si="19"/>
        <v>29630</v>
      </c>
      <c r="F50" s="80">
        <f t="shared" si="20"/>
        <v>33334.816680000004</v>
      </c>
      <c r="G50" s="82">
        <f t="shared" si="21"/>
        <v>3629126.3176329187</v>
      </c>
      <c r="H50" s="83">
        <f t="shared" si="22"/>
        <v>0.59130281351915925</v>
      </c>
      <c r="I50" s="225">
        <f t="shared" si="23"/>
        <v>1.0000000000000001E-5</v>
      </c>
      <c r="J50" s="147">
        <f t="shared" si="24"/>
        <v>1E-8</v>
      </c>
      <c r="K50" s="57">
        <f t="shared" si="12"/>
        <v>402168.10428410745</v>
      </c>
      <c r="L50" s="57">
        <f t="shared" si="13"/>
        <v>2015647.210958513</v>
      </c>
      <c r="M50" s="86">
        <f t="shared" si="14"/>
        <v>2776701</v>
      </c>
      <c r="N50" s="37">
        <f t="shared" si="15"/>
        <v>2.5823319300000001</v>
      </c>
      <c r="O50" s="230">
        <f t="shared" si="25"/>
        <v>1.3</v>
      </c>
      <c r="P50" s="30">
        <f t="shared" si="26"/>
        <v>1.2999999999999999E-3</v>
      </c>
      <c r="Q50" s="86">
        <f t="shared" si="16"/>
        <v>11299.25760292934</v>
      </c>
      <c r="R50" s="37">
        <f t="shared" si="17"/>
        <v>1.4905088778170197</v>
      </c>
      <c r="S50" s="208">
        <f t="shared" si="27"/>
        <v>5.6000000000000001E-2</v>
      </c>
      <c r="T50" s="29">
        <f t="shared" si="28"/>
        <v>5.5999999999999999E-5</v>
      </c>
      <c r="U50" s="37">
        <f t="shared" si="18"/>
        <v>0.85608715033592941</v>
      </c>
      <c r="V50" s="84">
        <f t="shared" si="29"/>
        <v>4.9289279581529488</v>
      </c>
      <c r="W50" s="84">
        <f t="shared" si="30"/>
        <v>4.9289279581529488</v>
      </c>
    </row>
    <row r="51" spans="3:23" x14ac:dyDescent="0.2">
      <c r="C51" s="8" t="str">
        <v>Mauritius</v>
      </c>
      <c r="D51" s="8" t="str">
        <v>Sub-Saharan Africa</v>
      </c>
      <c r="E51" s="229">
        <f t="shared" si="19"/>
        <v>23970</v>
      </c>
      <c r="F51" s="80">
        <f t="shared" si="20"/>
        <v>26967.112920000003</v>
      </c>
      <c r="G51" s="82">
        <f t="shared" si="21"/>
        <v>3195684.6332339295</v>
      </c>
      <c r="H51" s="83">
        <f t="shared" si="22"/>
        <v>0.52068105361062755</v>
      </c>
      <c r="I51" s="225">
        <f t="shared" si="23"/>
        <v>1.0000000000000001E-5</v>
      </c>
      <c r="J51" s="147">
        <f t="shared" si="24"/>
        <v>1E-8</v>
      </c>
      <c r="K51" s="57">
        <f t="shared" si="12"/>
        <v>354135.49112167861</v>
      </c>
      <c r="L51" s="57">
        <f t="shared" si="13"/>
        <v>1774910.0621778041</v>
      </c>
      <c r="M51" s="86">
        <f t="shared" si="14"/>
        <v>2776701</v>
      </c>
      <c r="N51" s="37">
        <f t="shared" si="15"/>
        <v>2.5823319300000001</v>
      </c>
      <c r="O51" s="230">
        <f t="shared" si="25"/>
        <v>1.3</v>
      </c>
      <c r="P51" s="30">
        <f t="shared" si="26"/>
        <v>1.2999999999999999E-3</v>
      </c>
      <c r="Q51" s="86">
        <f t="shared" si="16"/>
        <v>9949.7401656123075</v>
      </c>
      <c r="R51" s="37">
        <f t="shared" si="17"/>
        <v>1.4905088778170197</v>
      </c>
      <c r="S51" s="208">
        <f t="shared" si="27"/>
        <v>5.6000000000000001E-2</v>
      </c>
      <c r="T51" s="29">
        <f t="shared" si="28"/>
        <v>5.5999999999999999E-5</v>
      </c>
      <c r="U51" s="37">
        <f t="shared" si="18"/>
        <v>0.85608715033592941</v>
      </c>
      <c r="V51" s="84">
        <f t="shared" si="29"/>
        <v>4.9289279581529488</v>
      </c>
      <c r="W51" s="84">
        <f t="shared" si="30"/>
        <v>4.9289279581529488</v>
      </c>
    </row>
    <row r="52" spans="3:23" x14ac:dyDescent="0.2">
      <c r="C52" s="8" t="str">
        <v>Mexico</v>
      </c>
      <c r="D52" s="8" t="str">
        <v>Latin America &amp; Caribbean</v>
      </c>
      <c r="E52" s="229">
        <f t="shared" si="19"/>
        <v>20590</v>
      </c>
      <c r="F52" s="80">
        <f t="shared" si="20"/>
        <v>23164.491240000003</v>
      </c>
      <c r="G52" s="82">
        <f t="shared" si="21"/>
        <v>2917137.5113417003</v>
      </c>
      <c r="H52" s="83">
        <f t="shared" si="22"/>
        <v>0.47529666010735372</v>
      </c>
      <c r="I52" s="225">
        <f t="shared" si="23"/>
        <v>1.0000000000000001E-5</v>
      </c>
      <c r="J52" s="147">
        <f t="shared" si="24"/>
        <v>1E-8</v>
      </c>
      <c r="K52" s="57">
        <f t="shared" si="12"/>
        <v>323267.79510875547</v>
      </c>
      <c r="L52" s="57">
        <f t="shared" si="13"/>
        <v>1620202.653225228</v>
      </c>
      <c r="M52" s="86">
        <f t="shared" si="14"/>
        <v>2776701</v>
      </c>
      <c r="N52" s="37">
        <f t="shared" si="15"/>
        <v>2.5823319300000001</v>
      </c>
      <c r="O52" s="230">
        <f t="shared" si="25"/>
        <v>1.3</v>
      </c>
      <c r="P52" s="30">
        <f t="shared" si="26"/>
        <v>1.2999999999999999E-3</v>
      </c>
      <c r="Q52" s="86">
        <f t="shared" si="16"/>
        <v>9082.4857882921697</v>
      </c>
      <c r="R52" s="37">
        <f t="shared" si="17"/>
        <v>1.4905088778170197</v>
      </c>
      <c r="S52" s="208">
        <f t="shared" si="27"/>
        <v>5.6000000000000001E-2</v>
      </c>
      <c r="T52" s="29">
        <f t="shared" si="28"/>
        <v>5.5999999999999999E-5</v>
      </c>
      <c r="U52" s="37">
        <f t="shared" si="18"/>
        <v>0.85608715033592941</v>
      </c>
      <c r="V52" s="84">
        <f t="shared" si="29"/>
        <v>4.9289279581529488</v>
      </c>
      <c r="W52" s="84">
        <f t="shared" si="30"/>
        <v>4.9289279581529488</v>
      </c>
    </row>
    <row r="53" spans="3:23" x14ac:dyDescent="0.2">
      <c r="C53" s="8" t="str">
        <v>Netherlands</v>
      </c>
      <c r="D53" s="8" t="str">
        <v>Europe &amp; Central Asia</v>
      </c>
      <c r="E53" s="229">
        <f t="shared" si="19"/>
        <v>68780</v>
      </c>
      <c r="F53" s="80">
        <f t="shared" si="20"/>
        <v>77379.976080000008</v>
      </c>
      <c r="G53" s="82">
        <f t="shared" si="21"/>
        <v>6015065.9974510446</v>
      </c>
      <c r="H53" s="83">
        <f t="shared" si="22"/>
        <v>0.98005005516481691</v>
      </c>
      <c r="I53" s="225">
        <f t="shared" si="23"/>
        <v>1.0000000000000001E-5</v>
      </c>
      <c r="J53" s="147">
        <f t="shared" si="24"/>
        <v>1E-8</v>
      </c>
      <c r="K53" s="57">
        <f t="shared" si="12"/>
        <v>666570.26446974336</v>
      </c>
      <c r="L53" s="57">
        <f t="shared" si="13"/>
        <v>3340818.1309603942</v>
      </c>
      <c r="M53" s="86">
        <f t="shared" si="14"/>
        <v>2776701</v>
      </c>
      <c r="N53" s="37">
        <f t="shared" si="15"/>
        <v>2.5823319300000001</v>
      </c>
      <c r="O53" s="230">
        <f t="shared" si="25"/>
        <v>1.3</v>
      </c>
      <c r="P53" s="30">
        <f t="shared" si="26"/>
        <v>1.2999999999999999E-3</v>
      </c>
      <c r="Q53" s="86">
        <f t="shared" si="16"/>
        <v>18727.862922156663</v>
      </c>
      <c r="R53" s="37">
        <f t="shared" si="17"/>
        <v>1.4905088778170197</v>
      </c>
      <c r="S53" s="208">
        <f t="shared" si="27"/>
        <v>5.6000000000000001E-2</v>
      </c>
      <c r="T53" s="29">
        <f t="shared" si="28"/>
        <v>5.5999999999999999E-5</v>
      </c>
      <c r="U53" s="37">
        <f t="shared" si="18"/>
        <v>0.85608715033592941</v>
      </c>
      <c r="V53" s="84">
        <f t="shared" si="29"/>
        <v>4.9289279581529488</v>
      </c>
      <c r="W53" s="84">
        <f t="shared" si="30"/>
        <v>4.9289279581529488</v>
      </c>
    </row>
    <row r="54" spans="3:23" x14ac:dyDescent="0.2">
      <c r="C54" s="8" t="str">
        <v>New Zealand</v>
      </c>
      <c r="D54" s="8" t="str">
        <v>East Asia &amp; Pacific</v>
      </c>
      <c r="E54" s="229">
        <f t="shared" si="19"/>
        <v>46920</v>
      </c>
      <c r="F54" s="80">
        <f t="shared" si="20"/>
        <v>52786.68912000001</v>
      </c>
      <c r="G54" s="82">
        <f t="shared" si="21"/>
        <v>4781651.2315420369</v>
      </c>
      <c r="H54" s="83">
        <f t="shared" si="22"/>
        <v>0.77908663932158762</v>
      </c>
      <c r="I54" s="225">
        <f t="shared" si="23"/>
        <v>1.0000000000000001E-5</v>
      </c>
      <c r="J54" s="147">
        <f t="shared" si="24"/>
        <v>1E-8</v>
      </c>
      <c r="K54" s="57">
        <f t="shared" si="12"/>
        <v>529887.20778154524</v>
      </c>
      <c r="L54" s="57">
        <f t="shared" si="13"/>
        <v>2655769.2196617909</v>
      </c>
      <c r="M54" s="86">
        <f t="shared" si="14"/>
        <v>2776701</v>
      </c>
      <c r="N54" s="37">
        <f t="shared" si="15"/>
        <v>2.5823319300000001</v>
      </c>
      <c r="O54" s="230">
        <f t="shared" si="25"/>
        <v>1.3</v>
      </c>
      <c r="P54" s="30">
        <f t="shared" si="26"/>
        <v>1.2999999999999999E-3</v>
      </c>
      <c r="Q54" s="86">
        <f t="shared" si="16"/>
        <v>14887.635288428881</v>
      </c>
      <c r="R54" s="37">
        <f t="shared" si="17"/>
        <v>1.4905088778170197</v>
      </c>
      <c r="S54" s="208">
        <f t="shared" si="27"/>
        <v>5.6000000000000001E-2</v>
      </c>
      <c r="T54" s="29">
        <f t="shared" si="28"/>
        <v>5.5999999999999999E-5</v>
      </c>
      <c r="U54" s="37">
        <f t="shared" si="18"/>
        <v>0.85608715033592941</v>
      </c>
      <c r="V54" s="84">
        <f t="shared" si="29"/>
        <v>4.9289279581529488</v>
      </c>
      <c r="W54" s="84">
        <f t="shared" si="30"/>
        <v>4.9289279581529488</v>
      </c>
    </row>
    <row r="55" spans="3:23" x14ac:dyDescent="0.2">
      <c r="C55" s="8" t="str">
        <v>Norway</v>
      </c>
      <c r="D55" s="8" t="str">
        <v>Europe &amp; Central Asia</v>
      </c>
      <c r="E55" s="229">
        <f t="shared" si="19"/>
        <v>90750</v>
      </c>
      <c r="F55" s="80">
        <f t="shared" si="20"/>
        <v>102097.01700000001</v>
      </c>
      <c r="G55" s="82">
        <f t="shared" si="21"/>
        <v>7103478.5621365458</v>
      </c>
      <c r="H55" s="83">
        <f t="shared" si="22"/>
        <v>1.1573878922748555</v>
      </c>
      <c r="I55" s="225">
        <f t="shared" si="23"/>
        <v>1.0000000000000001E-5</v>
      </c>
      <c r="J55" s="147">
        <f t="shared" si="24"/>
        <v>1E-8</v>
      </c>
      <c r="K55" s="57">
        <f t="shared" si="12"/>
        <v>787184.64366392791</v>
      </c>
      <c r="L55" s="57">
        <f t="shared" si="13"/>
        <v>3945331.6029002368</v>
      </c>
      <c r="M55" s="86">
        <f t="shared" si="14"/>
        <v>2776701</v>
      </c>
      <c r="N55" s="37">
        <f t="shared" si="15"/>
        <v>2.5823319300000001</v>
      </c>
      <c r="O55" s="230">
        <f t="shared" si="25"/>
        <v>1.3</v>
      </c>
      <c r="P55" s="30">
        <f t="shared" si="26"/>
        <v>1.2999999999999999E-3</v>
      </c>
      <c r="Q55" s="86">
        <f t="shared" si="16"/>
        <v>22116.627288635904</v>
      </c>
      <c r="R55" s="37">
        <f t="shared" si="17"/>
        <v>1.4905088778170197</v>
      </c>
      <c r="S55" s="208">
        <f t="shared" si="27"/>
        <v>5.6000000000000001E-2</v>
      </c>
      <c r="T55" s="29">
        <f t="shared" si="28"/>
        <v>5.5999999999999999E-5</v>
      </c>
      <c r="U55" s="37">
        <f t="shared" si="18"/>
        <v>0.85608715033592941</v>
      </c>
      <c r="V55" s="84">
        <f t="shared" si="29"/>
        <v>4.9289279581529488</v>
      </c>
      <c r="W55" s="84">
        <f t="shared" si="30"/>
        <v>4.9289279581529488</v>
      </c>
    </row>
    <row r="56" spans="3:23" x14ac:dyDescent="0.2">
      <c r="C56" s="8" t="str">
        <v>Panama</v>
      </c>
      <c r="D56" s="8" t="str">
        <v>Latin America &amp; Caribbean</v>
      </c>
      <c r="E56" s="229">
        <f t="shared" si="19"/>
        <v>29210</v>
      </c>
      <c r="F56" s="80">
        <f t="shared" si="20"/>
        <v>32862.301560000007</v>
      </c>
      <c r="G56" s="82">
        <f t="shared" si="21"/>
        <v>3598172.8982013031</v>
      </c>
      <c r="H56" s="83">
        <f t="shared" si="22"/>
        <v>0.58625949388902554</v>
      </c>
      <c r="I56" s="225">
        <f t="shared" si="23"/>
        <v>1.0000000000000001E-5</v>
      </c>
      <c r="J56" s="147">
        <f t="shared" si="24"/>
        <v>1E-8</v>
      </c>
      <c r="K56" s="57">
        <f t="shared" si="12"/>
        <v>398737.94591418793</v>
      </c>
      <c r="L56" s="57">
        <f t="shared" si="13"/>
        <v>1998455.4220577455</v>
      </c>
      <c r="M56" s="86">
        <f t="shared" si="14"/>
        <v>2776701</v>
      </c>
      <c r="N56" s="37">
        <f t="shared" si="15"/>
        <v>2.5823319300000001</v>
      </c>
      <c r="O56" s="230">
        <f t="shared" si="25"/>
        <v>1.3</v>
      </c>
      <c r="P56" s="30">
        <f t="shared" si="26"/>
        <v>1.2999999999999999E-3</v>
      </c>
      <c r="Q56" s="86">
        <f t="shared" si="16"/>
        <v>11202.884363411607</v>
      </c>
      <c r="R56" s="37">
        <f t="shared" si="17"/>
        <v>1.4905088778170197</v>
      </c>
      <c r="S56" s="208">
        <f t="shared" si="27"/>
        <v>5.6000000000000001E-2</v>
      </c>
      <c r="T56" s="29">
        <f t="shared" si="28"/>
        <v>5.5999999999999999E-5</v>
      </c>
      <c r="U56" s="37">
        <f t="shared" si="18"/>
        <v>0.85608715033592941</v>
      </c>
      <c r="V56" s="84">
        <f t="shared" si="29"/>
        <v>4.9289279581529488</v>
      </c>
      <c r="W56" s="84">
        <f t="shared" si="30"/>
        <v>4.9289279581529488</v>
      </c>
    </row>
    <row r="57" spans="3:23" x14ac:dyDescent="0.2">
      <c r="C57" s="8" t="str">
        <v>Peru</v>
      </c>
      <c r="D57" s="8" t="str">
        <v>Latin America &amp; Caribbean</v>
      </c>
      <c r="E57" s="229">
        <f t="shared" si="19"/>
        <v>13870</v>
      </c>
      <c r="F57" s="80">
        <f t="shared" si="20"/>
        <v>15604.249320000003</v>
      </c>
      <c r="G57" s="82">
        <f t="shared" si="21"/>
        <v>2301489.3551951111</v>
      </c>
      <c r="H57" s="83">
        <f t="shared" si="22"/>
        <v>0.374987534713008</v>
      </c>
      <c r="I57" s="225">
        <f t="shared" si="23"/>
        <v>1.0000000000000001E-5</v>
      </c>
      <c r="J57" s="147">
        <f t="shared" si="24"/>
        <v>1E-8</v>
      </c>
      <c r="K57" s="57">
        <f t="shared" si="12"/>
        <v>255043.64687217056</v>
      </c>
      <c r="L57" s="57">
        <f t="shared" si="13"/>
        <v>1278266.5010336409</v>
      </c>
      <c r="M57" s="86">
        <f t="shared" si="14"/>
        <v>2776701</v>
      </c>
      <c r="N57" s="37">
        <f t="shared" si="15"/>
        <v>2.5823319300000001</v>
      </c>
      <c r="O57" s="230">
        <f t="shared" si="25"/>
        <v>1.3</v>
      </c>
      <c r="P57" s="30">
        <f t="shared" si="26"/>
        <v>1.2999999999999999E-3</v>
      </c>
      <c r="Q57" s="86">
        <f t="shared" si="16"/>
        <v>7165.6698661596956</v>
      </c>
      <c r="R57" s="37">
        <f t="shared" si="17"/>
        <v>1.4905088778170197</v>
      </c>
      <c r="S57" s="208">
        <f t="shared" si="27"/>
        <v>5.6000000000000001E-2</v>
      </c>
      <c r="T57" s="29">
        <f t="shared" si="28"/>
        <v>5.5999999999999999E-5</v>
      </c>
      <c r="U57" s="37">
        <f t="shared" si="18"/>
        <v>0.85608715033592941</v>
      </c>
      <c r="V57" s="84">
        <f t="shared" si="29"/>
        <v>4.9289279581529488</v>
      </c>
      <c r="W57" s="84">
        <f t="shared" si="30"/>
        <v>4.9289279581529488</v>
      </c>
    </row>
    <row r="58" spans="3:23" x14ac:dyDescent="0.2">
      <c r="C58" s="8" t="str">
        <v>Philippines</v>
      </c>
      <c r="D58" s="8" t="str">
        <v>East Asia &amp; Pacific</v>
      </c>
      <c r="E58" s="229">
        <f t="shared" si="19"/>
        <v>9110</v>
      </c>
      <c r="F58" s="80">
        <f t="shared" si="20"/>
        <v>10249.077960000001</v>
      </c>
      <c r="G58" s="82">
        <f t="shared" si="21"/>
        <v>1788438.951587003</v>
      </c>
      <c r="H58" s="83">
        <f t="shared" si="22"/>
        <v>0.29139492299909958</v>
      </c>
      <c r="I58" s="225">
        <f t="shared" si="23"/>
        <v>1.0000000000000001E-5</v>
      </c>
      <c r="J58" s="147">
        <f t="shared" si="24"/>
        <v>1E-8</v>
      </c>
      <c r="K58" s="57">
        <f t="shared" si="12"/>
        <v>198189.0515336846</v>
      </c>
      <c r="L58" s="57">
        <f t="shared" si="13"/>
        <v>993314.00156034378</v>
      </c>
      <c r="M58" s="86">
        <f t="shared" si="14"/>
        <v>2776701</v>
      </c>
      <c r="N58" s="37">
        <f t="shared" si="15"/>
        <v>2.5823319300000001</v>
      </c>
      <c r="O58" s="230">
        <f t="shared" si="25"/>
        <v>1.3</v>
      </c>
      <c r="P58" s="30">
        <f t="shared" si="26"/>
        <v>1.2999999999999999E-3</v>
      </c>
      <c r="Q58" s="86">
        <f t="shared" si="16"/>
        <v>5568.291277961087</v>
      </c>
      <c r="R58" s="37">
        <f t="shared" si="17"/>
        <v>1.4905088778170197</v>
      </c>
      <c r="S58" s="208">
        <f t="shared" si="27"/>
        <v>5.6000000000000001E-2</v>
      </c>
      <c r="T58" s="29">
        <f t="shared" si="28"/>
        <v>5.5999999999999999E-5</v>
      </c>
      <c r="U58" s="37">
        <f t="shared" si="18"/>
        <v>0.85608715033592941</v>
      </c>
      <c r="V58" s="84">
        <f t="shared" si="29"/>
        <v>4.9289279581529488</v>
      </c>
      <c r="W58" s="84">
        <f t="shared" si="30"/>
        <v>4.9289279581529488</v>
      </c>
    </row>
    <row r="59" spans="3:23" x14ac:dyDescent="0.2">
      <c r="C59" s="8" t="str">
        <v>Poland</v>
      </c>
      <c r="D59" s="8" t="str">
        <v>Europe &amp; Central Asia</v>
      </c>
      <c r="E59" s="229">
        <f t="shared" si="19"/>
        <v>38630</v>
      </c>
      <c r="F59" s="80">
        <f t="shared" si="20"/>
        <v>43460.140680000004</v>
      </c>
      <c r="G59" s="82">
        <f t="shared" si="21"/>
        <v>4255179.8306965232</v>
      </c>
      <c r="H59" s="83">
        <f t="shared" si="22"/>
        <v>0.69330731027349546</v>
      </c>
      <c r="I59" s="225">
        <f t="shared" si="23"/>
        <v>1.0000000000000001E-5</v>
      </c>
      <c r="J59" s="147">
        <f t="shared" si="24"/>
        <v>1E-8</v>
      </c>
      <c r="K59" s="57">
        <f t="shared" si="12"/>
        <v>471545.34070210491</v>
      </c>
      <c r="L59" s="57">
        <f t="shared" si="13"/>
        <v>2363362.5856993143</v>
      </c>
      <c r="M59" s="86">
        <f t="shared" si="14"/>
        <v>2776701</v>
      </c>
      <c r="N59" s="37">
        <f t="shared" si="15"/>
        <v>2.5823319300000001</v>
      </c>
      <c r="O59" s="230">
        <f t="shared" si="25"/>
        <v>1.3</v>
      </c>
      <c r="P59" s="30">
        <f t="shared" si="26"/>
        <v>1.2999999999999999E-3</v>
      </c>
      <c r="Q59" s="86">
        <f t="shared" si="16"/>
        <v>13248.470525872872</v>
      </c>
      <c r="R59" s="37">
        <f t="shared" si="17"/>
        <v>1.4905088778170197</v>
      </c>
      <c r="S59" s="208">
        <f t="shared" si="27"/>
        <v>5.6000000000000001E-2</v>
      </c>
      <c r="T59" s="29">
        <f t="shared" si="28"/>
        <v>5.5999999999999999E-5</v>
      </c>
      <c r="U59" s="37">
        <f t="shared" si="18"/>
        <v>0.85608715033592941</v>
      </c>
      <c r="V59" s="84">
        <f t="shared" si="29"/>
        <v>4.9289279581529488</v>
      </c>
      <c r="W59" s="84">
        <f t="shared" si="30"/>
        <v>4.9289279581529488</v>
      </c>
    </row>
    <row r="60" spans="3:23" x14ac:dyDescent="0.2">
      <c r="C60" s="8" t="str">
        <v>Portugal</v>
      </c>
      <c r="D60" s="8" t="str">
        <v>Europe &amp; Central Asia</v>
      </c>
      <c r="E60" s="229">
        <f t="shared" si="19"/>
        <v>38400</v>
      </c>
      <c r="F60" s="80">
        <f t="shared" si="20"/>
        <v>43201.382400000002</v>
      </c>
      <c r="G60" s="82">
        <f t="shared" si="21"/>
        <v>4239960.6742719682</v>
      </c>
      <c r="H60" s="83">
        <f t="shared" si="22"/>
        <v>0.69082761427352335</v>
      </c>
      <c r="I60" s="225">
        <f t="shared" si="23"/>
        <v>1.0000000000000001E-5</v>
      </c>
      <c r="J60" s="147">
        <f t="shared" si="24"/>
        <v>1E-8</v>
      </c>
      <c r="K60" s="57">
        <f t="shared" si="12"/>
        <v>469858.80274437991</v>
      </c>
      <c r="L60" s="57">
        <f t="shared" si="13"/>
        <v>2354909.7385081742</v>
      </c>
      <c r="M60" s="86">
        <f t="shared" si="14"/>
        <v>2776701</v>
      </c>
      <c r="N60" s="37">
        <f t="shared" si="15"/>
        <v>2.5823319300000001</v>
      </c>
      <c r="O60" s="230">
        <f t="shared" si="25"/>
        <v>1.3</v>
      </c>
      <c r="P60" s="30">
        <f t="shared" si="26"/>
        <v>1.2999999999999999E-3</v>
      </c>
      <c r="Q60" s="86">
        <f t="shared" si="16"/>
        <v>13201.085796356901</v>
      </c>
      <c r="R60" s="37">
        <f t="shared" si="17"/>
        <v>1.4905088778170197</v>
      </c>
      <c r="S60" s="208">
        <f t="shared" si="27"/>
        <v>5.6000000000000001E-2</v>
      </c>
      <c r="T60" s="29">
        <f t="shared" si="28"/>
        <v>5.5999999999999999E-5</v>
      </c>
      <c r="U60" s="37">
        <f t="shared" si="18"/>
        <v>0.85608715033592941</v>
      </c>
      <c r="V60" s="84">
        <f t="shared" si="29"/>
        <v>4.9289279581529488</v>
      </c>
      <c r="W60" s="84">
        <f t="shared" si="30"/>
        <v>4.9289279581529488</v>
      </c>
    </row>
    <row r="61" spans="3:23" x14ac:dyDescent="0.2">
      <c r="C61" s="8" t="str">
        <v>Romania</v>
      </c>
      <c r="D61" s="8" t="str">
        <v>Europe &amp; Central Asia</v>
      </c>
      <c r="E61" s="229">
        <f t="shared" si="19"/>
        <v>37210</v>
      </c>
      <c r="F61" s="80">
        <f t="shared" si="20"/>
        <v>41862.589560000008</v>
      </c>
      <c r="G61" s="82">
        <f t="shared" si="21"/>
        <v>4160628.0811564629</v>
      </c>
      <c r="H61" s="83">
        <f t="shared" si="22"/>
        <v>0.67790175239733352</v>
      </c>
      <c r="I61" s="225">
        <f t="shared" si="23"/>
        <v>1.0000000000000001E-5</v>
      </c>
      <c r="J61" s="147">
        <f t="shared" si="24"/>
        <v>1E-8</v>
      </c>
      <c r="K61" s="57">
        <f t="shared" si="12"/>
        <v>461067.41997377004</v>
      </c>
      <c r="L61" s="57">
        <f t="shared" si="13"/>
        <v>2310847.7505651163</v>
      </c>
      <c r="M61" s="86">
        <f t="shared" si="14"/>
        <v>2776701</v>
      </c>
      <c r="N61" s="37">
        <f t="shared" si="15"/>
        <v>2.5823319300000001</v>
      </c>
      <c r="O61" s="230">
        <f t="shared" si="25"/>
        <v>1.3</v>
      </c>
      <c r="P61" s="30">
        <f t="shared" si="26"/>
        <v>1.2999999999999999E-3</v>
      </c>
      <c r="Q61" s="86">
        <f t="shared" si="16"/>
        <v>12954.084361999241</v>
      </c>
      <c r="R61" s="37">
        <f t="shared" si="17"/>
        <v>1.4905088778170197</v>
      </c>
      <c r="S61" s="208">
        <f t="shared" si="27"/>
        <v>5.6000000000000001E-2</v>
      </c>
      <c r="T61" s="29">
        <f t="shared" si="28"/>
        <v>5.5999999999999999E-5</v>
      </c>
      <c r="U61" s="37">
        <f t="shared" si="18"/>
        <v>0.85608715033592941</v>
      </c>
      <c r="V61" s="84">
        <f t="shared" si="29"/>
        <v>4.9289279581529488</v>
      </c>
      <c r="W61" s="84">
        <f t="shared" si="30"/>
        <v>4.9289279581529488</v>
      </c>
    </row>
    <row r="62" spans="3:23" x14ac:dyDescent="0.2">
      <c r="C62" s="8" t="str">
        <v>Russian Federation</v>
      </c>
      <c r="D62" s="8" t="str">
        <v>Europe &amp; Central Asia</v>
      </c>
      <c r="E62" s="229">
        <f t="shared" si="19"/>
        <v>38030</v>
      </c>
      <c r="F62" s="80">
        <f t="shared" si="20"/>
        <v>42785.119080000004</v>
      </c>
      <c r="G62" s="82">
        <f t="shared" si="21"/>
        <v>4215400.9507923443</v>
      </c>
      <c r="H62" s="83">
        <f t="shared" si="22"/>
        <v>0.68682603584342183</v>
      </c>
      <c r="I62" s="225">
        <f t="shared" si="23"/>
        <v>1.0000000000000001E-5</v>
      </c>
      <c r="J62" s="147">
        <f t="shared" si="24"/>
        <v>1E-8</v>
      </c>
      <c r="K62" s="57">
        <f t="shared" si="12"/>
        <v>467137.1731925091</v>
      </c>
      <c r="L62" s="57">
        <f t="shared" si="13"/>
        <v>2341269.0619924269</v>
      </c>
      <c r="M62" s="86">
        <f t="shared" si="14"/>
        <v>2776701</v>
      </c>
      <c r="N62" s="37">
        <f t="shared" si="15"/>
        <v>2.5823319300000001</v>
      </c>
      <c r="O62" s="230">
        <f t="shared" si="25"/>
        <v>1.3</v>
      </c>
      <c r="P62" s="30">
        <f t="shared" si="26"/>
        <v>1.2999999999999999E-3</v>
      </c>
      <c r="Q62" s="86">
        <f t="shared" si="16"/>
        <v>13124.619281288344</v>
      </c>
      <c r="R62" s="37">
        <f t="shared" si="17"/>
        <v>1.4905088778170197</v>
      </c>
      <c r="S62" s="208">
        <f t="shared" si="27"/>
        <v>5.6000000000000001E-2</v>
      </c>
      <c r="T62" s="29">
        <f t="shared" si="28"/>
        <v>5.5999999999999999E-5</v>
      </c>
      <c r="U62" s="37">
        <f t="shared" si="18"/>
        <v>0.85608715033592941</v>
      </c>
      <c r="V62" s="84">
        <f t="shared" si="29"/>
        <v>4.9289279581529488</v>
      </c>
      <c r="W62" s="84">
        <f t="shared" si="30"/>
        <v>4.9289279581529488</v>
      </c>
    </row>
    <row r="63" spans="3:23" x14ac:dyDescent="0.2">
      <c r="C63" s="8" t="str">
        <v>Slovak Republic</v>
      </c>
      <c r="D63" s="8" t="str">
        <v>Europe &amp; Central Asia</v>
      </c>
      <c r="E63" s="229">
        <f t="shared" si="19"/>
        <v>36700</v>
      </c>
      <c r="F63" s="80">
        <f t="shared" si="20"/>
        <v>41288.821200000006</v>
      </c>
      <c r="G63" s="82">
        <f t="shared" si="21"/>
        <v>4126318.3616348142</v>
      </c>
      <c r="H63" s="83">
        <f t="shared" si="22"/>
        <v>0.67231158222727549</v>
      </c>
      <c r="I63" s="225">
        <f t="shared" si="23"/>
        <v>1.0000000000000001E-5</v>
      </c>
      <c r="J63" s="147">
        <f t="shared" si="24"/>
        <v>1E-8</v>
      </c>
      <c r="K63" s="57">
        <f t="shared" si="12"/>
        <v>457265.3272244769</v>
      </c>
      <c r="L63" s="57">
        <f t="shared" si="13"/>
        <v>2291791.8444296457</v>
      </c>
      <c r="M63" s="86">
        <f t="shared" si="14"/>
        <v>2776701</v>
      </c>
      <c r="N63" s="37">
        <f t="shared" si="15"/>
        <v>2.5823319300000001</v>
      </c>
      <c r="O63" s="230">
        <f t="shared" si="25"/>
        <v>1.3</v>
      </c>
      <c r="P63" s="30">
        <f t="shared" si="26"/>
        <v>1.2999999999999999E-3</v>
      </c>
      <c r="Q63" s="86">
        <f t="shared" si="16"/>
        <v>12847.261307294377</v>
      </c>
      <c r="R63" s="37">
        <f t="shared" si="17"/>
        <v>1.4905088778170197</v>
      </c>
      <c r="S63" s="208">
        <f t="shared" si="27"/>
        <v>5.6000000000000001E-2</v>
      </c>
      <c r="T63" s="29">
        <f t="shared" si="28"/>
        <v>5.5999999999999999E-5</v>
      </c>
      <c r="U63" s="37">
        <f t="shared" si="18"/>
        <v>0.85608715033592941</v>
      </c>
      <c r="V63" s="84">
        <f t="shared" si="29"/>
        <v>4.9289279581529488</v>
      </c>
      <c r="W63" s="84">
        <f t="shared" si="30"/>
        <v>4.9289279581529488</v>
      </c>
    </row>
    <row r="64" spans="3:23" x14ac:dyDescent="0.2">
      <c r="C64" s="8" t="str">
        <v>Slovenia</v>
      </c>
      <c r="D64" s="8" t="str">
        <v>Europe &amp; Central Asia</v>
      </c>
      <c r="E64" s="229">
        <f t="shared" si="19"/>
        <v>45940</v>
      </c>
      <c r="F64" s="80">
        <f t="shared" si="20"/>
        <v>51684.153840000006</v>
      </c>
      <c r="G64" s="82">
        <f t="shared" si="21"/>
        <v>4721474.9343046928</v>
      </c>
      <c r="H64" s="83">
        <f t="shared" si="22"/>
        <v>0.76928196162527229</v>
      </c>
      <c r="I64" s="225">
        <f t="shared" si="23"/>
        <v>1.0000000000000001E-5</v>
      </c>
      <c r="J64" s="147">
        <f t="shared" si="24"/>
        <v>1E-8</v>
      </c>
      <c r="K64" s="57">
        <f t="shared" si="12"/>
        <v>523218.66409785108</v>
      </c>
      <c r="L64" s="57">
        <f t="shared" si="13"/>
        <v>2622346.799201272</v>
      </c>
      <c r="M64" s="86">
        <f t="shared" si="14"/>
        <v>2776701</v>
      </c>
      <c r="N64" s="37">
        <f t="shared" si="15"/>
        <v>2.5823319300000001</v>
      </c>
      <c r="O64" s="230">
        <f t="shared" si="25"/>
        <v>1.3</v>
      </c>
      <c r="P64" s="30">
        <f t="shared" si="26"/>
        <v>1.2999999999999999E-3</v>
      </c>
      <c r="Q64" s="86">
        <f t="shared" si="16"/>
        <v>14700.276837781541</v>
      </c>
      <c r="R64" s="37">
        <f t="shared" si="17"/>
        <v>1.4905088778170197</v>
      </c>
      <c r="S64" s="208">
        <f t="shared" si="27"/>
        <v>5.6000000000000001E-2</v>
      </c>
      <c r="T64" s="29">
        <f t="shared" si="28"/>
        <v>5.5999999999999999E-5</v>
      </c>
      <c r="U64" s="37">
        <f t="shared" si="18"/>
        <v>0.85608715033592941</v>
      </c>
      <c r="V64" s="84">
        <f t="shared" si="29"/>
        <v>4.9289279581529488</v>
      </c>
      <c r="W64" s="84">
        <f t="shared" si="30"/>
        <v>4.9289279581529488</v>
      </c>
    </row>
    <row r="65" spans="3:23" x14ac:dyDescent="0.2">
      <c r="C65" s="8" t="str">
        <v>South Africa</v>
      </c>
      <c r="D65" s="8" t="str">
        <v>Sub-Saharan Africa</v>
      </c>
      <c r="E65" s="229">
        <f t="shared" si="19"/>
        <v>13900</v>
      </c>
      <c r="F65" s="80">
        <f t="shared" si="20"/>
        <v>15638.000400000003</v>
      </c>
      <c r="G65" s="82">
        <f t="shared" si="21"/>
        <v>2304474.8566879258</v>
      </c>
      <c r="H65" s="83">
        <f t="shared" si="22"/>
        <v>0.37547397009110156</v>
      </c>
      <c r="I65" s="225">
        <f t="shared" si="23"/>
        <v>1.0000000000000001E-5</v>
      </c>
      <c r="J65" s="147">
        <f t="shared" si="24"/>
        <v>1E-8</v>
      </c>
      <c r="K65" s="57">
        <f t="shared" si="12"/>
        <v>255374.49054379173</v>
      </c>
      <c r="L65" s="57">
        <f t="shared" si="13"/>
        <v>1279924.6736158587</v>
      </c>
      <c r="M65" s="86">
        <f t="shared" si="14"/>
        <v>2776701</v>
      </c>
      <c r="N65" s="37">
        <f t="shared" si="15"/>
        <v>2.5823319300000001</v>
      </c>
      <c r="O65" s="230">
        <f t="shared" si="25"/>
        <v>1.3</v>
      </c>
      <c r="P65" s="30">
        <f t="shared" si="26"/>
        <v>1.2999999999999999E-3</v>
      </c>
      <c r="Q65" s="86">
        <f t="shared" si="16"/>
        <v>7174.9652026921667</v>
      </c>
      <c r="R65" s="37">
        <f t="shared" si="17"/>
        <v>1.4905088778170197</v>
      </c>
      <c r="S65" s="208">
        <f t="shared" si="27"/>
        <v>5.6000000000000001E-2</v>
      </c>
      <c r="T65" s="29">
        <f t="shared" si="28"/>
        <v>5.5999999999999999E-5</v>
      </c>
      <c r="U65" s="37">
        <f t="shared" si="18"/>
        <v>0.85608715033592941</v>
      </c>
      <c r="V65" s="84">
        <f t="shared" si="29"/>
        <v>4.9289279581529488</v>
      </c>
      <c r="W65" s="84">
        <f t="shared" si="30"/>
        <v>4.9289279581529488</v>
      </c>
    </row>
    <row r="66" spans="3:23" x14ac:dyDescent="0.2">
      <c r="C66" s="8" t="str">
        <v>Spain</v>
      </c>
      <c r="D66" s="8" t="str">
        <v>Europe &amp; Central Asia</v>
      </c>
      <c r="E66" s="229">
        <f t="shared" si="19"/>
        <v>43960</v>
      </c>
      <c r="F66" s="80">
        <f t="shared" si="20"/>
        <v>49456.58256000001</v>
      </c>
      <c r="G66" s="82">
        <f t="shared" si="21"/>
        <v>4598304.2592161456</v>
      </c>
      <c r="H66" s="83">
        <f t="shared" si="22"/>
        <v>0.74921344916566301</v>
      </c>
      <c r="I66" s="225">
        <f t="shared" si="23"/>
        <v>1.0000000000000001E-5</v>
      </c>
      <c r="J66" s="147">
        <f t="shared" si="24"/>
        <v>1E-8</v>
      </c>
      <c r="K66" s="57">
        <f t="shared" si="12"/>
        <v>509569.28610208485</v>
      </c>
      <c r="L66" s="57">
        <f t="shared" si="13"/>
        <v>2553936.772659115</v>
      </c>
      <c r="M66" s="86">
        <f t="shared" si="14"/>
        <v>2776701</v>
      </c>
      <c r="N66" s="37">
        <f t="shared" si="15"/>
        <v>2.5823319300000001</v>
      </c>
      <c r="O66" s="230">
        <f t="shared" si="25"/>
        <v>1.3</v>
      </c>
      <c r="P66" s="30">
        <f t="shared" si="26"/>
        <v>1.2999999999999999E-3</v>
      </c>
      <c r="Q66" s="86">
        <f t="shared" si="16"/>
        <v>14316.78586360681</v>
      </c>
      <c r="R66" s="37">
        <f t="shared" si="17"/>
        <v>1.4905088778170197</v>
      </c>
      <c r="S66" s="208">
        <f t="shared" si="27"/>
        <v>5.6000000000000001E-2</v>
      </c>
      <c r="T66" s="29">
        <f t="shared" si="28"/>
        <v>5.5999999999999999E-5</v>
      </c>
      <c r="U66" s="37">
        <f t="shared" si="18"/>
        <v>0.85608715033592941</v>
      </c>
      <c r="V66" s="84">
        <f t="shared" si="29"/>
        <v>4.9289279581529488</v>
      </c>
      <c r="W66" s="84">
        <f t="shared" si="30"/>
        <v>4.9289279581529488</v>
      </c>
    </row>
    <row r="67" spans="3:23" x14ac:dyDescent="0.2">
      <c r="C67" s="8" t="str">
        <v>Sri Lanka</v>
      </c>
      <c r="D67" s="8" t="str">
        <v>South Asia</v>
      </c>
      <c r="E67" s="229">
        <f t="shared" si="19"/>
        <v>13990</v>
      </c>
      <c r="F67" s="80">
        <f t="shared" si="20"/>
        <v>15739.253640000003</v>
      </c>
      <c r="G67" s="82">
        <f t="shared" si="21"/>
        <v>2313415.9343748144</v>
      </c>
      <c r="H67" s="83">
        <f t="shared" si="22"/>
        <v>0.37693076269886028</v>
      </c>
      <c r="I67" s="225">
        <f t="shared" si="23"/>
        <v>1.0000000000000001E-5</v>
      </c>
      <c r="J67" s="147">
        <f t="shared" si="24"/>
        <v>1E-8</v>
      </c>
      <c r="K67" s="57">
        <f t="shared" si="12"/>
        <v>256365.31201124014</v>
      </c>
      <c r="L67" s="57">
        <f t="shared" si="13"/>
        <v>1284890.6231930272</v>
      </c>
      <c r="M67" s="86">
        <f t="shared" si="14"/>
        <v>2776701</v>
      </c>
      <c r="N67" s="37">
        <f t="shared" si="15"/>
        <v>2.5823319300000001</v>
      </c>
      <c r="O67" s="230">
        <f t="shared" si="25"/>
        <v>1.3</v>
      </c>
      <c r="P67" s="30">
        <f t="shared" si="26"/>
        <v>1.2999999999999999E-3</v>
      </c>
      <c r="Q67" s="86">
        <f t="shared" si="16"/>
        <v>7202.8031810896355</v>
      </c>
      <c r="R67" s="37">
        <f t="shared" si="17"/>
        <v>1.4905088778170197</v>
      </c>
      <c r="S67" s="208">
        <f t="shared" si="27"/>
        <v>5.6000000000000001E-2</v>
      </c>
      <c r="T67" s="29">
        <f t="shared" si="28"/>
        <v>5.5999999999999999E-5</v>
      </c>
      <c r="U67" s="37">
        <f t="shared" si="18"/>
        <v>0.85608715033592941</v>
      </c>
      <c r="V67" s="84">
        <f t="shared" si="29"/>
        <v>4.9289279581529488</v>
      </c>
      <c r="W67" s="84">
        <f t="shared" si="30"/>
        <v>4.9289279581529488</v>
      </c>
    </row>
    <row r="68" spans="3:23" x14ac:dyDescent="0.2">
      <c r="C68" s="8" t="str">
        <v>Sweden</v>
      </c>
      <c r="D68" s="8" t="str">
        <v>Europe &amp; Central Asia</v>
      </c>
      <c r="E68" s="229">
        <f t="shared" si="19"/>
        <v>66040</v>
      </c>
      <c r="F68" s="80">
        <f t="shared" si="20"/>
        <v>74297.377440000011</v>
      </c>
      <c r="G68" s="82">
        <f t="shared" si="21"/>
        <v>5870124.7746327538</v>
      </c>
      <c r="H68" s="83">
        <f t="shared" si="22"/>
        <v>0.9564344117988226</v>
      </c>
      <c r="I68" s="225">
        <f t="shared" si="23"/>
        <v>1.0000000000000001E-5</v>
      </c>
      <c r="J68" s="147">
        <f t="shared" si="24"/>
        <v>1E-8</v>
      </c>
      <c r="K68" s="57">
        <f t="shared" si="12"/>
        <v>650508.34440643946</v>
      </c>
      <c r="L68" s="57">
        <f t="shared" si="13"/>
        <v>3260316.5595195964</v>
      </c>
      <c r="M68" s="86">
        <f t="shared" si="14"/>
        <v>2776701</v>
      </c>
      <c r="N68" s="37">
        <f t="shared" si="15"/>
        <v>2.5823319300000001</v>
      </c>
      <c r="O68" s="230">
        <f t="shared" si="25"/>
        <v>1.3</v>
      </c>
      <c r="P68" s="30">
        <f t="shared" si="26"/>
        <v>1.2999999999999999E-3</v>
      </c>
      <c r="Q68" s="86">
        <f t="shared" si="16"/>
        <v>18276.589510715956</v>
      </c>
      <c r="R68" s="37">
        <f t="shared" si="17"/>
        <v>1.4905088778170197</v>
      </c>
      <c r="S68" s="208">
        <f t="shared" si="27"/>
        <v>5.6000000000000001E-2</v>
      </c>
      <c r="T68" s="29">
        <f t="shared" si="28"/>
        <v>5.5999999999999999E-5</v>
      </c>
      <c r="U68" s="37">
        <f t="shared" si="18"/>
        <v>0.85608715033592941</v>
      </c>
      <c r="V68" s="84">
        <f t="shared" si="29"/>
        <v>4.9289279581529488</v>
      </c>
      <c r="W68" s="84">
        <f t="shared" si="30"/>
        <v>4.9289279581529488</v>
      </c>
    </row>
    <row r="69" spans="3:23" x14ac:dyDescent="0.2">
      <c r="C69" s="8" t="str">
        <v>Thailand</v>
      </c>
      <c r="D69" s="8" t="str">
        <v>East Asia &amp; Pacific</v>
      </c>
      <c r="E69" s="229">
        <f t="shared" si="19"/>
        <v>19580</v>
      </c>
      <c r="F69" s="80">
        <f t="shared" si="20"/>
        <v>22028.204880000001</v>
      </c>
      <c r="G69" s="82">
        <f t="shared" si="21"/>
        <v>2830418.8401867519</v>
      </c>
      <c r="H69" s="83">
        <f t="shared" si="22"/>
        <v>0.46116736568477529</v>
      </c>
      <c r="I69" s="225">
        <f t="shared" si="23"/>
        <v>1.0000000000000001E-5</v>
      </c>
      <c r="J69" s="147">
        <f t="shared" si="24"/>
        <v>1E-8</v>
      </c>
      <c r="K69" s="57">
        <f t="shared" si="12"/>
        <v>313657.91092947737</v>
      </c>
      <c r="L69" s="57">
        <f t="shared" si="13"/>
        <v>1572038.3755581146</v>
      </c>
      <c r="M69" s="86">
        <f t="shared" si="14"/>
        <v>2776701</v>
      </c>
      <c r="N69" s="37">
        <f t="shared" si="15"/>
        <v>2.5823319300000001</v>
      </c>
      <c r="O69" s="230">
        <f t="shared" si="25"/>
        <v>1.3</v>
      </c>
      <c r="P69" s="30">
        <f t="shared" si="26"/>
        <v>1.2999999999999999E-3</v>
      </c>
      <c r="Q69" s="86">
        <f t="shared" si="16"/>
        <v>8812.4878552903283</v>
      </c>
      <c r="R69" s="37">
        <f t="shared" si="17"/>
        <v>1.4905088778170197</v>
      </c>
      <c r="S69" s="208">
        <f t="shared" si="27"/>
        <v>5.6000000000000001E-2</v>
      </c>
      <c r="T69" s="29">
        <f t="shared" si="28"/>
        <v>5.5999999999999999E-5</v>
      </c>
      <c r="U69" s="37">
        <f t="shared" si="18"/>
        <v>0.85608715033592941</v>
      </c>
      <c r="V69" s="84">
        <f t="shared" si="29"/>
        <v>4.9289279581529488</v>
      </c>
      <c r="W69" s="84">
        <f t="shared" si="30"/>
        <v>4.9289279581529488</v>
      </c>
    </row>
    <row r="70" spans="3:23" x14ac:dyDescent="0.2">
      <c r="C70" s="8" t="str">
        <v>Ukraine</v>
      </c>
      <c r="D70" s="8" t="str">
        <v>Europe &amp; Central Asia</v>
      </c>
      <c r="E70" s="229">
        <f t="shared" si="19"/>
        <v>17520</v>
      </c>
      <c r="F70" s="80">
        <f t="shared" si="20"/>
        <v>19710.630720000001</v>
      </c>
      <c r="G70" s="82">
        <f t="shared" si="21"/>
        <v>2647790.1059638811</v>
      </c>
      <c r="H70" s="83">
        <f t="shared" si="22"/>
        <v>0.43141119989612842</v>
      </c>
      <c r="I70" s="225">
        <f t="shared" si="23"/>
        <v>1.0000000000000001E-5</v>
      </c>
      <c r="J70" s="147">
        <f t="shared" si="24"/>
        <v>1E-8</v>
      </c>
      <c r="K70" s="57">
        <f t="shared" si="12"/>
        <v>293419.58208615286</v>
      </c>
      <c r="L70" s="57">
        <f t="shared" si="13"/>
        <v>1470604.844025017</v>
      </c>
      <c r="M70" s="86">
        <f t="shared" si="14"/>
        <v>2776701</v>
      </c>
      <c r="N70" s="37">
        <f t="shared" si="15"/>
        <v>2.5823319300000001</v>
      </c>
      <c r="O70" s="230">
        <f t="shared" si="25"/>
        <v>1.3</v>
      </c>
      <c r="P70" s="30">
        <f t="shared" si="26"/>
        <v>1.2999999999999999E-3</v>
      </c>
      <c r="Q70" s="86">
        <f t="shared" si="16"/>
        <v>8243.8746594214408</v>
      </c>
      <c r="R70" s="37">
        <f t="shared" si="17"/>
        <v>1.4905088778170197</v>
      </c>
      <c r="S70" s="208">
        <f t="shared" si="27"/>
        <v>5.6000000000000001E-2</v>
      </c>
      <c r="T70" s="29">
        <f t="shared" si="28"/>
        <v>5.5999999999999999E-5</v>
      </c>
      <c r="U70" s="37">
        <f t="shared" si="18"/>
        <v>0.85608715033592941</v>
      </c>
      <c r="V70" s="84">
        <f t="shared" si="29"/>
        <v>4.9289279581529488</v>
      </c>
      <c r="W70" s="84">
        <f t="shared" si="30"/>
        <v>4.9289279581529488</v>
      </c>
    </row>
    <row r="71" spans="3:23" x14ac:dyDescent="0.2">
      <c r="C71" s="8" t="str">
        <v>United Kingdom</v>
      </c>
      <c r="D71" s="8" t="str">
        <v>Europe &amp; Central Asia</v>
      </c>
      <c r="E71" s="229">
        <f t="shared" si="19"/>
        <v>53130</v>
      </c>
      <c r="F71" s="80">
        <f t="shared" si="20"/>
        <v>59773.162680000009</v>
      </c>
      <c r="G71" s="82">
        <f t="shared" si="21"/>
        <v>5151894.7662426289</v>
      </c>
      <c r="H71" s="83">
        <f t="shared" si="22"/>
        <v>0.83941136339967715</v>
      </c>
      <c r="I71" s="225">
        <f t="shared" si="23"/>
        <v>1.0000000000000001E-5</v>
      </c>
      <c r="J71" s="147">
        <f t="shared" si="24"/>
        <v>1E-8</v>
      </c>
      <c r="K71" s="57">
        <f t="shared" si="12"/>
        <v>570916.40529129305</v>
      </c>
      <c r="L71" s="57">
        <f t="shared" si="13"/>
        <v>2861405.5857669609</v>
      </c>
      <c r="M71" s="86">
        <f t="shared" si="14"/>
        <v>2776701</v>
      </c>
      <c r="N71" s="37">
        <f t="shared" si="15"/>
        <v>2.5823319300000001</v>
      </c>
      <c r="O71" s="230">
        <f t="shared" si="25"/>
        <v>1.3</v>
      </c>
      <c r="P71" s="30">
        <f t="shared" si="26"/>
        <v>1.2999999999999999E-3</v>
      </c>
      <c r="Q71" s="86">
        <f t="shared" si="16"/>
        <v>16040.385760098812</v>
      </c>
      <c r="R71" s="37">
        <f t="shared" si="17"/>
        <v>1.4905088778170197</v>
      </c>
      <c r="S71" s="208">
        <f t="shared" si="27"/>
        <v>5.6000000000000001E-2</v>
      </c>
      <c r="T71" s="29">
        <f t="shared" si="28"/>
        <v>5.5999999999999999E-5</v>
      </c>
      <c r="U71" s="37">
        <f t="shared" si="18"/>
        <v>0.85608715033592941</v>
      </c>
      <c r="V71" s="84">
        <f t="shared" si="29"/>
        <v>4.9289279581529488</v>
      </c>
      <c r="W71" s="84">
        <f t="shared" si="30"/>
        <v>4.9289279581529488</v>
      </c>
    </row>
    <row r="72" spans="3:23" x14ac:dyDescent="0.2">
      <c r="C72" s="8" t="str">
        <v>United States</v>
      </c>
      <c r="D72" s="8" t="str">
        <v>North America</v>
      </c>
      <c r="E72" s="229">
        <f t="shared" si="19"/>
        <v>71610</v>
      </c>
      <c r="F72" s="80">
        <f t="shared" si="20"/>
        <v>80563.82796000001</v>
      </c>
      <c r="G72" s="82">
        <f t="shared" si="21"/>
        <v>6162363.2960136076</v>
      </c>
      <c r="H72" s="83">
        <f t="shared" si="22"/>
        <v>1.0040495799652169</v>
      </c>
      <c r="I72" s="225">
        <f t="shared" si="23"/>
        <v>1.0000000000000001E-5</v>
      </c>
      <c r="J72" s="147">
        <f t="shared" si="24"/>
        <v>1E-8</v>
      </c>
      <c r="K72" s="57">
        <f t="shared" si="12"/>
        <v>682893.27726796269</v>
      </c>
      <c r="L72" s="57">
        <f t="shared" si="13"/>
        <v>3422628.2866407852</v>
      </c>
      <c r="M72" s="86">
        <f t="shared" si="14"/>
        <v>2776701</v>
      </c>
      <c r="N72" s="37">
        <f t="shared" si="15"/>
        <v>2.5823319300000001</v>
      </c>
      <c r="O72" s="230">
        <f t="shared" si="25"/>
        <v>1.3</v>
      </c>
      <c r="P72" s="30">
        <f t="shared" si="26"/>
        <v>1.2999999999999999E-3</v>
      </c>
      <c r="Q72" s="86">
        <f t="shared" si="16"/>
        <v>19186.471957776994</v>
      </c>
      <c r="R72" s="37">
        <f t="shared" si="17"/>
        <v>1.4905088778170197</v>
      </c>
      <c r="S72" s="208">
        <f t="shared" si="27"/>
        <v>5.6000000000000001E-2</v>
      </c>
      <c r="T72" s="29">
        <f t="shared" si="28"/>
        <v>5.5999999999999999E-5</v>
      </c>
      <c r="U72" s="37">
        <f t="shared" si="18"/>
        <v>0.85608715033592941</v>
      </c>
      <c r="V72" s="84">
        <f t="shared" si="29"/>
        <v>4.9289279581529488</v>
      </c>
      <c r="W72" s="84">
        <f t="shared" si="30"/>
        <v>4.9289279581529488</v>
      </c>
    </row>
    <row r="73" spans="3:23" x14ac:dyDescent="0.2">
      <c r="C73" s="8" t="str">
        <v>Uruguay</v>
      </c>
      <c r="D73" s="8" t="str">
        <v>Latin America &amp; Caribbean</v>
      </c>
      <c r="E73" s="229">
        <f t="shared" si="19"/>
        <v>26280</v>
      </c>
      <c r="F73" s="80">
        <f t="shared" si="20"/>
        <v>29565.946080000005</v>
      </c>
      <c r="G73" s="82">
        <f t="shared" si="21"/>
        <v>3377056.3736608922</v>
      </c>
      <c r="H73" s="83">
        <f t="shared" si="22"/>
        <v>0.55023241419189284</v>
      </c>
      <c r="I73" s="225">
        <f t="shared" si="23"/>
        <v>1.0000000000000001E-5</v>
      </c>
      <c r="J73" s="147">
        <f t="shared" si="24"/>
        <v>1E-8</v>
      </c>
      <c r="K73" s="57">
        <f t="shared" si="12"/>
        <v>374234.52395605983</v>
      </c>
      <c r="L73" s="57">
        <f t="shared" si="13"/>
        <v>1875645.4488084761</v>
      </c>
      <c r="M73" s="86">
        <f t="shared" si="14"/>
        <v>2776701</v>
      </c>
      <c r="N73" s="37">
        <f t="shared" si="15"/>
        <v>2.5823319300000001</v>
      </c>
      <c r="O73" s="230">
        <f t="shared" si="25"/>
        <v>1.3</v>
      </c>
      <c r="P73" s="30">
        <f t="shared" si="26"/>
        <v>1.2999999999999999E-3</v>
      </c>
      <c r="Q73" s="86">
        <f t="shared" si="16"/>
        <v>10514.439720714203</v>
      </c>
      <c r="R73" s="37">
        <f t="shared" si="17"/>
        <v>1.4905088778170197</v>
      </c>
      <c r="S73" s="208">
        <f t="shared" si="27"/>
        <v>5.6000000000000001E-2</v>
      </c>
      <c r="T73" s="29">
        <f t="shared" si="28"/>
        <v>5.5999999999999999E-5</v>
      </c>
      <c r="U73" s="37">
        <f t="shared" si="18"/>
        <v>0.85608715033592941</v>
      </c>
      <c r="V73" s="84">
        <f t="shared" si="29"/>
        <v>4.9289279581529488</v>
      </c>
      <c r="W73" s="84">
        <f t="shared" si="30"/>
        <v>4.9289279581529488</v>
      </c>
    </row>
    <row r="74" spans="3:23" x14ac:dyDescent="0.2">
      <c r="C74" s="8" t="str">
        <v>Venezuela, RB</v>
      </c>
      <c r="D74" s="8" t="str">
        <v>Latin America &amp; Caribbean</v>
      </c>
      <c r="E74" s="229" t="str">
        <f t="shared" si="19"/>
        <v>No value</v>
      </c>
      <c r="F74" s="80" t="str">
        <f t="shared" si="20"/>
        <v>No value</v>
      </c>
      <c r="G74" s="82" t="str">
        <f t="shared" si="21"/>
        <v>No value</v>
      </c>
      <c r="H74" s="83" t="str">
        <f t="shared" si="22"/>
        <v>No value</v>
      </c>
      <c r="I74" s="225">
        <f t="shared" si="23"/>
        <v>1.0000000000000001E-5</v>
      </c>
      <c r="J74" s="147">
        <f t="shared" si="24"/>
        <v>1E-8</v>
      </c>
      <c r="K74" s="57" t="str">
        <f t="shared" si="12"/>
        <v>No value</v>
      </c>
      <c r="L74" s="57" t="str">
        <f t="shared" si="13"/>
        <v>No value</v>
      </c>
      <c r="M74" s="86">
        <f t="shared" si="14"/>
        <v>2776701</v>
      </c>
      <c r="N74" s="37">
        <f t="shared" si="15"/>
        <v>2.5823319300000001</v>
      </c>
      <c r="O74" s="230">
        <f t="shared" si="25"/>
        <v>1.3</v>
      </c>
      <c r="P74" s="30">
        <f t="shared" si="26"/>
        <v>1.2999999999999999E-3</v>
      </c>
      <c r="Q74" s="86" t="str">
        <f t="shared" si="16"/>
        <v>No value</v>
      </c>
      <c r="R74" s="37">
        <f t="shared" si="17"/>
        <v>1.4905088778170197</v>
      </c>
      <c r="S74" s="208">
        <f t="shared" si="27"/>
        <v>5.6000000000000001E-2</v>
      </c>
      <c r="T74" s="29">
        <f t="shared" si="28"/>
        <v>5.5999999999999999E-5</v>
      </c>
      <c r="U74" s="37">
        <f t="shared" si="18"/>
        <v>0.85608715033592941</v>
      </c>
      <c r="V74" s="84">
        <f t="shared" si="29"/>
        <v>4.9289279581529488</v>
      </c>
      <c r="W74" s="84">
        <f t="shared" si="30"/>
        <v>4.9289279581529488</v>
      </c>
    </row>
    <row r="75" spans="3:23" x14ac:dyDescent="0.2">
      <c r="C75" s="8" t="str">
        <v>Viet Nam</v>
      </c>
      <c r="D75" s="8" t="str">
        <v>East Asia &amp; Pacific</v>
      </c>
      <c r="E75" s="229">
        <f t="shared" si="19"/>
        <v>11600</v>
      </c>
      <c r="F75" s="80">
        <f t="shared" si="20"/>
        <v>13050.417600000002</v>
      </c>
      <c r="G75" s="82">
        <f t="shared" si="21"/>
        <v>2067463.6732286646</v>
      </c>
      <c r="H75" s="83">
        <f t="shared" si="22"/>
        <v>0.33685713304852211</v>
      </c>
      <c r="I75" s="225">
        <f t="shared" si="23"/>
        <v>1.0000000000000001E-5</v>
      </c>
      <c r="J75" s="147">
        <f t="shared" si="24"/>
        <v>1E-8</v>
      </c>
      <c r="K75" s="57">
        <f t="shared" si="12"/>
        <v>229109.67361448877</v>
      </c>
      <c r="L75" s="57">
        <f t="shared" si="13"/>
        <v>1148286.6734215766</v>
      </c>
      <c r="M75" s="86">
        <f t="shared" si="14"/>
        <v>2776701</v>
      </c>
      <c r="N75" s="37">
        <f t="shared" si="15"/>
        <v>2.5823319300000001</v>
      </c>
      <c r="O75" s="230">
        <f t="shared" si="25"/>
        <v>1.3</v>
      </c>
      <c r="P75" s="30">
        <f t="shared" si="26"/>
        <v>1.2999999999999999E-3</v>
      </c>
      <c r="Q75" s="86">
        <f t="shared" si="16"/>
        <v>6437.0326585232206</v>
      </c>
      <c r="R75" s="37">
        <f t="shared" si="17"/>
        <v>1.4905088778170197</v>
      </c>
      <c r="S75" s="208">
        <f t="shared" si="27"/>
        <v>5.6000000000000001E-2</v>
      </c>
      <c r="T75" s="29">
        <f t="shared" si="28"/>
        <v>5.5999999999999999E-5</v>
      </c>
      <c r="U75" s="37">
        <f t="shared" si="18"/>
        <v>0.85608715033592941</v>
      </c>
      <c r="V75" s="84">
        <f t="shared" si="29"/>
        <v>4.9289279581529488</v>
      </c>
      <c r="W75" s="84">
        <f t="shared" si="30"/>
        <v>4.9289279581529488</v>
      </c>
    </row>
  </sheetData>
  <mergeCells count="4">
    <mergeCell ref="I8:N8"/>
    <mergeCell ref="O8:R8"/>
    <mergeCell ref="S8:U8"/>
    <mergeCell ref="B5:D7"/>
  </mergeCells>
  <hyperlinks>
    <hyperlink ref="D10" r:id="rId1" xr:uid="{162CB554-268B-4956-8241-63D24B4A187A}"/>
    <hyperlink ref="I10" r:id="rId2" xr:uid="{CB629C71-CE2B-4680-991A-0D7540587A01}"/>
    <hyperlink ref="O10" r:id="rId3" xr:uid="{6D6592A2-260D-4865-BEEC-59E037C51DA0}"/>
    <hyperlink ref="S10" r:id="rId4" xr:uid="{E374AC6B-9013-4857-8DBF-E76F87B7F368}"/>
  </hyperlinks>
  <pageMargins left="0.7" right="0.7" top="0.75" bottom="0.75" header="0.3" footer="0.3"/>
  <pageSetup paperSize="9"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6033E-FE07-4067-858D-DA2EE4D283D5}">
  <sheetPr codeName="Sheet20">
    <tabColor theme="5" tint="0.39997558519241921"/>
  </sheetPr>
  <dimension ref="B2:Q74"/>
  <sheetViews>
    <sheetView showGridLines="0" zoomScaleNormal="100" workbookViewId="0"/>
  </sheetViews>
  <sheetFormatPr baseColWidth="10" defaultColWidth="8.83203125" defaultRowHeight="15" x14ac:dyDescent="0.2"/>
  <cols>
    <col min="2" max="2" width="25.1640625" customWidth="1"/>
    <col min="3" max="3" width="23.83203125" customWidth="1"/>
    <col min="4" max="4" width="23.83203125" bestFit="1" customWidth="1"/>
    <col min="5" max="19" width="22.5" customWidth="1"/>
  </cols>
  <sheetData>
    <row r="2" spans="2:17" ht="21" x14ac:dyDescent="0.25">
      <c r="B2" s="1" t="s">
        <v>822</v>
      </c>
    </row>
    <row r="3" spans="2:17" x14ac:dyDescent="0.2">
      <c r="G3" s="71"/>
      <c r="H3" s="100"/>
      <c r="I3" s="71" t="s">
        <v>499</v>
      </c>
      <c r="J3" s="40">
        <v>1.2364999999999999</v>
      </c>
      <c r="K3" s="71" t="s">
        <v>314</v>
      </c>
      <c r="L3" s="40">
        <f>'4c. Hedonic pricing'!H28</f>
        <v>5.33</v>
      </c>
      <c r="M3" s="100"/>
    </row>
    <row r="4" spans="2:17" x14ac:dyDescent="0.2">
      <c r="B4" s="3" t="s">
        <v>595</v>
      </c>
      <c r="I4" s="71" t="s">
        <v>500</v>
      </c>
      <c r="J4" s="40">
        <f>'4. Inflation Calculations'!D30/'4. Inflation Calculations'!D29</f>
        <v>1.0417000000000001</v>
      </c>
    </row>
    <row r="5" spans="2:17" ht="14.5" customHeight="1" x14ac:dyDescent="0.2">
      <c r="B5" s="356" t="s">
        <v>842</v>
      </c>
      <c r="C5" s="362"/>
      <c r="D5" s="362"/>
      <c r="E5" s="362"/>
      <c r="F5" s="362"/>
      <c r="G5" s="362"/>
    </row>
    <row r="6" spans="2:17" x14ac:dyDescent="0.2">
      <c r="B6" s="362"/>
      <c r="C6" s="362"/>
      <c r="D6" s="362"/>
      <c r="E6" s="362"/>
      <c r="F6" s="362"/>
      <c r="G6" s="362"/>
    </row>
    <row r="7" spans="2:17" x14ac:dyDescent="0.2">
      <c r="I7">
        <f>G13*H13*J13*L3/K13</f>
        <v>1.6451940421331377</v>
      </c>
    </row>
    <row r="8" spans="2:17" s="87" customFormat="1" ht="32" x14ac:dyDescent="0.2">
      <c r="B8" s="228" t="s">
        <v>788</v>
      </c>
      <c r="C8" s="43" t="s">
        <v>0</v>
      </c>
      <c r="D8" s="43" t="s">
        <v>20</v>
      </c>
      <c r="E8" s="43" t="s">
        <v>455</v>
      </c>
      <c r="F8" s="43" t="s">
        <v>333</v>
      </c>
      <c r="G8" s="43" t="s">
        <v>495</v>
      </c>
      <c r="H8" s="43" t="s">
        <v>497</v>
      </c>
      <c r="I8" s="43" t="s">
        <v>342</v>
      </c>
      <c r="J8" s="43" t="s">
        <v>342</v>
      </c>
      <c r="K8" s="43" t="s">
        <v>504</v>
      </c>
      <c r="L8" s="43" t="s">
        <v>557</v>
      </c>
      <c r="M8" s="43" t="s">
        <v>558</v>
      </c>
      <c r="N8" s="43" t="s">
        <v>503</v>
      </c>
      <c r="O8" s="43" t="s">
        <v>505</v>
      </c>
      <c r="P8" s="43" t="s">
        <v>559</v>
      </c>
      <c r="Q8" s="43" t="s">
        <v>560</v>
      </c>
    </row>
    <row r="9" spans="2:17" ht="32" x14ac:dyDescent="0.2">
      <c r="B9" s="193" t="s">
        <v>789</v>
      </c>
      <c r="C9" s="6"/>
      <c r="D9" s="11" t="s">
        <v>1</v>
      </c>
      <c r="E9" s="11" t="s">
        <v>1</v>
      </c>
      <c r="F9" s="136" t="s">
        <v>344</v>
      </c>
      <c r="G9" s="11"/>
      <c r="H9" s="138" t="s">
        <v>345</v>
      </c>
      <c r="I9" s="11" t="s">
        <v>346</v>
      </c>
      <c r="J9" s="11"/>
      <c r="K9" s="11"/>
      <c r="L9" s="11"/>
      <c r="M9" s="11"/>
      <c r="N9" s="138" t="s">
        <v>345</v>
      </c>
      <c r="O9" s="11"/>
      <c r="P9" s="11"/>
      <c r="Q9" s="11"/>
    </row>
    <row r="10" spans="2:17" ht="16" x14ac:dyDescent="0.2">
      <c r="B10" s="193" t="s">
        <v>790</v>
      </c>
      <c r="C10" s="6">
        <v>2024</v>
      </c>
      <c r="D10" s="6">
        <v>2024</v>
      </c>
      <c r="E10" s="6">
        <v>2024</v>
      </c>
      <c r="F10" s="137" t="s">
        <v>345</v>
      </c>
      <c r="G10" s="6"/>
      <c r="H10" s="6"/>
      <c r="I10" s="6">
        <v>2022</v>
      </c>
      <c r="J10" s="6">
        <v>2023</v>
      </c>
      <c r="K10" s="6"/>
      <c r="L10" s="6">
        <v>2023</v>
      </c>
      <c r="M10" s="6">
        <v>2023</v>
      </c>
      <c r="N10" s="6"/>
      <c r="O10" s="6"/>
      <c r="P10" s="6">
        <v>2023</v>
      </c>
      <c r="Q10" s="6">
        <v>2023</v>
      </c>
    </row>
    <row r="11" spans="2:17" ht="16" x14ac:dyDescent="0.2">
      <c r="B11" s="193" t="s">
        <v>791</v>
      </c>
      <c r="C11" s="6"/>
      <c r="D11" s="6"/>
      <c r="E11" s="6" t="s">
        <v>456</v>
      </c>
      <c r="F11" s="137" t="s">
        <v>496</v>
      </c>
      <c r="G11" s="6" t="s">
        <v>648</v>
      </c>
      <c r="H11" s="6"/>
      <c r="I11" s="6" t="s">
        <v>348</v>
      </c>
      <c r="J11" s="6" t="s">
        <v>390</v>
      </c>
      <c r="K11" s="6" t="s">
        <v>388</v>
      </c>
      <c r="L11" s="6" t="s">
        <v>391</v>
      </c>
      <c r="M11" s="6" t="s">
        <v>391</v>
      </c>
      <c r="N11" s="6" t="s">
        <v>391</v>
      </c>
      <c r="O11" s="6" t="s">
        <v>388</v>
      </c>
      <c r="P11" s="6" t="s">
        <v>391</v>
      </c>
      <c r="Q11" s="6" t="s">
        <v>391</v>
      </c>
    </row>
    <row r="12" spans="2:17" x14ac:dyDescent="0.2">
      <c r="B12" s="193" t="s">
        <v>792</v>
      </c>
      <c r="C12" s="7"/>
      <c r="D12" s="7"/>
      <c r="E12" s="38"/>
      <c r="F12" s="38"/>
      <c r="G12" s="38"/>
      <c r="H12" s="38"/>
      <c r="I12" s="38"/>
      <c r="J12" s="38"/>
      <c r="K12" s="38"/>
      <c r="L12" s="38" t="s">
        <v>653</v>
      </c>
      <c r="M12" s="38" t="s">
        <v>654</v>
      </c>
      <c r="N12" s="38"/>
      <c r="O12" s="38"/>
      <c r="P12" s="38" t="s">
        <v>651</v>
      </c>
      <c r="Q12" s="38" t="s">
        <v>652</v>
      </c>
    </row>
    <row r="13" spans="2:17" x14ac:dyDescent="0.2">
      <c r="B13" s="194"/>
      <c r="C13" s="8" t="str" cm="1">
        <f t="array" ref="C13:C74">ModifiedCountries</f>
        <v>Argentina</v>
      </c>
      <c r="D13" s="56" t="str" cm="1">
        <f t="array" ref="D13:D74">ModifiedRegions</f>
        <v>Latin America &amp; Caribbean</v>
      </c>
      <c r="E13" s="218">
        <f t="shared" ref="E13:E44" si="0">INDEX(Input_PopulationDensity,MATCH(C13,Input_countries,0))</f>
        <v>16.7387416916056</v>
      </c>
      <c r="F13" s="218">
        <f t="shared" ref="F13:F44" si="1">INDEX(Input_HouseSize,MATCH(C13,Input_countries,0))</f>
        <v>2.95</v>
      </c>
      <c r="G13" s="222">
        <f>IFERROR(E13/F13,"No value")</f>
        <v>5.6741497259679994</v>
      </c>
      <c r="H13" s="226">
        <f t="shared" ref="H13:H43" si="2">INDEX(Input_NoLandfills,MATCH(C13,Input_countries,0))</f>
        <v>15</v>
      </c>
      <c r="I13" s="226">
        <f t="shared" ref="I13:I44" si="3">INDEX(Input_HousePrice,MATCH(C13,Input_countries,0))</f>
        <v>100000</v>
      </c>
      <c r="J13" s="231">
        <f>I13*$J$3*$J$4</f>
        <v>128806.205</v>
      </c>
      <c r="K13" s="231" cm="1">
        <f t="array" ref="K13:K74">Disamentiy_LDWF</f>
        <v>35517215.989850618</v>
      </c>
      <c r="L13" s="84">
        <f>IFERROR((J13*G13*H13*$L$3)/K13,"No value")</f>
        <v>1.6451940421331377</v>
      </c>
      <c r="M13" s="84">
        <f>IFERROR((J13*G13*H13*$L$3)/K13,"No value")</f>
        <v>1.6451940421331377</v>
      </c>
      <c r="N13" s="226">
        <f t="shared" ref="N13:N44" si="4">INDEX(Input_NoIncineration,MATCH(C13,Input_countries,0))</f>
        <v>6</v>
      </c>
      <c r="O13" s="221" cm="1">
        <f t="array" ref="O13:O74">Disamenity_IDWF</f>
        <v>19953492.129129566</v>
      </c>
      <c r="P13" s="84">
        <f>IF(O13=0,0,IF(O13="No value","No value",(G13*J13*N13*$L$3)/O13))</f>
        <v>1.1713781579987939</v>
      </c>
      <c r="Q13" s="84">
        <f>IF(O13=0,0,IF(O13="No value","No value",(G13*J13*N13*$L$3)/O13))</f>
        <v>1.1713781579987939</v>
      </c>
    </row>
    <row r="14" spans="2:17" x14ac:dyDescent="0.2">
      <c r="B14" s="194"/>
      <c r="C14" s="8" t="str">
        <v>Australia</v>
      </c>
      <c r="D14" s="56" t="str">
        <v>East Asia &amp; Pacific</v>
      </c>
      <c r="E14" s="218">
        <f t="shared" si="0"/>
        <v>3.33922844714392</v>
      </c>
      <c r="F14" s="218">
        <f t="shared" si="1"/>
        <v>2.5499999999999998</v>
      </c>
      <c r="G14" s="222">
        <f t="shared" ref="G14:G74" si="5">IFERROR(E14/F14,"No value")</f>
        <v>1.3095013518211451</v>
      </c>
      <c r="H14" s="226">
        <f t="shared" si="2"/>
        <v>650</v>
      </c>
      <c r="I14" s="208">
        <f t="shared" si="3"/>
        <v>360000</v>
      </c>
      <c r="J14" s="231">
        <f t="shared" ref="J14:J74" si="6">I14*$J$3*$J$4</f>
        <v>463702.33800000005</v>
      </c>
      <c r="K14" s="231">
        <v>145311807.34124017</v>
      </c>
      <c r="L14" s="84">
        <f t="shared" ref="L14:L43" si="7">IFERROR((J14*G14*H14*$L$3)/K14,"No value")</f>
        <v>14.477210794594136</v>
      </c>
      <c r="M14" s="84">
        <f t="shared" ref="M14:M74" si="8">IFERROR((J14*G14*H14*$L$3)/K14,"No value")</f>
        <v>14.477210794594136</v>
      </c>
      <c r="N14" s="226">
        <f t="shared" si="4"/>
        <v>9</v>
      </c>
      <c r="O14" s="221">
        <v>29050467.725064799</v>
      </c>
      <c r="P14" s="84">
        <f t="shared" ref="P14:P74" si="9">IF(O14=0,0,IF(O14="No value","No value",(G14*J14*N14*$L$3)/O14))</f>
        <v>1.0026787849439158</v>
      </c>
      <c r="Q14" s="84">
        <f t="shared" ref="Q14:Q74" si="10">IF(O14=0,0,IF(O14="No value","No value",(G14*J14*N14*$L$3)/O14))</f>
        <v>1.0026787849439158</v>
      </c>
    </row>
    <row r="15" spans="2:17" x14ac:dyDescent="0.2">
      <c r="C15" s="8" t="str">
        <v>Austria</v>
      </c>
      <c r="D15" s="56" t="str">
        <v>Europe &amp; Central Asia</v>
      </c>
      <c r="E15" s="218">
        <f t="shared" si="0"/>
        <v>108.528805138148</v>
      </c>
      <c r="F15" s="218">
        <f t="shared" si="1"/>
        <v>2.27</v>
      </c>
      <c r="G15" s="222">
        <f t="shared" si="5"/>
        <v>47.810046316364755</v>
      </c>
      <c r="H15" s="226">
        <f t="shared" si="2"/>
        <v>3</v>
      </c>
      <c r="I15" s="208">
        <f t="shared" si="3"/>
        <v>314000</v>
      </c>
      <c r="J15" s="231">
        <f t="shared" si="6"/>
        <v>404451.48370000004</v>
      </c>
      <c r="K15" s="231">
        <v>6047698.9389699036</v>
      </c>
      <c r="L15" s="84">
        <f t="shared" si="7"/>
        <v>51.126245101362784</v>
      </c>
      <c r="M15" s="84">
        <f t="shared" si="8"/>
        <v>51.126245101362784</v>
      </c>
      <c r="N15" s="226">
        <f t="shared" si="4"/>
        <v>13</v>
      </c>
      <c r="O15" s="221">
        <v>44078421.112876803</v>
      </c>
      <c r="P15" s="84">
        <f t="shared" si="9"/>
        <v>30.396958389200737</v>
      </c>
      <c r="Q15" s="84">
        <f t="shared" si="10"/>
        <v>30.396958389200737</v>
      </c>
    </row>
    <row r="16" spans="2:17" x14ac:dyDescent="0.2">
      <c r="C16" s="8" t="str">
        <v>Bangladesh</v>
      </c>
      <c r="D16" s="56" t="str">
        <v>South Asia</v>
      </c>
      <c r="E16" s="218">
        <f t="shared" si="0"/>
        <v>1301.0390335714801</v>
      </c>
      <c r="F16" s="218">
        <f t="shared" si="1"/>
        <v>4.26</v>
      </c>
      <c r="G16" s="222">
        <f t="shared" si="5"/>
        <v>305.40822384307046</v>
      </c>
      <c r="H16" s="226">
        <f t="shared" si="2"/>
        <v>12</v>
      </c>
      <c r="I16" s="208">
        <f t="shared" si="3"/>
        <v>39000</v>
      </c>
      <c r="J16" s="231">
        <f t="shared" si="6"/>
        <v>50234.419950000003</v>
      </c>
      <c r="K16" s="231">
        <v>311996328.5006938</v>
      </c>
      <c r="L16" s="84">
        <f>IFERROR((J16*G16*H16*$L$3)/K16,"No value")</f>
        <v>3.1451480303325403</v>
      </c>
      <c r="M16" s="84">
        <f t="shared" si="8"/>
        <v>3.1451480303325403</v>
      </c>
      <c r="N16" s="226">
        <f t="shared" si="4"/>
        <v>0</v>
      </c>
      <c r="O16" s="221">
        <v>0</v>
      </c>
      <c r="P16" s="84">
        <f t="shared" si="9"/>
        <v>0</v>
      </c>
      <c r="Q16" s="84">
        <f t="shared" si="10"/>
        <v>0</v>
      </c>
    </row>
    <row r="17" spans="3:17" x14ac:dyDescent="0.2">
      <c r="C17" s="8" t="str">
        <v>Belgium</v>
      </c>
      <c r="D17" s="56" t="str">
        <v>Europe &amp; Central Asia</v>
      </c>
      <c r="E17" s="218">
        <f t="shared" si="0"/>
        <v>382.635237780713</v>
      </c>
      <c r="F17" s="218">
        <f t="shared" si="1"/>
        <v>2.3199999999999998</v>
      </c>
      <c r="G17" s="222">
        <f>IFERROR(E17/F17,"No value")</f>
        <v>164.92898180203147</v>
      </c>
      <c r="H17" s="226">
        <f t="shared" si="2"/>
        <v>1</v>
      </c>
      <c r="I17" s="208">
        <f t="shared" si="3"/>
        <v>178000</v>
      </c>
      <c r="J17" s="231">
        <f t="shared" si="6"/>
        <v>229275.04490000001</v>
      </c>
      <c r="K17" s="231">
        <v>3366221.0072215754</v>
      </c>
      <c r="L17" s="84">
        <f t="shared" si="7"/>
        <v>59.8740103549667</v>
      </c>
      <c r="M17" s="84">
        <f t="shared" si="8"/>
        <v>59.8740103549667</v>
      </c>
      <c r="N17" s="226">
        <f t="shared" si="4"/>
        <v>14</v>
      </c>
      <c r="O17" s="221">
        <v>46075813.723452449</v>
      </c>
      <c r="P17" s="84">
        <f t="shared" si="9"/>
        <v>61.240114762696933</v>
      </c>
      <c r="Q17" s="84">
        <f t="shared" si="10"/>
        <v>61.240114762696933</v>
      </c>
    </row>
    <row r="18" spans="3:17" x14ac:dyDescent="0.2">
      <c r="C18" s="8" t="str">
        <v>Bolivia</v>
      </c>
      <c r="D18" s="56" t="str">
        <v>Latin America &amp; Caribbean</v>
      </c>
      <c r="E18" s="218">
        <f t="shared" si="0"/>
        <v>11.1506249423059</v>
      </c>
      <c r="F18" s="218">
        <f t="shared" si="1"/>
        <v>3.53</v>
      </c>
      <c r="G18" s="222">
        <f t="shared" si="5"/>
        <v>3.1588172641093202</v>
      </c>
      <c r="H18" s="226">
        <f t="shared" si="2"/>
        <v>0</v>
      </c>
      <c r="I18" s="208">
        <f t="shared" si="3"/>
        <v>54000</v>
      </c>
      <c r="J18" s="231">
        <f t="shared" si="6"/>
        <v>69555.35070000001</v>
      </c>
      <c r="K18" s="231">
        <v>19777.320792998191</v>
      </c>
      <c r="L18" s="84">
        <f>IFERROR((J18*G18*H18*$L$3)/K18,"No value")</f>
        <v>0</v>
      </c>
      <c r="M18" s="84">
        <f t="shared" si="8"/>
        <v>0</v>
      </c>
      <c r="N18" s="226">
        <f t="shared" si="4"/>
        <v>0</v>
      </c>
      <c r="O18" s="221">
        <v>0</v>
      </c>
      <c r="P18" s="84">
        <f t="shared" si="9"/>
        <v>0</v>
      </c>
      <c r="Q18" s="84">
        <f t="shared" si="10"/>
        <v>0</v>
      </c>
    </row>
    <row r="19" spans="3:17" x14ac:dyDescent="0.2">
      <c r="C19" s="8" t="str">
        <v>Brazil</v>
      </c>
      <c r="D19" s="56" t="str">
        <v>Latin America &amp; Caribbean</v>
      </c>
      <c r="E19" s="218">
        <f t="shared" si="0"/>
        <v>25.642813233566301</v>
      </c>
      <c r="F19" s="218">
        <f t="shared" si="1"/>
        <v>3.31</v>
      </c>
      <c r="G19" s="222">
        <f t="shared" si="5"/>
        <v>7.7470734844611178</v>
      </c>
      <c r="H19" s="226">
        <f t="shared" si="2"/>
        <v>817</v>
      </c>
      <c r="I19" s="208">
        <f t="shared" si="3"/>
        <v>81000</v>
      </c>
      <c r="J19" s="231">
        <f t="shared" si="6"/>
        <v>104333.02605</v>
      </c>
      <c r="K19" s="231">
        <v>519285683.14077884</v>
      </c>
      <c r="L19" s="84">
        <f t="shared" si="7"/>
        <v>6.7780129713254258</v>
      </c>
      <c r="M19" s="84">
        <f t="shared" si="8"/>
        <v>6.7780129713254258</v>
      </c>
      <c r="N19" s="226">
        <f t="shared" si="4"/>
        <v>26</v>
      </c>
      <c r="O19" s="221">
        <v>88088546.806075126</v>
      </c>
      <c r="P19" s="84">
        <f t="shared" si="9"/>
        <v>1.2715709298717415</v>
      </c>
      <c r="Q19" s="84">
        <f t="shared" si="10"/>
        <v>1.2715709298717415</v>
      </c>
    </row>
    <row r="20" spans="3:17" x14ac:dyDescent="0.2">
      <c r="C20" s="8" t="str">
        <v>Bulgaria</v>
      </c>
      <c r="D20" s="56" t="str">
        <v>Europe &amp; Central Asia</v>
      </c>
      <c r="E20" s="218">
        <f t="shared" si="0"/>
        <v>63.354301768607201</v>
      </c>
      <c r="F20" s="218">
        <f t="shared" si="1"/>
        <v>2.34</v>
      </c>
      <c r="G20" s="222">
        <f t="shared" si="5"/>
        <v>27.074487935302223</v>
      </c>
      <c r="H20" s="226">
        <f t="shared" si="2"/>
        <v>18</v>
      </c>
      <c r="I20" s="208">
        <f t="shared" si="3"/>
        <v>81000</v>
      </c>
      <c r="J20" s="231">
        <f t="shared" si="6"/>
        <v>104333.02605</v>
      </c>
      <c r="K20" s="231">
        <v>43256639.560600616</v>
      </c>
      <c r="L20" s="84">
        <f>IFERROR((J20*G20*H20*$L$3)/K20,"No value")</f>
        <v>6.2651141984638015</v>
      </c>
      <c r="M20" s="84">
        <f t="shared" si="8"/>
        <v>6.2651141984638015</v>
      </c>
      <c r="N20" s="226">
        <f t="shared" si="4"/>
        <v>1</v>
      </c>
      <c r="O20" s="221">
        <v>1751925.7553998777</v>
      </c>
      <c r="P20" s="84">
        <f t="shared" si="9"/>
        <v>8.5939647288018612</v>
      </c>
      <c r="Q20" s="84">
        <f t="shared" si="10"/>
        <v>8.5939647288018612</v>
      </c>
    </row>
    <row r="21" spans="3:17" x14ac:dyDescent="0.2">
      <c r="C21" s="8" t="str">
        <v>Canada</v>
      </c>
      <c r="D21" s="56" t="str">
        <v>North America</v>
      </c>
      <c r="E21" s="218">
        <f t="shared" si="0"/>
        <v>4.3510262041030003</v>
      </c>
      <c r="F21" s="218">
        <f t="shared" si="1"/>
        <v>2.4500000000000002</v>
      </c>
      <c r="G21" s="222">
        <f t="shared" si="5"/>
        <v>1.7759290628991837</v>
      </c>
      <c r="H21" s="226">
        <f t="shared" si="2"/>
        <v>3000</v>
      </c>
      <c r="I21" s="208">
        <f t="shared" si="3"/>
        <v>326000</v>
      </c>
      <c r="J21" s="231">
        <f t="shared" si="6"/>
        <v>419908.22830000002</v>
      </c>
      <c r="K21" s="231">
        <v>404561607.87192518</v>
      </c>
      <c r="L21" s="84">
        <f t="shared" si="7"/>
        <v>29.474320147863963</v>
      </c>
      <c r="M21" s="84">
        <f t="shared" si="8"/>
        <v>29.474320147863963</v>
      </c>
      <c r="N21" s="226">
        <f t="shared" si="4"/>
        <v>5</v>
      </c>
      <c r="O21" s="221">
        <v>16779826.124924306</v>
      </c>
      <c r="P21" s="84">
        <f t="shared" si="9"/>
        <v>1.1843764312750007</v>
      </c>
      <c r="Q21" s="84">
        <f t="shared" si="10"/>
        <v>1.1843764312750007</v>
      </c>
    </row>
    <row r="22" spans="3:17" x14ac:dyDescent="0.2">
      <c r="C22" s="8" t="str">
        <v>Chile</v>
      </c>
      <c r="D22" s="56" t="str">
        <v>Latin America &amp; Caribbean</v>
      </c>
      <c r="E22" s="218">
        <f t="shared" si="0"/>
        <v>26.217007472442301</v>
      </c>
      <c r="F22" s="218">
        <f t="shared" si="1"/>
        <v>3.04</v>
      </c>
      <c r="G22" s="222">
        <f t="shared" si="5"/>
        <v>8.624015615934967</v>
      </c>
      <c r="H22" s="226">
        <f t="shared" si="2"/>
        <v>30</v>
      </c>
      <c r="I22" s="208">
        <f t="shared" si="3"/>
        <v>103000</v>
      </c>
      <c r="J22" s="231">
        <f t="shared" si="6"/>
        <v>132670.39115000001</v>
      </c>
      <c r="K22" s="231">
        <v>131586630.46735916</v>
      </c>
      <c r="L22" s="84">
        <f t="shared" si="7"/>
        <v>1.3903375153362929</v>
      </c>
      <c r="M22" s="84">
        <f t="shared" si="8"/>
        <v>1.3903375153362929</v>
      </c>
      <c r="N22" s="226">
        <f t="shared" si="4"/>
        <v>0</v>
      </c>
      <c r="O22" s="221">
        <v>203289.87271496665</v>
      </c>
      <c r="P22" s="84">
        <f t="shared" si="9"/>
        <v>0</v>
      </c>
      <c r="Q22" s="84">
        <f t="shared" si="10"/>
        <v>0</v>
      </c>
    </row>
    <row r="23" spans="3:17" x14ac:dyDescent="0.2">
      <c r="C23" s="8" t="str">
        <v>China</v>
      </c>
      <c r="D23" s="56" t="str">
        <v>East Asia &amp; Pacific</v>
      </c>
      <c r="E23" s="218">
        <f t="shared" si="0"/>
        <v>150.43975369106599</v>
      </c>
      <c r="F23" s="218">
        <f t="shared" si="1"/>
        <v>3.38</v>
      </c>
      <c r="G23" s="222">
        <f t="shared" si="5"/>
        <v>44.508802867179291</v>
      </c>
      <c r="H23" s="226">
        <f t="shared" si="2"/>
        <v>2258</v>
      </c>
      <c r="I23" s="208">
        <f t="shared" si="3"/>
        <v>390000</v>
      </c>
      <c r="J23" s="231">
        <f t="shared" si="6"/>
        <v>502344.19950000005</v>
      </c>
      <c r="K23" s="231">
        <v>5295834109.8751497</v>
      </c>
      <c r="L23" s="84">
        <f t="shared" si="7"/>
        <v>50.811741430688407</v>
      </c>
      <c r="M23" s="84">
        <f t="shared" si="8"/>
        <v>50.811741430688407</v>
      </c>
      <c r="N23" s="226">
        <f t="shared" si="4"/>
        <v>774</v>
      </c>
      <c r="O23" s="221">
        <v>2626790057.1588163</v>
      </c>
      <c r="P23" s="84">
        <f t="shared" si="9"/>
        <v>35.114792891582788</v>
      </c>
      <c r="Q23" s="84">
        <f t="shared" si="10"/>
        <v>35.114792891582788</v>
      </c>
    </row>
    <row r="24" spans="3:17" x14ac:dyDescent="0.2">
      <c r="C24" s="8" t="str">
        <v>Colombia</v>
      </c>
      <c r="D24" s="56" t="str">
        <v>Latin America &amp; Caribbean</v>
      </c>
      <c r="E24" s="218">
        <f t="shared" si="0"/>
        <v>46.432232537178898</v>
      </c>
      <c r="F24" s="218">
        <f t="shared" si="1"/>
        <v>3.53</v>
      </c>
      <c r="G24" s="222">
        <f t="shared" si="5"/>
        <v>13.153606951042182</v>
      </c>
      <c r="H24" s="226">
        <f t="shared" si="2"/>
        <v>62</v>
      </c>
      <c r="I24" s="208">
        <f t="shared" si="3"/>
        <v>68000</v>
      </c>
      <c r="J24" s="231">
        <f t="shared" si="6"/>
        <v>87588.219400000002</v>
      </c>
      <c r="K24" s="231">
        <v>259891327.55438611</v>
      </c>
      <c r="L24" s="84">
        <f t="shared" si="7"/>
        <v>1.4649326849518798</v>
      </c>
      <c r="M24" s="84">
        <f t="shared" si="8"/>
        <v>1.4649326849518798</v>
      </c>
      <c r="N24" s="226">
        <f t="shared" si="4"/>
        <v>4</v>
      </c>
      <c r="O24" s="221">
        <v>13536006.643457608</v>
      </c>
      <c r="P24" s="84">
        <f t="shared" si="9"/>
        <v>1.8146262936178121</v>
      </c>
      <c r="Q24" s="84">
        <f t="shared" si="10"/>
        <v>1.8146262936178121</v>
      </c>
    </row>
    <row r="25" spans="3:17" x14ac:dyDescent="0.2">
      <c r="C25" s="8" t="str">
        <v>Costa Rica</v>
      </c>
      <c r="D25" s="56" t="str">
        <v>Latin America &amp; Caribbean</v>
      </c>
      <c r="E25" s="218">
        <f t="shared" si="0"/>
        <v>100.939228358794</v>
      </c>
      <c r="F25" s="218">
        <f t="shared" si="1"/>
        <v>3.21</v>
      </c>
      <c r="G25" s="222">
        <f t="shared" si="5"/>
        <v>31.445242479375079</v>
      </c>
      <c r="H25" s="226">
        <f t="shared" si="2"/>
        <v>3</v>
      </c>
      <c r="I25" s="208">
        <f t="shared" si="3"/>
        <v>93000</v>
      </c>
      <c r="J25" s="231">
        <f t="shared" si="6"/>
        <v>119789.77065000001</v>
      </c>
      <c r="K25" s="231">
        <v>7644704.5450914158</v>
      </c>
      <c r="L25" s="84">
        <f t="shared" si="7"/>
        <v>7.8788428794197474</v>
      </c>
      <c r="M25" s="84">
        <f t="shared" si="8"/>
        <v>7.8788428794197474</v>
      </c>
      <c r="N25" s="226">
        <f t="shared" si="4"/>
        <v>0</v>
      </c>
      <c r="O25" s="221">
        <v>1626532.8819343431</v>
      </c>
      <c r="P25" s="84">
        <f t="shared" si="9"/>
        <v>0</v>
      </c>
      <c r="Q25" s="84">
        <f t="shared" si="10"/>
        <v>0</v>
      </c>
    </row>
    <row r="26" spans="3:17" x14ac:dyDescent="0.2">
      <c r="C26" s="8" t="str">
        <v>Czechia</v>
      </c>
      <c r="D26" s="56" t="str">
        <v>Europe &amp; Central Asia</v>
      </c>
      <c r="E26" s="218">
        <f t="shared" si="0"/>
        <v>136.108349053848</v>
      </c>
      <c r="F26" s="218">
        <f t="shared" si="1"/>
        <v>2.34</v>
      </c>
      <c r="G26" s="222">
        <f t="shared" si="5"/>
        <v>58.16596113412308</v>
      </c>
      <c r="H26" s="226">
        <f t="shared" si="2"/>
        <v>27</v>
      </c>
      <c r="I26" s="208">
        <f t="shared" si="3"/>
        <v>243000</v>
      </c>
      <c r="J26" s="231">
        <f t="shared" si="6"/>
        <v>312999.07815000002</v>
      </c>
      <c r="K26" s="231">
        <v>62524224.043450989</v>
      </c>
      <c r="L26" s="84">
        <f t="shared" si="7"/>
        <v>41.903917860622528</v>
      </c>
      <c r="M26" s="84">
        <f t="shared" si="8"/>
        <v>41.903917860622528</v>
      </c>
      <c r="N26" s="226">
        <f t="shared" si="4"/>
        <v>6</v>
      </c>
      <c r="O26" s="221">
        <v>21015746.788749315</v>
      </c>
      <c r="P26" s="84">
        <f t="shared" si="9"/>
        <v>27.704199088345199</v>
      </c>
      <c r="Q26" s="84">
        <f t="shared" si="10"/>
        <v>27.704199088345199</v>
      </c>
    </row>
    <row r="27" spans="3:17" x14ac:dyDescent="0.2">
      <c r="C27" s="8" t="str">
        <v>Denmark</v>
      </c>
      <c r="D27" s="56" t="str">
        <v>Europe &amp; Central Asia</v>
      </c>
      <c r="E27" s="218">
        <f t="shared" si="0"/>
        <v>146.41832500000001</v>
      </c>
      <c r="F27" s="218">
        <f t="shared" si="1"/>
        <v>2.1</v>
      </c>
      <c r="G27" s="222">
        <f t="shared" si="5"/>
        <v>69.723011904761904</v>
      </c>
      <c r="H27" s="226">
        <f t="shared" si="2"/>
        <v>41</v>
      </c>
      <c r="I27" s="208">
        <f t="shared" si="3"/>
        <v>260000</v>
      </c>
      <c r="J27" s="231">
        <f t="shared" si="6"/>
        <v>334896.13300000003</v>
      </c>
      <c r="K27" s="231">
        <v>1258332.0209716826</v>
      </c>
      <c r="L27" s="84">
        <f t="shared" si="7"/>
        <v>4055.1048676593637</v>
      </c>
      <c r="M27" s="84">
        <f t="shared" si="8"/>
        <v>4055.1048676593637</v>
      </c>
      <c r="N27" s="226">
        <f t="shared" si="4"/>
        <v>17</v>
      </c>
      <c r="O27" s="221">
        <v>57544070.419913724</v>
      </c>
      <c r="P27" s="84">
        <f t="shared" si="9"/>
        <v>36.767307223732864</v>
      </c>
      <c r="Q27" s="84">
        <f t="shared" si="10"/>
        <v>36.767307223732864</v>
      </c>
    </row>
    <row r="28" spans="3:17" x14ac:dyDescent="0.2">
      <c r="C28" s="8" t="str">
        <v>Dominican Republic</v>
      </c>
      <c r="D28" s="56" t="str">
        <v>Latin America &amp; Caribbean</v>
      </c>
      <c r="E28" s="218">
        <f t="shared" si="0"/>
        <v>233.90782857503501</v>
      </c>
      <c r="F28" s="218">
        <f t="shared" si="1"/>
        <v>3.09</v>
      </c>
      <c r="G28" s="222">
        <f t="shared" si="5"/>
        <v>75.698326399687716</v>
      </c>
      <c r="H28" s="226">
        <f t="shared" si="2"/>
        <v>7</v>
      </c>
      <c r="I28" s="208">
        <f t="shared" si="3"/>
        <v>69000</v>
      </c>
      <c r="J28" s="231">
        <f t="shared" si="6"/>
        <v>88876.281450000009</v>
      </c>
      <c r="K28" s="231">
        <v>17316759.783908579</v>
      </c>
      <c r="L28" s="84">
        <f t="shared" si="7"/>
        <v>14.495418884780062</v>
      </c>
      <c r="M28" s="84">
        <f t="shared" si="8"/>
        <v>14.495418884780062</v>
      </c>
      <c r="N28" s="226">
        <f t="shared" si="4"/>
        <v>1</v>
      </c>
      <c r="O28" s="221">
        <v>4527454.2768642465</v>
      </c>
      <c r="P28" s="84">
        <f t="shared" si="9"/>
        <v>7.9203667051473641</v>
      </c>
      <c r="Q28" s="84">
        <f t="shared" si="10"/>
        <v>7.9203667051473641</v>
      </c>
    </row>
    <row r="29" spans="3:17" x14ac:dyDescent="0.2">
      <c r="C29" s="8" t="str">
        <v>Ecuador</v>
      </c>
      <c r="D29" s="56" t="str">
        <v>Latin America &amp; Caribbean</v>
      </c>
      <c r="E29" s="218">
        <f t="shared" si="0"/>
        <v>71.661044451602507</v>
      </c>
      <c r="F29" s="218">
        <f t="shared" si="1"/>
        <v>3.78</v>
      </c>
      <c r="G29" s="222">
        <f t="shared" si="5"/>
        <v>18.957948267619713</v>
      </c>
      <c r="H29" s="226">
        <f t="shared" si="2"/>
        <v>6</v>
      </c>
      <c r="I29" s="208">
        <f t="shared" si="3"/>
        <v>58000</v>
      </c>
      <c r="J29" s="231">
        <f t="shared" si="6"/>
        <v>74707.598900000012</v>
      </c>
      <c r="K29" s="231">
        <v>13691318.087261194</v>
      </c>
      <c r="L29" s="84">
        <f t="shared" si="7"/>
        <v>3.3081813672020712</v>
      </c>
      <c r="M29" s="84">
        <f t="shared" si="8"/>
        <v>3.3081813672020712</v>
      </c>
      <c r="N29" s="226">
        <f t="shared" si="4"/>
        <v>2</v>
      </c>
      <c r="O29" s="221">
        <v>5901430.2100263769</v>
      </c>
      <c r="P29" s="84">
        <f t="shared" si="9"/>
        <v>2.5583269239696023</v>
      </c>
      <c r="Q29" s="84">
        <f t="shared" si="10"/>
        <v>2.5583269239696023</v>
      </c>
    </row>
    <row r="30" spans="3:17" x14ac:dyDescent="0.2">
      <c r="C30" s="8" t="str">
        <v>Egypt, Arab Rep.</v>
      </c>
      <c r="D30" s="56" t="str">
        <v>Middle East &amp; North Africa</v>
      </c>
      <c r="E30" s="218">
        <f t="shared" si="0"/>
        <v>109.761593249284</v>
      </c>
      <c r="F30" s="218">
        <f t="shared" si="1"/>
        <v>4.13</v>
      </c>
      <c r="G30" s="222">
        <f t="shared" si="5"/>
        <v>26.576656961085718</v>
      </c>
      <c r="H30" s="226">
        <f t="shared" si="2"/>
        <v>14</v>
      </c>
      <c r="I30" s="208">
        <f t="shared" si="3"/>
        <v>24000</v>
      </c>
      <c r="J30" s="231">
        <f t="shared" si="6"/>
        <v>30913.489200000004</v>
      </c>
      <c r="K30" s="231">
        <v>32753470.362239525</v>
      </c>
      <c r="L30" s="84">
        <f t="shared" si="7"/>
        <v>1.8717433551975107</v>
      </c>
      <c r="M30" s="84">
        <f t="shared" si="8"/>
        <v>1.8717433551975107</v>
      </c>
      <c r="N30" s="226">
        <f t="shared" si="4"/>
        <v>1</v>
      </c>
      <c r="O30" s="221">
        <v>2339533.5973028229</v>
      </c>
      <c r="P30" s="84">
        <f t="shared" si="9"/>
        <v>1.8717433551975111</v>
      </c>
      <c r="Q30" s="84">
        <f t="shared" si="10"/>
        <v>1.8717433551975111</v>
      </c>
    </row>
    <row r="31" spans="3:17" x14ac:dyDescent="0.2">
      <c r="C31" s="8" t="str">
        <v>Estonia</v>
      </c>
      <c r="D31" s="56" t="str">
        <v>Europe &amp; Central Asia</v>
      </c>
      <c r="E31" s="218">
        <f t="shared" si="0"/>
        <v>31.132912280701799</v>
      </c>
      <c r="F31" s="218">
        <f t="shared" si="1"/>
        <v>2.2999999999999998</v>
      </c>
      <c r="G31" s="222">
        <f t="shared" si="5"/>
        <v>13.536048817696436</v>
      </c>
      <c r="H31" s="226">
        <f t="shared" si="2"/>
        <v>1</v>
      </c>
      <c r="I31" s="208">
        <f t="shared" si="3"/>
        <v>175000</v>
      </c>
      <c r="J31" s="231">
        <f t="shared" si="6"/>
        <v>225410.85875000001</v>
      </c>
      <c r="K31" s="231">
        <v>2213018.9229255994</v>
      </c>
      <c r="L31" s="84">
        <f t="shared" si="7"/>
        <v>7.3486713827829089</v>
      </c>
      <c r="M31" s="84">
        <f t="shared" si="8"/>
        <v>7.3486713827829089</v>
      </c>
      <c r="N31" s="226">
        <f t="shared" si="4"/>
        <v>2</v>
      </c>
      <c r="O31" s="221">
        <v>5602897.0956475139</v>
      </c>
      <c r="P31" s="84">
        <f t="shared" si="9"/>
        <v>5.8051213687625154</v>
      </c>
      <c r="Q31" s="84">
        <f t="shared" si="10"/>
        <v>5.8051213687625154</v>
      </c>
    </row>
    <row r="32" spans="3:17" x14ac:dyDescent="0.2">
      <c r="C32" s="8" t="str">
        <v>Finland</v>
      </c>
      <c r="D32" s="56" t="str">
        <v>Europe &amp; Central Asia</v>
      </c>
      <c r="E32" s="218">
        <f t="shared" si="0"/>
        <v>18.230165913412101</v>
      </c>
      <c r="F32" s="218">
        <f t="shared" si="1"/>
        <v>2.0699999999999998</v>
      </c>
      <c r="G32" s="222">
        <f t="shared" si="5"/>
        <v>8.8068434364309667</v>
      </c>
      <c r="H32" s="226">
        <f t="shared" si="2"/>
        <v>419</v>
      </c>
      <c r="I32" s="208">
        <f t="shared" si="3"/>
        <v>271000</v>
      </c>
      <c r="J32" s="231">
        <f t="shared" si="6"/>
        <v>349064.81555</v>
      </c>
      <c r="K32" s="231">
        <v>8013007.0927678207</v>
      </c>
      <c r="L32" s="84">
        <f t="shared" si="7"/>
        <v>856.78539801614158</v>
      </c>
      <c r="M32" s="84">
        <f t="shared" si="8"/>
        <v>856.78539801614158</v>
      </c>
      <c r="N32" s="226">
        <f t="shared" si="4"/>
        <v>10</v>
      </c>
      <c r="O32" s="221">
        <v>33360842.73548514</v>
      </c>
      <c r="P32" s="84">
        <f t="shared" si="9"/>
        <v>4.9115271331125614</v>
      </c>
      <c r="Q32" s="84">
        <f t="shared" si="10"/>
        <v>4.9115271331125614</v>
      </c>
    </row>
    <row r="33" spans="3:17" x14ac:dyDescent="0.2">
      <c r="C33" s="8" t="str">
        <v>France</v>
      </c>
      <c r="D33" s="56" t="str">
        <v>Europe &amp; Central Asia</v>
      </c>
      <c r="E33" s="218">
        <f t="shared" si="0"/>
        <v>123.757533918843</v>
      </c>
      <c r="F33" s="218">
        <f t="shared" si="1"/>
        <v>2.2200000000000002</v>
      </c>
      <c r="G33" s="222">
        <f t="shared" si="5"/>
        <v>55.74663690037972</v>
      </c>
      <c r="H33" s="226">
        <f t="shared" si="2"/>
        <v>230</v>
      </c>
      <c r="I33" s="208">
        <f t="shared" si="3"/>
        <v>295000</v>
      </c>
      <c r="J33" s="231">
        <f t="shared" si="6"/>
        <v>379978.30475000001</v>
      </c>
      <c r="K33" s="231">
        <v>211089338.43245825</v>
      </c>
      <c r="L33" s="84">
        <f t="shared" si="7"/>
        <v>123.01730807765232</v>
      </c>
      <c r="M33" s="84">
        <f t="shared" si="8"/>
        <v>123.01730807765232</v>
      </c>
      <c r="N33" s="226">
        <f t="shared" si="4"/>
        <v>84</v>
      </c>
      <c r="O33" s="221">
        <v>284127232.10264927</v>
      </c>
      <c r="P33" s="84">
        <f t="shared" si="9"/>
        <v>33.378829844420217</v>
      </c>
      <c r="Q33" s="84">
        <f t="shared" si="10"/>
        <v>33.378829844420217</v>
      </c>
    </row>
    <row r="34" spans="3:17" x14ac:dyDescent="0.2">
      <c r="C34" s="8" t="str">
        <v>Germany</v>
      </c>
      <c r="D34" s="56" t="str">
        <v>Europe &amp; Central Asia</v>
      </c>
      <c r="E34" s="218">
        <f t="shared" si="0"/>
        <v>238.11808580669199</v>
      </c>
      <c r="F34" s="218">
        <f t="shared" si="1"/>
        <v>2.14</v>
      </c>
      <c r="G34" s="222">
        <f t="shared" si="5"/>
        <v>111.27013355452897</v>
      </c>
      <c r="H34" s="226">
        <v>2</v>
      </c>
      <c r="I34" s="208">
        <f t="shared" si="3"/>
        <v>328000</v>
      </c>
      <c r="J34" s="231">
        <f t="shared" si="6"/>
        <v>422484.35240000003</v>
      </c>
      <c r="K34" s="231">
        <v>25155592.914518215</v>
      </c>
      <c r="L34" s="84">
        <f>IFERROR((J34*G34*H34*$L$3)/K34,"No value")</f>
        <v>19.921034359002203</v>
      </c>
      <c r="M34" s="84">
        <f t="shared" si="8"/>
        <v>19.921034359002203</v>
      </c>
      <c r="N34" s="226">
        <f t="shared" si="4"/>
        <v>105</v>
      </c>
      <c r="O34" s="221">
        <v>357705762.92348534</v>
      </c>
      <c r="P34" s="84">
        <f t="shared" si="9"/>
        <v>73.549514272475037</v>
      </c>
      <c r="Q34" s="84">
        <f t="shared" si="10"/>
        <v>73.549514272475037</v>
      </c>
    </row>
    <row r="35" spans="3:17" x14ac:dyDescent="0.2">
      <c r="C35" s="8" t="str">
        <v>Greece</v>
      </c>
      <c r="D35" s="56" t="str">
        <v>Europe &amp; Central Asia</v>
      </c>
      <c r="E35" s="218">
        <f t="shared" si="0"/>
        <v>81.995399534522889</v>
      </c>
      <c r="F35" s="218">
        <f t="shared" si="1"/>
        <v>2.56</v>
      </c>
      <c r="G35" s="222">
        <f t="shared" si="5"/>
        <v>32.029452943173006</v>
      </c>
      <c r="H35" s="226">
        <f t="shared" si="2"/>
        <v>43</v>
      </c>
      <c r="I35" s="208">
        <f t="shared" si="3"/>
        <v>112000</v>
      </c>
      <c r="J35" s="231">
        <f t="shared" si="6"/>
        <v>144262.94960000002</v>
      </c>
      <c r="K35" s="231">
        <v>101344930.72288768</v>
      </c>
      <c r="L35" s="84">
        <f t="shared" si="7"/>
        <v>10.449559015227155</v>
      </c>
      <c r="M35" s="84">
        <f t="shared" si="8"/>
        <v>10.449559015227155</v>
      </c>
      <c r="N35" s="226">
        <f t="shared" si="4"/>
        <v>1</v>
      </c>
      <c r="O35" s="221">
        <v>2001875.1747730898</v>
      </c>
      <c r="P35" s="84">
        <f t="shared" si="9"/>
        <v>12.30253314292732</v>
      </c>
      <c r="Q35" s="84">
        <f t="shared" si="10"/>
        <v>12.30253314292732</v>
      </c>
    </row>
    <row r="36" spans="3:17" x14ac:dyDescent="0.2">
      <c r="C36" s="8" t="str">
        <v>Guatemala</v>
      </c>
      <c r="D36" s="56" t="str">
        <v>Latin America &amp; Caribbean</v>
      </c>
      <c r="E36" s="218">
        <f t="shared" si="0"/>
        <v>159.66541620007499</v>
      </c>
      <c r="F36" s="218">
        <f t="shared" si="1"/>
        <v>4.8099999999999996</v>
      </c>
      <c r="G36" s="222">
        <f t="shared" si="5"/>
        <v>33.194473222468815</v>
      </c>
      <c r="H36" s="226">
        <f t="shared" si="2"/>
        <v>4</v>
      </c>
      <c r="I36" s="208">
        <f t="shared" si="3"/>
        <v>73000</v>
      </c>
      <c r="J36" s="231">
        <f t="shared" si="6"/>
        <v>94028.529650000011</v>
      </c>
      <c r="K36" s="231">
        <v>9090707.0653897617</v>
      </c>
      <c r="L36" s="84">
        <f t="shared" si="7"/>
        <v>7.3200654279513495</v>
      </c>
      <c r="M36" s="84">
        <f t="shared" si="8"/>
        <v>7.3200654279513495</v>
      </c>
      <c r="N36" s="226">
        <f t="shared" si="4"/>
        <v>1</v>
      </c>
      <c r="O36" s="221">
        <v>3071184.819388432</v>
      </c>
      <c r="P36" s="84">
        <f t="shared" si="9"/>
        <v>5.416848416684001</v>
      </c>
      <c r="Q36" s="84">
        <f t="shared" si="10"/>
        <v>5.416848416684001</v>
      </c>
    </row>
    <row r="37" spans="3:17" x14ac:dyDescent="0.2">
      <c r="C37" s="8" t="str">
        <v>Hungary</v>
      </c>
      <c r="D37" s="56" t="str">
        <v>Europe &amp; Central Asia</v>
      </c>
      <c r="E37" s="218">
        <f t="shared" si="0"/>
        <v>106.398104317335</v>
      </c>
      <c r="F37" s="218">
        <f t="shared" si="1"/>
        <v>2.36</v>
      </c>
      <c r="G37" s="222">
        <f t="shared" si="5"/>
        <v>45.083942507345341</v>
      </c>
      <c r="H37" s="226">
        <f t="shared" si="2"/>
        <v>19</v>
      </c>
      <c r="I37" s="208">
        <f t="shared" si="3"/>
        <v>148000</v>
      </c>
      <c r="J37" s="231">
        <f t="shared" si="6"/>
        <v>190633.18340000001</v>
      </c>
      <c r="K37" s="231">
        <v>45239472.586276136</v>
      </c>
      <c r="L37" s="84">
        <f t="shared" si="7"/>
        <v>19.239051817856989</v>
      </c>
      <c r="M37" s="84">
        <f t="shared" si="8"/>
        <v>19.239051817856989</v>
      </c>
      <c r="N37" s="226">
        <f t="shared" si="4"/>
        <v>4</v>
      </c>
      <c r="O37" s="221">
        <v>11912218.666106973</v>
      </c>
      <c r="P37" s="84">
        <f t="shared" si="9"/>
        <v>15.382075226962264</v>
      </c>
      <c r="Q37" s="84">
        <f t="shared" si="10"/>
        <v>15.382075226962264</v>
      </c>
    </row>
    <row r="38" spans="3:17" x14ac:dyDescent="0.2">
      <c r="C38" s="8" t="str">
        <v>India</v>
      </c>
      <c r="D38" s="56" t="str">
        <v>South Asia</v>
      </c>
      <c r="E38" s="218">
        <f t="shared" si="0"/>
        <v>473.41873274160093</v>
      </c>
      <c r="F38" s="218">
        <f t="shared" si="1"/>
        <v>4.38</v>
      </c>
      <c r="G38" s="222">
        <f t="shared" si="5"/>
        <v>108.08646866246598</v>
      </c>
      <c r="H38" s="226">
        <f t="shared" si="2"/>
        <v>198</v>
      </c>
      <c r="I38" s="208">
        <f t="shared" si="3"/>
        <v>77000</v>
      </c>
      <c r="J38" s="231">
        <f t="shared" si="6"/>
        <v>99180.777850000013</v>
      </c>
      <c r="K38" s="231">
        <v>465065857.23526847</v>
      </c>
      <c r="L38" s="84">
        <f t="shared" si="7"/>
        <v>24.326340446289851</v>
      </c>
      <c r="M38" s="84">
        <f t="shared" si="8"/>
        <v>24.326340446289851</v>
      </c>
      <c r="N38" s="226">
        <f t="shared" si="4"/>
        <v>0</v>
      </c>
      <c r="O38" s="221">
        <v>0</v>
      </c>
      <c r="P38" s="84">
        <f t="shared" si="9"/>
        <v>0</v>
      </c>
      <c r="Q38" s="84">
        <f t="shared" si="10"/>
        <v>0</v>
      </c>
    </row>
    <row r="39" spans="3:17" x14ac:dyDescent="0.2">
      <c r="C39" s="8" t="str">
        <v>Indonesia</v>
      </c>
      <c r="D39" s="56" t="str">
        <v>East Asia &amp; Pacific</v>
      </c>
      <c r="E39" s="218">
        <f t="shared" si="0"/>
        <v>144.64738040148401</v>
      </c>
      <c r="F39" s="218">
        <f t="shared" si="1"/>
        <v>3.86</v>
      </c>
      <c r="G39" s="222">
        <f t="shared" si="5"/>
        <v>37.473414611783426</v>
      </c>
      <c r="H39" s="226">
        <f t="shared" si="2"/>
        <v>514</v>
      </c>
      <c r="I39" s="208">
        <f t="shared" si="3"/>
        <v>78000</v>
      </c>
      <c r="J39" s="231">
        <f t="shared" si="6"/>
        <v>100468.83990000001</v>
      </c>
      <c r="K39" s="231">
        <v>1205773334.7775202</v>
      </c>
      <c r="L39" s="84">
        <f t="shared" si="7"/>
        <v>8.5541981960587474</v>
      </c>
      <c r="M39" s="84">
        <f t="shared" si="8"/>
        <v>8.5541981960587474</v>
      </c>
      <c r="N39" s="226">
        <f t="shared" si="4"/>
        <v>73</v>
      </c>
      <c r="O39" s="221">
        <v>246965622.78575709</v>
      </c>
      <c r="P39" s="84">
        <f t="shared" si="9"/>
        <v>5.931550339885554</v>
      </c>
      <c r="Q39" s="84">
        <f t="shared" si="10"/>
        <v>5.931550339885554</v>
      </c>
    </row>
    <row r="40" spans="3:17" x14ac:dyDescent="0.2">
      <c r="C40" s="8" t="str">
        <v>Ireland</v>
      </c>
      <c r="D40" s="56" t="str">
        <v>Europe &amp; Central Asia</v>
      </c>
      <c r="E40" s="218">
        <f t="shared" si="0"/>
        <v>73.060879663231205</v>
      </c>
      <c r="F40" s="218">
        <f t="shared" si="1"/>
        <v>2.83</v>
      </c>
      <c r="G40" s="222">
        <f t="shared" si="5"/>
        <v>25.816565252025161</v>
      </c>
      <c r="H40" s="226">
        <f t="shared" si="2"/>
        <v>12</v>
      </c>
      <c r="I40" s="208">
        <f t="shared" si="3"/>
        <v>245000</v>
      </c>
      <c r="J40" s="231">
        <f t="shared" si="6"/>
        <v>315575.20225000003</v>
      </c>
      <c r="K40" s="231">
        <v>28535362.586374063</v>
      </c>
      <c r="L40" s="84">
        <f t="shared" si="7"/>
        <v>18.261077109583127</v>
      </c>
      <c r="M40" s="84">
        <f t="shared" si="8"/>
        <v>18.261077109583127</v>
      </c>
      <c r="N40" s="226">
        <f t="shared" si="4"/>
        <v>3</v>
      </c>
      <c r="O40" s="221">
        <v>11025026.453826349</v>
      </c>
      <c r="P40" s="84">
        <f t="shared" si="9"/>
        <v>11.815991070906723</v>
      </c>
      <c r="Q40" s="84">
        <f t="shared" si="10"/>
        <v>11.815991070906723</v>
      </c>
    </row>
    <row r="41" spans="3:17" x14ac:dyDescent="0.2">
      <c r="C41" s="8" t="str">
        <v>Israel</v>
      </c>
      <c r="D41" s="56" t="str">
        <v>Middle East &amp; North Africa</v>
      </c>
      <c r="E41" s="218">
        <f t="shared" si="0"/>
        <v>433.05914972273598</v>
      </c>
      <c r="F41" s="218">
        <f t="shared" si="1"/>
        <v>3.14</v>
      </c>
      <c r="G41" s="222">
        <f t="shared" si="5"/>
        <v>137.91692666329172</v>
      </c>
      <c r="H41" s="226">
        <f t="shared" si="2"/>
        <v>38</v>
      </c>
      <c r="I41" s="208">
        <f t="shared" si="3"/>
        <v>386000</v>
      </c>
      <c r="J41" s="231">
        <f t="shared" si="6"/>
        <v>497191.95130000002</v>
      </c>
      <c r="K41" s="231">
        <v>90239153.038823217</v>
      </c>
      <c r="L41" s="84">
        <f>IFERROR((J41*G41*H41*$L$3)/K41,"No value")</f>
        <v>153.90667489063208</v>
      </c>
      <c r="M41" s="84">
        <f t="shared" si="8"/>
        <v>153.90667489063208</v>
      </c>
      <c r="N41" s="226">
        <f t="shared" si="4"/>
        <v>1</v>
      </c>
      <c r="O41" s="221">
        <v>1804783.0607764635</v>
      </c>
      <c r="P41" s="84">
        <f t="shared" si="9"/>
        <v>202.50878275083176</v>
      </c>
      <c r="Q41" s="84">
        <f t="shared" si="10"/>
        <v>202.50878275083176</v>
      </c>
    </row>
    <row r="42" spans="3:17" x14ac:dyDescent="0.2">
      <c r="C42" s="8" t="str">
        <v>Italy</v>
      </c>
      <c r="D42" s="56" t="str">
        <v>Europe &amp; Central Asia</v>
      </c>
      <c r="E42" s="218">
        <f t="shared" si="0"/>
        <v>199.96541625946401</v>
      </c>
      <c r="F42" s="218">
        <f t="shared" si="1"/>
        <v>2.4</v>
      </c>
      <c r="G42" s="222">
        <f t="shared" si="5"/>
        <v>83.318923441443346</v>
      </c>
      <c r="H42" s="226">
        <f t="shared" si="2"/>
        <v>107</v>
      </c>
      <c r="I42" s="208">
        <f t="shared" si="3"/>
        <v>178000</v>
      </c>
      <c r="J42" s="231">
        <f t="shared" si="6"/>
        <v>229275.04490000001</v>
      </c>
      <c r="K42" s="231">
        <v>251402938.17530805</v>
      </c>
      <c r="L42" s="84">
        <f t="shared" si="7"/>
        <v>43.335226883141225</v>
      </c>
      <c r="M42" s="84">
        <f t="shared" si="8"/>
        <v>43.335226883141225</v>
      </c>
      <c r="N42" s="226">
        <f t="shared" si="4"/>
        <v>38</v>
      </c>
      <c r="O42" s="221">
        <v>127377488.67548946</v>
      </c>
      <c r="P42" s="84">
        <f t="shared" si="9"/>
        <v>30.375159030239168</v>
      </c>
      <c r="Q42" s="84">
        <f t="shared" si="10"/>
        <v>30.375159030239168</v>
      </c>
    </row>
    <row r="43" spans="3:17" x14ac:dyDescent="0.2">
      <c r="C43" s="8" t="str">
        <v>Jamaica</v>
      </c>
      <c r="D43" s="56" t="str">
        <v>Latin America &amp; Caribbean</v>
      </c>
      <c r="E43" s="218">
        <f t="shared" si="0"/>
        <v>261.09833795013901</v>
      </c>
      <c r="F43" s="218">
        <f t="shared" si="1"/>
        <v>3.06</v>
      </c>
      <c r="G43" s="222">
        <f t="shared" si="5"/>
        <v>85.326254232071577</v>
      </c>
      <c r="H43" s="226">
        <f t="shared" si="2"/>
        <v>10</v>
      </c>
      <c r="I43" s="208">
        <f t="shared" si="3"/>
        <v>105000</v>
      </c>
      <c r="J43" s="231">
        <f t="shared" si="6"/>
        <v>135246.51525</v>
      </c>
      <c r="K43" s="231">
        <v>23433093.26012966</v>
      </c>
      <c r="L43" s="84">
        <f t="shared" si="7"/>
        <v>26.248612574492679</v>
      </c>
      <c r="M43" s="84">
        <f t="shared" si="8"/>
        <v>26.248612574492679</v>
      </c>
      <c r="N43" s="226">
        <f t="shared" si="4"/>
        <v>0</v>
      </c>
      <c r="O43" s="221">
        <v>0</v>
      </c>
      <c r="P43" s="84">
        <f t="shared" si="9"/>
        <v>0</v>
      </c>
      <c r="Q43" s="84">
        <f t="shared" si="10"/>
        <v>0</v>
      </c>
    </row>
    <row r="44" spans="3:17" x14ac:dyDescent="0.2">
      <c r="C44" s="8" t="str">
        <v>Japan</v>
      </c>
      <c r="D44" s="56" t="str">
        <v>East Asia &amp; Pacific</v>
      </c>
      <c r="E44" s="218">
        <f t="shared" si="0"/>
        <v>344.80546776405998</v>
      </c>
      <c r="F44" s="218">
        <f t="shared" si="1"/>
        <v>2.33</v>
      </c>
      <c r="G44" s="222">
        <f t="shared" si="5"/>
        <v>147.98517929787982</v>
      </c>
      <c r="H44" s="226">
        <v>8</v>
      </c>
      <c r="I44" s="208">
        <f t="shared" si="3"/>
        <v>251000</v>
      </c>
      <c r="J44" s="231">
        <f t="shared" si="6"/>
        <v>323303.57455000002</v>
      </c>
      <c r="K44" s="231">
        <v>137067257.52243656</v>
      </c>
      <c r="L44" s="84">
        <f>IFERROR((J44*G44*H44*$L$3)/K44,"No value")</f>
        <v>14.883744357578292</v>
      </c>
      <c r="M44" s="84">
        <f t="shared" si="8"/>
        <v>14.883744357578292</v>
      </c>
      <c r="N44" s="226">
        <f t="shared" si="4"/>
        <v>225</v>
      </c>
      <c r="O44" s="221">
        <v>763388475.92357004</v>
      </c>
      <c r="P44" s="84">
        <f t="shared" si="9"/>
        <v>75.161053177296893</v>
      </c>
      <c r="Q44" s="84">
        <f t="shared" si="10"/>
        <v>75.161053177296893</v>
      </c>
    </row>
    <row r="45" spans="3:17" x14ac:dyDescent="0.2">
      <c r="C45" s="8" t="str">
        <v>Jordan</v>
      </c>
      <c r="D45" s="56" t="str">
        <v>Middle East &amp; North Africa</v>
      </c>
      <c r="E45" s="218">
        <f t="shared" ref="E45:E74" si="11">INDEX(Input_PopulationDensity,MATCH(C45,Input_countries,0))</f>
        <v>125.55215442484899</v>
      </c>
      <c r="F45" s="218">
        <f t="shared" ref="F45:F74" si="12">INDEX(Input_HouseSize,MATCH(C45,Input_countries,0))</f>
        <v>4.72</v>
      </c>
      <c r="G45" s="222">
        <f t="shared" si="5"/>
        <v>26.600032717129025</v>
      </c>
      <c r="H45" s="226">
        <f t="shared" ref="H45:H74" si="13">INDEX(Input_NoLandfills,MATCH(C45,Input_countries,0))</f>
        <v>44</v>
      </c>
      <c r="I45" s="208">
        <f t="shared" ref="I45:I74" si="14">INDEX(Input_HousePrice,MATCH(C45,Input_countries,0))</f>
        <v>54000</v>
      </c>
      <c r="J45" s="231">
        <f t="shared" si="6"/>
        <v>69555.35070000001</v>
      </c>
      <c r="K45" s="231">
        <v>27058345.06320161</v>
      </c>
      <c r="L45" s="84">
        <f t="shared" ref="L45:L74" si="15">IFERROR((J45*G45*H45*$L$3)/K45,"No value")</f>
        <v>16.035827290258691</v>
      </c>
      <c r="M45" s="84">
        <f t="shared" si="8"/>
        <v>16.035827290258691</v>
      </c>
      <c r="N45" s="226">
        <f t="shared" ref="N45:N74" si="16">INDEX(Input_NoIncineration,MATCH(C45,Input_countries,0))</f>
        <v>0</v>
      </c>
      <c r="O45" s="221">
        <v>281857.76107501675</v>
      </c>
      <c r="P45" s="84">
        <f t="shared" si="9"/>
        <v>0</v>
      </c>
      <c r="Q45" s="84">
        <f t="shared" si="10"/>
        <v>0</v>
      </c>
    </row>
    <row r="46" spans="3:17" x14ac:dyDescent="0.2">
      <c r="C46" s="8" t="str">
        <v>Korea, Rep.</v>
      </c>
      <c r="D46" s="56" t="str">
        <v>East Asia &amp; Pacific</v>
      </c>
      <c r="E46" s="218">
        <f t="shared" si="11"/>
        <v>530.42560450819701</v>
      </c>
      <c r="F46" s="218">
        <f t="shared" si="12"/>
        <v>2.4</v>
      </c>
      <c r="G46" s="222">
        <f t="shared" si="5"/>
        <v>221.0106685450821</v>
      </c>
      <c r="H46" s="226">
        <f t="shared" si="13"/>
        <v>31</v>
      </c>
      <c r="I46" s="208">
        <f t="shared" si="14"/>
        <v>601000</v>
      </c>
      <c r="J46" s="231">
        <f t="shared" si="6"/>
        <v>774125.29205000005</v>
      </c>
      <c r="K46" s="231">
        <v>72914219.596356377</v>
      </c>
      <c r="L46" s="84">
        <f t="shared" si="15"/>
        <v>387.70478954118727</v>
      </c>
      <c r="M46" s="84">
        <f t="shared" si="8"/>
        <v>387.70478954118727</v>
      </c>
      <c r="N46" s="226">
        <f t="shared" si="16"/>
        <v>34</v>
      </c>
      <c r="O46" s="221">
        <v>113928468.1193068</v>
      </c>
      <c r="P46" s="84">
        <f t="shared" si="9"/>
        <v>272.14374904568507</v>
      </c>
      <c r="Q46" s="84">
        <f t="shared" si="10"/>
        <v>272.14374904568507</v>
      </c>
    </row>
    <row r="47" spans="3:17" x14ac:dyDescent="0.2">
      <c r="C47" s="8" t="str">
        <v>Latvia</v>
      </c>
      <c r="D47" s="56" t="str">
        <v>Europe &amp; Central Asia</v>
      </c>
      <c r="E47" s="218">
        <f t="shared" si="11"/>
        <v>30.282661095934401</v>
      </c>
      <c r="F47" s="218">
        <f t="shared" si="12"/>
        <v>2.2599999999999998</v>
      </c>
      <c r="G47" s="222">
        <f t="shared" si="5"/>
        <v>13.399407564572744</v>
      </c>
      <c r="H47" s="226">
        <f t="shared" si="13"/>
        <v>6</v>
      </c>
      <c r="I47" s="208">
        <f t="shared" si="14"/>
        <v>107000</v>
      </c>
      <c r="J47" s="231">
        <f t="shared" si="6"/>
        <v>137822.63935000001</v>
      </c>
      <c r="K47" s="231">
        <v>13712489.147305485</v>
      </c>
      <c r="L47" s="84">
        <f t="shared" si="15"/>
        <v>4.3069350467346963</v>
      </c>
      <c r="M47" s="84">
        <f t="shared" si="8"/>
        <v>4.3069350467346963</v>
      </c>
      <c r="N47" s="226">
        <f t="shared" si="16"/>
        <v>0</v>
      </c>
      <c r="O47" s="221">
        <v>636136.75946020789</v>
      </c>
      <c r="P47" s="84">
        <f t="shared" si="9"/>
        <v>0</v>
      </c>
      <c r="Q47" s="84">
        <f t="shared" si="10"/>
        <v>0</v>
      </c>
    </row>
    <row r="48" spans="3:17" x14ac:dyDescent="0.2">
      <c r="C48" s="8" t="str">
        <v>Lithuania</v>
      </c>
      <c r="D48" s="56" t="str">
        <v>Europe &amp; Central Asia</v>
      </c>
      <c r="E48" s="218">
        <f t="shared" si="11"/>
        <v>44.734690943938702</v>
      </c>
      <c r="F48" s="218">
        <f t="shared" si="12"/>
        <v>2.38</v>
      </c>
      <c r="G48" s="222">
        <f t="shared" si="5"/>
        <v>18.796088631907018</v>
      </c>
      <c r="H48" s="226">
        <f t="shared" si="13"/>
        <v>7</v>
      </c>
      <c r="I48" s="208">
        <f t="shared" si="14"/>
        <v>177000</v>
      </c>
      <c r="J48" s="231">
        <f t="shared" si="6"/>
        <v>227986.98285000003</v>
      </c>
      <c r="K48" s="231">
        <v>16234017.587053616</v>
      </c>
      <c r="L48" s="84">
        <f t="shared" si="15"/>
        <v>9.8486515548017319</v>
      </c>
      <c r="M48" s="84">
        <f t="shared" si="8"/>
        <v>9.8486515548017319</v>
      </c>
      <c r="N48" s="226">
        <f t="shared" si="16"/>
        <v>1</v>
      </c>
      <c r="O48" s="221">
        <v>3382209.1163494997</v>
      </c>
      <c r="P48" s="84">
        <f t="shared" si="9"/>
        <v>6.7531172272897715</v>
      </c>
      <c r="Q48" s="84">
        <f t="shared" si="10"/>
        <v>6.7531172272897715</v>
      </c>
    </row>
    <row r="49" spans="3:17" x14ac:dyDescent="0.2">
      <c r="C49" s="8" t="str">
        <v>Malaysia</v>
      </c>
      <c r="D49" s="56" t="str">
        <v>East Asia &amp; Pacific</v>
      </c>
      <c r="E49" s="218">
        <f t="shared" si="11"/>
        <v>102.188020088267</v>
      </c>
      <c r="F49" s="218">
        <f t="shared" si="12"/>
        <v>4.57</v>
      </c>
      <c r="G49" s="222">
        <f t="shared" si="5"/>
        <v>22.360617087148139</v>
      </c>
      <c r="H49" s="226">
        <f t="shared" si="13"/>
        <v>137</v>
      </c>
      <c r="I49" s="208">
        <f t="shared" si="14"/>
        <v>86000</v>
      </c>
      <c r="J49" s="231">
        <f t="shared" si="6"/>
        <v>110773.33630000001</v>
      </c>
      <c r="K49" s="231">
        <v>206828579.37714353</v>
      </c>
      <c r="L49" s="84">
        <f t="shared" si="15"/>
        <v>8.7449281975582416</v>
      </c>
      <c r="M49" s="84">
        <f t="shared" si="8"/>
        <v>8.7449281975582416</v>
      </c>
      <c r="N49" s="226">
        <f t="shared" si="16"/>
        <v>14</v>
      </c>
      <c r="O49" s="221">
        <v>49176025.865894273</v>
      </c>
      <c r="P49" s="84">
        <f t="shared" si="9"/>
        <v>3.75855436915234</v>
      </c>
      <c r="Q49" s="84">
        <f t="shared" si="10"/>
        <v>3.75855436915234</v>
      </c>
    </row>
    <row r="50" spans="3:17" x14ac:dyDescent="0.2">
      <c r="C50" s="8" t="str">
        <v>Mauritius</v>
      </c>
      <c r="D50" s="56" t="str">
        <v>Sub-Saharan Africa</v>
      </c>
      <c r="E50" s="218">
        <f t="shared" si="11"/>
        <v>634.11817726589902</v>
      </c>
      <c r="F50" s="218">
        <f t="shared" si="12"/>
        <v>3.48</v>
      </c>
      <c r="G50" s="222">
        <f t="shared" si="5"/>
        <v>182.21786703043077</v>
      </c>
      <c r="H50" s="226">
        <f t="shared" si="13"/>
        <v>3</v>
      </c>
      <c r="I50" s="208">
        <f t="shared" si="14"/>
        <v>62000</v>
      </c>
      <c r="J50" s="231">
        <f t="shared" si="6"/>
        <v>79859.847099999999</v>
      </c>
      <c r="K50" s="231">
        <v>8100133.7520330315</v>
      </c>
      <c r="L50" s="84">
        <f t="shared" si="15"/>
        <v>28.726036410276929</v>
      </c>
      <c r="M50" s="84">
        <f t="shared" si="8"/>
        <v>28.726036410276929</v>
      </c>
      <c r="N50" s="226">
        <f t="shared" si="16"/>
        <v>0</v>
      </c>
      <c r="O50" s="221">
        <v>0</v>
      </c>
      <c r="P50" s="84">
        <f t="shared" si="9"/>
        <v>0</v>
      </c>
      <c r="Q50" s="84">
        <f t="shared" si="10"/>
        <v>0</v>
      </c>
    </row>
    <row r="51" spans="3:17" x14ac:dyDescent="0.2">
      <c r="C51" s="8" t="str">
        <v>Mexico</v>
      </c>
      <c r="D51" s="56" t="str">
        <v>Latin America &amp; Caribbean</v>
      </c>
      <c r="E51" s="218">
        <f t="shared" si="11"/>
        <v>65.179216543635405</v>
      </c>
      <c r="F51" s="218">
        <f t="shared" si="12"/>
        <v>3.74</v>
      </c>
      <c r="G51" s="222">
        <f t="shared" si="5"/>
        <v>17.427598006319627</v>
      </c>
      <c r="H51" s="226">
        <f t="shared" si="13"/>
        <v>363</v>
      </c>
      <c r="I51" s="208">
        <f t="shared" si="14"/>
        <v>73000</v>
      </c>
      <c r="J51" s="231">
        <f t="shared" si="6"/>
        <v>94028.529650000011</v>
      </c>
      <c r="K51" s="231">
        <v>851857604.68649101</v>
      </c>
      <c r="L51" s="84">
        <f t="shared" si="15"/>
        <v>3.7218940666371929</v>
      </c>
      <c r="M51" s="84">
        <f t="shared" si="8"/>
        <v>3.7218940666371929</v>
      </c>
      <c r="N51" s="226">
        <f t="shared" si="16"/>
        <v>17</v>
      </c>
      <c r="O51" s="221">
        <v>59156778.103228524</v>
      </c>
      <c r="P51" s="84">
        <f t="shared" si="9"/>
        <v>2.5099715358478929</v>
      </c>
      <c r="Q51" s="84">
        <f t="shared" si="10"/>
        <v>2.5099715358478929</v>
      </c>
    </row>
    <row r="52" spans="3:17" x14ac:dyDescent="0.2">
      <c r="C52" s="8" t="str">
        <v>Netherlands</v>
      </c>
      <c r="D52" s="56" t="str">
        <v>Europe &amp; Central Asia</v>
      </c>
      <c r="E52" s="218">
        <f t="shared" si="11"/>
        <v>520.73192753192802</v>
      </c>
      <c r="F52" s="218">
        <f t="shared" si="12"/>
        <v>2.23</v>
      </c>
      <c r="G52" s="222">
        <f t="shared" si="5"/>
        <v>233.51207512642512</v>
      </c>
      <c r="H52" s="226">
        <f t="shared" si="13"/>
        <v>19</v>
      </c>
      <c r="I52" s="208">
        <f t="shared" si="14"/>
        <v>257000</v>
      </c>
      <c r="J52" s="231">
        <f t="shared" si="6"/>
        <v>331031.94685000001</v>
      </c>
      <c r="K52" s="231">
        <v>2770182.521421866</v>
      </c>
      <c r="L52" s="84">
        <f>IFERROR((J52*G52*H52*$L$3)/K52,"No value")</f>
        <v>2825.8667321963458</v>
      </c>
      <c r="M52" s="84">
        <f t="shared" si="8"/>
        <v>2825.8667321963458</v>
      </c>
      <c r="N52" s="226">
        <f t="shared" si="16"/>
        <v>27</v>
      </c>
      <c r="O52" s="221">
        <v>92932560.805405378</v>
      </c>
      <c r="P52" s="84">
        <f t="shared" si="9"/>
        <v>119.70225174831582</v>
      </c>
      <c r="Q52" s="84">
        <f t="shared" si="10"/>
        <v>119.70225174831582</v>
      </c>
    </row>
    <row r="53" spans="3:17" x14ac:dyDescent="0.2">
      <c r="C53" s="8" t="str">
        <v>New Zealand</v>
      </c>
      <c r="D53" s="56" t="str">
        <v>East Asia &amp; Pacific</v>
      </c>
      <c r="E53" s="218">
        <f t="shared" si="11"/>
        <v>19.411720025825101</v>
      </c>
      <c r="F53" s="218">
        <f t="shared" si="12"/>
        <v>2.6</v>
      </c>
      <c r="G53" s="222">
        <f t="shared" si="5"/>
        <v>7.4660461637788851</v>
      </c>
      <c r="H53" s="226">
        <f t="shared" si="13"/>
        <v>32</v>
      </c>
      <c r="I53" s="208">
        <f t="shared" si="14"/>
        <v>307000</v>
      </c>
      <c r="J53" s="231">
        <f t="shared" si="6"/>
        <v>395435.04935000004</v>
      </c>
      <c r="K53" s="231">
        <v>75867732.369677275</v>
      </c>
      <c r="L53" s="84">
        <f t="shared" si="15"/>
        <v>6.6372154441223481</v>
      </c>
      <c r="M53" s="84">
        <f t="shared" si="8"/>
        <v>6.6372154441223481</v>
      </c>
      <c r="N53" s="226">
        <f t="shared" si="16"/>
        <v>0</v>
      </c>
      <c r="O53" s="221">
        <v>0</v>
      </c>
      <c r="P53" s="84">
        <f t="shared" si="9"/>
        <v>0</v>
      </c>
      <c r="Q53" s="84">
        <f t="shared" si="10"/>
        <v>0</v>
      </c>
    </row>
    <row r="54" spans="3:17" x14ac:dyDescent="0.2">
      <c r="C54" s="8" t="str">
        <v>Norway</v>
      </c>
      <c r="D54" s="56" t="str">
        <v>Europe &amp; Central Asia</v>
      </c>
      <c r="E54" s="218">
        <f t="shared" si="11"/>
        <v>14.8470090866665</v>
      </c>
      <c r="F54" s="218">
        <f t="shared" si="12"/>
        <v>2.2200000000000002</v>
      </c>
      <c r="G54" s="222">
        <f t="shared" si="5"/>
        <v>6.6878419309308548</v>
      </c>
      <c r="H54" s="226">
        <f t="shared" si="13"/>
        <v>1</v>
      </c>
      <c r="I54" s="208">
        <f t="shared" si="14"/>
        <v>305000</v>
      </c>
      <c r="J54" s="231">
        <f t="shared" si="6"/>
        <v>392858.92525000003</v>
      </c>
      <c r="K54" s="231">
        <v>1313025.0179900567</v>
      </c>
      <c r="L54" s="84">
        <f t="shared" si="15"/>
        <v>10.665392238556715</v>
      </c>
      <c r="M54" s="84">
        <f t="shared" si="8"/>
        <v>10.665392238556715</v>
      </c>
      <c r="N54" s="226">
        <f t="shared" si="16"/>
        <v>14</v>
      </c>
      <c r="O54" s="221">
        <v>48406239.219563</v>
      </c>
      <c r="P54" s="84">
        <f t="shared" si="9"/>
        <v>4.0502005291787482</v>
      </c>
      <c r="Q54" s="84">
        <f t="shared" si="10"/>
        <v>4.0502005291787482</v>
      </c>
    </row>
    <row r="55" spans="3:17" x14ac:dyDescent="0.2">
      <c r="C55" s="8" t="str">
        <v>Panama</v>
      </c>
      <c r="D55" s="56" t="str">
        <v>Latin America &amp; Caribbean</v>
      </c>
      <c r="E55" s="218">
        <f t="shared" si="11"/>
        <v>58.6582232407657</v>
      </c>
      <c r="F55" s="218">
        <f t="shared" si="12"/>
        <v>3.64</v>
      </c>
      <c r="G55" s="222">
        <f t="shared" si="5"/>
        <v>16.11489649471585</v>
      </c>
      <c r="H55" s="226">
        <f t="shared" si="13"/>
        <v>5</v>
      </c>
      <c r="I55" s="208">
        <f t="shared" si="14"/>
        <v>108000</v>
      </c>
      <c r="J55" s="231">
        <f t="shared" si="6"/>
        <v>139110.70140000002</v>
      </c>
      <c r="K55" s="231">
        <v>11448552.511382462</v>
      </c>
      <c r="L55" s="84">
        <f t="shared" si="15"/>
        <v>5.2183678953752413</v>
      </c>
      <c r="M55" s="84">
        <f t="shared" si="8"/>
        <v>5.2183678953752413</v>
      </c>
      <c r="N55" s="226">
        <f t="shared" si="16"/>
        <v>1</v>
      </c>
      <c r="O55" s="221">
        <v>3608426.292985877</v>
      </c>
      <c r="P55" s="84">
        <f t="shared" si="9"/>
        <v>3.3112916281562885</v>
      </c>
      <c r="Q55" s="84">
        <f t="shared" si="10"/>
        <v>3.3112916281562885</v>
      </c>
    </row>
    <row r="56" spans="3:17" x14ac:dyDescent="0.2">
      <c r="C56" s="8" t="str">
        <v>Peru</v>
      </c>
      <c r="D56" s="56" t="str">
        <v>Latin America &amp; Caribbean</v>
      </c>
      <c r="E56" s="218">
        <f t="shared" si="11"/>
        <v>26.340211718749998</v>
      </c>
      <c r="F56" s="218">
        <f t="shared" si="12"/>
        <v>3.46</v>
      </c>
      <c r="G56" s="222">
        <f t="shared" si="5"/>
        <v>7.6127779533959536</v>
      </c>
      <c r="H56" s="226">
        <f t="shared" si="13"/>
        <v>12</v>
      </c>
      <c r="I56" s="208">
        <f t="shared" si="14"/>
        <v>78000</v>
      </c>
      <c r="J56" s="231">
        <f t="shared" si="6"/>
        <v>100468.83990000001</v>
      </c>
      <c r="K56" s="231">
        <v>29009672.811025094</v>
      </c>
      <c r="L56" s="84">
        <f t="shared" si="15"/>
        <v>1.6863207138223091</v>
      </c>
      <c r="M56" s="84">
        <f t="shared" si="8"/>
        <v>1.6863207138223091</v>
      </c>
      <c r="N56" s="226">
        <f t="shared" si="16"/>
        <v>3</v>
      </c>
      <c r="O56" s="221">
        <v>9309907.8340902105</v>
      </c>
      <c r="P56" s="84">
        <f t="shared" si="9"/>
        <v>1.3136438360675786</v>
      </c>
      <c r="Q56" s="84">
        <f t="shared" si="10"/>
        <v>1.3136438360675786</v>
      </c>
    </row>
    <row r="57" spans="3:17" x14ac:dyDescent="0.2">
      <c r="C57" s="8" t="str">
        <v>Philippines</v>
      </c>
      <c r="D57" s="56" t="str">
        <v>East Asia &amp; Pacific</v>
      </c>
      <c r="E57" s="218">
        <f t="shared" si="11"/>
        <v>381.930871650401</v>
      </c>
      <c r="F57" s="218">
        <f t="shared" si="12"/>
        <v>4.2300000000000004</v>
      </c>
      <c r="G57" s="222">
        <f t="shared" si="5"/>
        <v>90.290986205768547</v>
      </c>
      <c r="H57" s="226">
        <f t="shared" si="13"/>
        <v>100</v>
      </c>
      <c r="I57" s="208">
        <f t="shared" si="14"/>
        <v>122000</v>
      </c>
      <c r="J57" s="231">
        <f t="shared" si="6"/>
        <v>157143.57010000001</v>
      </c>
      <c r="K57" s="231">
        <v>234732858.63561982</v>
      </c>
      <c r="L57" s="84">
        <f t="shared" si="15"/>
        <v>32.217685182367461</v>
      </c>
      <c r="M57" s="84">
        <f t="shared" si="8"/>
        <v>32.217685182367461</v>
      </c>
      <c r="N57" s="226">
        <f t="shared" si="16"/>
        <v>12</v>
      </c>
      <c r="O57" s="221">
        <v>40752232.402017333</v>
      </c>
      <c r="P57" s="84">
        <f t="shared" si="9"/>
        <v>22.268863998052389</v>
      </c>
      <c r="Q57" s="84">
        <f t="shared" si="10"/>
        <v>22.268863998052389</v>
      </c>
    </row>
    <row r="58" spans="3:17" x14ac:dyDescent="0.2">
      <c r="C58" s="8" t="str">
        <v>Poland</v>
      </c>
      <c r="D58" s="56" t="str">
        <v>Europe &amp; Central Asia</v>
      </c>
      <c r="E58" s="218">
        <f t="shared" si="11"/>
        <v>123.316314929762</v>
      </c>
      <c r="F58" s="218">
        <f t="shared" si="12"/>
        <v>2.82</v>
      </c>
      <c r="G58" s="222">
        <f t="shared" si="5"/>
        <v>43.729189691404969</v>
      </c>
      <c r="H58" s="226">
        <f t="shared" si="13"/>
        <v>54</v>
      </c>
      <c r="I58" s="208">
        <f t="shared" si="14"/>
        <v>154000</v>
      </c>
      <c r="J58" s="231">
        <f t="shared" si="6"/>
        <v>198361.55570000003</v>
      </c>
      <c r="K58" s="231">
        <v>125817556.16098286</v>
      </c>
      <c r="L58" s="84">
        <f t="shared" si="15"/>
        <v>19.843060617345021</v>
      </c>
      <c r="M58" s="84">
        <f t="shared" si="8"/>
        <v>19.843060617345021</v>
      </c>
      <c r="N58" s="226">
        <f t="shared" si="16"/>
        <v>11</v>
      </c>
      <c r="O58" s="221">
        <v>37637244.545219451</v>
      </c>
      <c r="P58" s="84">
        <f t="shared" si="9"/>
        <v>13.51235382701214</v>
      </c>
      <c r="Q58" s="84">
        <f t="shared" si="10"/>
        <v>13.51235382701214</v>
      </c>
    </row>
    <row r="59" spans="3:17" x14ac:dyDescent="0.2">
      <c r="C59" s="8" t="str">
        <v>Portugal</v>
      </c>
      <c r="D59" s="56" t="str">
        <v>Europe &amp; Central Asia</v>
      </c>
      <c r="E59" s="218">
        <f t="shared" si="11"/>
        <v>113.113510527741</v>
      </c>
      <c r="F59" s="218">
        <f t="shared" si="12"/>
        <v>2.58</v>
      </c>
      <c r="G59" s="222">
        <f t="shared" si="5"/>
        <v>43.842445940984881</v>
      </c>
      <c r="H59" s="226">
        <f t="shared" si="13"/>
        <v>25</v>
      </c>
      <c r="I59" s="208">
        <f t="shared" si="14"/>
        <v>148000</v>
      </c>
      <c r="J59" s="231">
        <f t="shared" si="6"/>
        <v>190633.18340000001</v>
      </c>
      <c r="K59" s="231">
        <v>57482182.883606613</v>
      </c>
      <c r="L59" s="84">
        <f t="shared" si="15"/>
        <v>19.374354459332437</v>
      </c>
      <c r="M59" s="84">
        <f t="shared" si="8"/>
        <v>19.374354459332437</v>
      </c>
      <c r="N59" s="226">
        <f t="shared" si="16"/>
        <v>7</v>
      </c>
      <c r="O59" s="221">
        <v>24274689.443189394</v>
      </c>
      <c r="P59" s="84">
        <f t="shared" si="9"/>
        <v>12.845909023432432</v>
      </c>
      <c r="Q59" s="84">
        <f t="shared" si="10"/>
        <v>12.845909023432432</v>
      </c>
    </row>
    <row r="60" spans="3:17" x14ac:dyDescent="0.2">
      <c r="C60" s="8" t="str">
        <v>Romania</v>
      </c>
      <c r="D60" s="56" t="str">
        <v>Europe &amp; Central Asia</v>
      </c>
      <c r="E60" s="218">
        <f t="shared" si="11"/>
        <v>83.110478963838702</v>
      </c>
      <c r="F60" s="218">
        <f t="shared" si="12"/>
        <v>2.67</v>
      </c>
      <c r="G60" s="222">
        <f t="shared" si="5"/>
        <v>31.127520211175543</v>
      </c>
      <c r="H60" s="226">
        <f t="shared" si="13"/>
        <v>44</v>
      </c>
      <c r="I60" s="208">
        <f t="shared" si="14"/>
        <v>94000</v>
      </c>
      <c r="J60" s="231">
        <f t="shared" si="6"/>
        <v>121077.83270000001</v>
      </c>
      <c r="K60" s="231">
        <v>102042845.62429212</v>
      </c>
      <c r="L60" s="84">
        <f t="shared" si="15"/>
        <v>8.6617667917843377</v>
      </c>
      <c r="M60" s="84">
        <f t="shared" si="8"/>
        <v>8.6617667917843377</v>
      </c>
      <c r="N60" s="226">
        <f t="shared" si="16"/>
        <v>1</v>
      </c>
      <c r="O60" s="221">
        <v>2862030.1080422755</v>
      </c>
      <c r="P60" s="84">
        <f t="shared" si="9"/>
        <v>7.0187887793035744</v>
      </c>
      <c r="Q60" s="84">
        <f t="shared" si="10"/>
        <v>7.0187887793035744</v>
      </c>
    </row>
    <row r="61" spans="3:17" x14ac:dyDescent="0.2">
      <c r="C61" s="8" t="str">
        <v>Russian Federation</v>
      </c>
      <c r="D61" s="56" t="str">
        <v>Europe &amp; Central Asia</v>
      </c>
      <c r="E61" s="218">
        <f t="shared" si="11"/>
        <v>8.8384875742434303</v>
      </c>
      <c r="F61" s="218">
        <f t="shared" si="12"/>
        <v>2.58</v>
      </c>
      <c r="G61" s="222">
        <f t="shared" si="5"/>
        <v>3.4257703776137327</v>
      </c>
      <c r="H61" s="226">
        <f t="shared" si="13"/>
        <v>1000</v>
      </c>
      <c r="I61" s="208">
        <f t="shared" si="14"/>
        <v>85000</v>
      </c>
      <c r="J61" s="231">
        <f t="shared" si="6"/>
        <v>109485.27425</v>
      </c>
      <c r="K61" s="231">
        <v>6684381.7065794952</v>
      </c>
      <c r="L61" s="84">
        <f t="shared" si="15"/>
        <v>299.07487324632484</v>
      </c>
      <c r="M61" s="84">
        <f t="shared" si="8"/>
        <v>299.07487324632484</v>
      </c>
      <c r="N61" s="226">
        <f t="shared" si="16"/>
        <v>55</v>
      </c>
      <c r="O61" s="221">
        <v>185825811.44291002</v>
      </c>
      <c r="P61" s="84">
        <f t="shared" si="9"/>
        <v>0.59169489311323242</v>
      </c>
      <c r="Q61" s="84">
        <f t="shared" si="10"/>
        <v>0.59169489311323242</v>
      </c>
    </row>
    <row r="62" spans="3:17" x14ac:dyDescent="0.2">
      <c r="C62" s="8" t="str">
        <v>Slovak Republic</v>
      </c>
      <c r="D62" s="56" t="str">
        <v>Europe &amp; Central Asia</v>
      </c>
      <c r="E62" s="218">
        <f t="shared" si="11"/>
        <v>113.29548668885199</v>
      </c>
      <c r="F62" s="218">
        <f t="shared" si="12"/>
        <v>2.9</v>
      </c>
      <c r="G62" s="222">
        <f t="shared" si="5"/>
        <v>39.067409203052414</v>
      </c>
      <c r="H62" s="226">
        <f t="shared" si="13"/>
        <v>16</v>
      </c>
      <c r="I62" s="208">
        <f t="shared" si="14"/>
        <v>142000</v>
      </c>
      <c r="J62" s="231">
        <f t="shared" si="6"/>
        <v>182904.81110000002</v>
      </c>
      <c r="K62" s="231">
        <v>38053902.998044372</v>
      </c>
      <c r="L62" s="84">
        <f t="shared" si="15"/>
        <v>16.013553888486882</v>
      </c>
      <c r="M62" s="84">
        <f t="shared" si="8"/>
        <v>16.013553888486882</v>
      </c>
      <c r="N62" s="226">
        <f t="shared" si="16"/>
        <v>2</v>
      </c>
      <c r="O62" s="221">
        <v>5479393.6691187872</v>
      </c>
      <c r="P62" s="84">
        <f t="shared" si="9"/>
        <v>13.90158891486524</v>
      </c>
      <c r="Q62" s="84">
        <f t="shared" si="10"/>
        <v>13.90158891486524</v>
      </c>
    </row>
    <row r="63" spans="3:17" x14ac:dyDescent="0.2">
      <c r="C63" s="8" t="str">
        <v>Slovenia</v>
      </c>
      <c r="D63" s="56" t="str">
        <v>Europe &amp; Central Asia</v>
      </c>
      <c r="E63" s="218">
        <f t="shared" si="11"/>
        <v>104.689964442502</v>
      </c>
      <c r="F63" s="218">
        <f t="shared" si="12"/>
        <v>2.4700000000000002</v>
      </c>
      <c r="G63" s="222">
        <f t="shared" si="5"/>
        <v>42.384600988867206</v>
      </c>
      <c r="H63" s="226">
        <f t="shared" si="13"/>
        <v>3</v>
      </c>
      <c r="I63" s="208">
        <f t="shared" si="14"/>
        <v>181000</v>
      </c>
      <c r="J63" s="231">
        <f t="shared" si="6"/>
        <v>233139.23105</v>
      </c>
      <c r="K63" s="231">
        <v>6759808.8362578852</v>
      </c>
      <c r="L63" s="84">
        <f t="shared" si="15"/>
        <v>23.374240488304864</v>
      </c>
      <c r="M63" s="84">
        <f t="shared" si="8"/>
        <v>23.374240488304864</v>
      </c>
      <c r="N63" s="226">
        <f t="shared" si="16"/>
        <v>1</v>
      </c>
      <c r="O63" s="221">
        <v>4000081.1219757046</v>
      </c>
      <c r="P63" s="84">
        <f t="shared" si="9"/>
        <v>13.166849419261997</v>
      </c>
      <c r="Q63" s="84">
        <f t="shared" si="10"/>
        <v>13.166849419261997</v>
      </c>
    </row>
    <row r="64" spans="3:17" x14ac:dyDescent="0.2">
      <c r="C64" s="8" t="str">
        <v>South Africa</v>
      </c>
      <c r="D64" s="56" t="str">
        <v>Sub-Saharan Africa</v>
      </c>
      <c r="E64" s="218">
        <f t="shared" si="11"/>
        <v>48.959479511000801</v>
      </c>
      <c r="F64" s="218">
        <f t="shared" si="12"/>
        <v>3.2</v>
      </c>
      <c r="G64" s="222">
        <f t="shared" si="5"/>
        <v>15.299837347187749</v>
      </c>
      <c r="H64" s="226">
        <f t="shared" si="13"/>
        <v>826</v>
      </c>
      <c r="I64" s="208">
        <f t="shared" si="14"/>
        <v>41000</v>
      </c>
      <c r="J64" s="231">
        <f t="shared" si="6"/>
        <v>52810.544050000004</v>
      </c>
      <c r="K64" s="231">
        <v>296100441.44374478</v>
      </c>
      <c r="L64" s="84">
        <f t="shared" si="15"/>
        <v>12.013668856108724</v>
      </c>
      <c r="M64" s="84">
        <f t="shared" si="8"/>
        <v>12.013668856108724</v>
      </c>
      <c r="N64" s="226">
        <f t="shared" si="16"/>
        <v>0</v>
      </c>
      <c r="O64" s="221">
        <v>0</v>
      </c>
      <c r="P64" s="84">
        <f t="shared" si="9"/>
        <v>0</v>
      </c>
      <c r="Q64" s="84">
        <f t="shared" si="10"/>
        <v>0</v>
      </c>
    </row>
    <row r="65" spans="3:17" x14ac:dyDescent="0.2">
      <c r="C65" s="8" t="str">
        <v>Spain</v>
      </c>
      <c r="D65" s="56" t="str">
        <v>Europe &amp; Central Asia</v>
      </c>
      <c r="E65" s="218">
        <f t="shared" si="11"/>
        <v>94.882208796979697</v>
      </c>
      <c r="F65" s="218">
        <f t="shared" si="12"/>
        <v>2.58</v>
      </c>
      <c r="G65" s="222">
        <f t="shared" si="5"/>
        <v>36.776049921309962</v>
      </c>
      <c r="H65" s="226">
        <f t="shared" si="13"/>
        <v>117</v>
      </c>
      <c r="I65" s="208">
        <f t="shared" si="14"/>
        <v>160000</v>
      </c>
      <c r="J65" s="231">
        <f t="shared" si="6"/>
        <v>206089.92800000001</v>
      </c>
      <c r="K65" s="231">
        <v>275059390.45568234</v>
      </c>
      <c r="L65" s="84">
        <f t="shared" si="15"/>
        <v>17.183373984384097</v>
      </c>
      <c r="M65" s="84">
        <f t="shared" si="8"/>
        <v>17.183373984384097</v>
      </c>
      <c r="N65" s="226">
        <f t="shared" si="16"/>
        <v>17</v>
      </c>
      <c r="O65" s="221">
        <v>58017609.676802114</v>
      </c>
      <c r="P65" s="84">
        <f t="shared" si="9"/>
        <v>11.836904568894804</v>
      </c>
      <c r="Q65" s="84">
        <f t="shared" si="10"/>
        <v>11.836904568894804</v>
      </c>
    </row>
    <row r="66" spans="3:17" x14ac:dyDescent="0.2">
      <c r="C66" s="8" t="str">
        <v>Sri Lanka</v>
      </c>
      <c r="D66" s="56" t="str">
        <v>South Asia</v>
      </c>
      <c r="E66" s="218">
        <f t="shared" si="11"/>
        <v>358.16359521500198</v>
      </c>
      <c r="F66" s="218">
        <f t="shared" si="12"/>
        <v>3.7</v>
      </c>
      <c r="G66" s="222">
        <f t="shared" si="5"/>
        <v>96.800971679730253</v>
      </c>
      <c r="H66" s="226">
        <f t="shared" si="13"/>
        <v>3</v>
      </c>
      <c r="I66" s="208">
        <f t="shared" si="14"/>
        <v>68000</v>
      </c>
      <c r="J66" s="231">
        <f t="shared" si="6"/>
        <v>87588.219400000002</v>
      </c>
      <c r="K66" s="231">
        <v>6450016.1433106428</v>
      </c>
      <c r="L66" s="84">
        <f t="shared" si="15"/>
        <v>21.019049669050236</v>
      </c>
      <c r="M66" s="84">
        <f t="shared" si="8"/>
        <v>21.019049669050236</v>
      </c>
      <c r="N66" s="226">
        <f t="shared" si="16"/>
        <v>0</v>
      </c>
      <c r="O66" s="221">
        <v>0</v>
      </c>
      <c r="P66" s="84">
        <f t="shared" si="9"/>
        <v>0</v>
      </c>
      <c r="Q66" s="84">
        <f t="shared" si="10"/>
        <v>0</v>
      </c>
    </row>
    <row r="67" spans="3:17" x14ac:dyDescent="0.2">
      <c r="C67" s="8" t="str">
        <v>Sweden</v>
      </c>
      <c r="D67" s="56" t="str">
        <v>Europe &amp; Central Asia</v>
      </c>
      <c r="E67" s="218">
        <f t="shared" si="11"/>
        <v>25.573856974431099</v>
      </c>
      <c r="F67" s="218">
        <f t="shared" si="12"/>
        <v>2.15</v>
      </c>
      <c r="G67" s="222">
        <f t="shared" si="5"/>
        <v>11.894817197409814</v>
      </c>
      <c r="H67" s="226">
        <f t="shared" si="13"/>
        <v>0</v>
      </c>
      <c r="I67" s="208">
        <f t="shared" si="14"/>
        <v>267000</v>
      </c>
      <c r="J67" s="231">
        <f t="shared" si="6"/>
        <v>343912.56735000003</v>
      </c>
      <c r="K67" s="231">
        <v>823189.36104804452</v>
      </c>
      <c r="L67" s="84">
        <f t="shared" si="15"/>
        <v>0</v>
      </c>
      <c r="M67" s="84">
        <f t="shared" si="8"/>
        <v>0</v>
      </c>
      <c r="N67" s="226">
        <f t="shared" si="16"/>
        <v>16</v>
      </c>
      <c r="O67" s="221">
        <v>52684119.107074849</v>
      </c>
      <c r="P67" s="84">
        <f t="shared" si="9"/>
        <v>6.6217577279584763</v>
      </c>
      <c r="Q67" s="84">
        <f t="shared" si="10"/>
        <v>6.6217577279584763</v>
      </c>
    </row>
    <row r="68" spans="3:17" x14ac:dyDescent="0.2">
      <c r="C68" s="8" t="str">
        <v>Thailand</v>
      </c>
      <c r="D68" s="56" t="str">
        <v>East Asia &amp; Pacific</v>
      </c>
      <c r="E68" s="218">
        <f t="shared" si="11"/>
        <v>140.149744563409</v>
      </c>
      <c r="F68" s="218">
        <f t="shared" si="12"/>
        <v>2.84</v>
      </c>
      <c r="G68" s="222">
        <f t="shared" si="5"/>
        <v>49.348501606834155</v>
      </c>
      <c r="H68" s="226">
        <f t="shared" si="13"/>
        <v>116</v>
      </c>
      <c r="I68" s="208">
        <f t="shared" si="14"/>
        <v>173000</v>
      </c>
      <c r="J68" s="231">
        <f t="shared" si="6"/>
        <v>222834.73465000003</v>
      </c>
      <c r="K68" s="231">
        <v>161548333.60543543</v>
      </c>
      <c r="L68" s="84">
        <f t="shared" si="15"/>
        <v>42.086186383921394</v>
      </c>
      <c r="M68" s="84">
        <f t="shared" si="8"/>
        <v>42.086186383921394</v>
      </c>
      <c r="N68" s="226">
        <f t="shared" si="16"/>
        <v>1</v>
      </c>
      <c r="O68" s="221">
        <v>2393308.646006451</v>
      </c>
      <c r="P68" s="84">
        <f t="shared" si="9"/>
        <v>24.489806732023222</v>
      </c>
      <c r="Q68" s="84">
        <f>IF(O68=0,0,IF(O68="No value","No value",(G68*J68*N68*$L$3)/O68))</f>
        <v>24.489806732023222</v>
      </c>
    </row>
    <row r="69" spans="3:17" x14ac:dyDescent="0.2">
      <c r="C69" s="8" t="str">
        <v>Ukraine</v>
      </c>
      <c r="D69" s="56" t="str">
        <v>Europe &amp; Central Asia</v>
      </c>
      <c r="E69" s="218">
        <f t="shared" si="11"/>
        <v>75.679989644459795</v>
      </c>
      <c r="F69" s="218">
        <f t="shared" si="12"/>
        <v>2.5299999999999998</v>
      </c>
      <c r="G69" s="222">
        <f t="shared" si="5"/>
        <v>29.913039385161976</v>
      </c>
      <c r="H69" s="226">
        <f t="shared" si="13"/>
        <v>136</v>
      </c>
      <c r="I69" s="208">
        <f t="shared" si="14"/>
        <v>70000</v>
      </c>
      <c r="J69" s="231">
        <f t="shared" si="6"/>
        <v>90164.343500000003</v>
      </c>
      <c r="K69" s="231">
        <v>319472735.85170186</v>
      </c>
      <c r="L69" s="84">
        <f t="shared" si="15"/>
        <v>6.1196654975083868</v>
      </c>
      <c r="M69" s="84">
        <f t="shared" si="8"/>
        <v>6.1196654975083868</v>
      </c>
      <c r="N69" s="226">
        <f t="shared" si="16"/>
        <v>3</v>
      </c>
      <c r="O69" s="221">
        <v>9271399.690391684</v>
      </c>
      <c r="P69" s="84">
        <f t="shared" si="9"/>
        <v>4.6515589314044448</v>
      </c>
      <c r="Q69" s="84">
        <f t="shared" si="10"/>
        <v>4.6515589314044448</v>
      </c>
    </row>
    <row r="70" spans="3:17" x14ac:dyDescent="0.2">
      <c r="C70" s="8" t="str">
        <v>United Kingdom</v>
      </c>
      <c r="D70" s="56" t="str">
        <v>Europe &amp; Central Asia</v>
      </c>
      <c r="E70" s="218">
        <f t="shared" si="11"/>
        <v>277.04828669449802</v>
      </c>
      <c r="F70" s="218">
        <f t="shared" si="12"/>
        <v>2.35</v>
      </c>
      <c r="G70" s="222">
        <f t="shared" si="5"/>
        <v>117.89288795510554</v>
      </c>
      <c r="H70" s="226">
        <f t="shared" si="13"/>
        <v>535</v>
      </c>
      <c r="I70" s="208">
        <f t="shared" si="14"/>
        <v>263000</v>
      </c>
      <c r="J70" s="231">
        <f t="shared" si="6"/>
        <v>338760.31915</v>
      </c>
      <c r="K70" s="231">
        <v>172364905.96692795</v>
      </c>
      <c r="L70" s="84">
        <f t="shared" si="15"/>
        <v>660.71213613039401</v>
      </c>
      <c r="M70" s="84">
        <f t="shared" si="8"/>
        <v>660.71213613039401</v>
      </c>
      <c r="N70" s="226">
        <f t="shared" si="16"/>
        <v>63</v>
      </c>
      <c r="O70" s="221">
        <v>215147603.39070004</v>
      </c>
      <c r="P70" s="84">
        <f t="shared" si="9"/>
        <v>62.332046451757499</v>
      </c>
      <c r="Q70" s="84">
        <f t="shared" si="10"/>
        <v>62.332046451757499</v>
      </c>
    </row>
    <row r="71" spans="3:17" x14ac:dyDescent="0.2">
      <c r="C71" s="8" t="str">
        <v>United States</v>
      </c>
      <c r="D71" s="56" t="str">
        <v>North America</v>
      </c>
      <c r="E71" s="218">
        <f t="shared" si="11"/>
        <v>36.2997410198723</v>
      </c>
      <c r="F71" s="218">
        <f t="shared" si="12"/>
        <v>2.4900000000000002</v>
      </c>
      <c r="G71" s="222">
        <f t="shared" si="5"/>
        <v>14.578209244928633</v>
      </c>
      <c r="H71" s="226">
        <f t="shared" si="13"/>
        <v>2635</v>
      </c>
      <c r="I71" s="208">
        <f t="shared" si="14"/>
        <v>226000</v>
      </c>
      <c r="J71" s="231">
        <f t="shared" si="6"/>
        <v>291102.0233</v>
      </c>
      <c r="K71" s="231">
        <v>3108418010.3675828</v>
      </c>
      <c r="L71" s="84">
        <f t="shared" si="15"/>
        <v>19.174224829735653</v>
      </c>
      <c r="M71" s="84">
        <f t="shared" si="8"/>
        <v>19.174224829735653</v>
      </c>
      <c r="N71" s="226">
        <f t="shared" si="16"/>
        <v>223</v>
      </c>
      <c r="O71" s="221">
        <v>756421112.78906918</v>
      </c>
      <c r="P71" s="84">
        <f t="shared" si="9"/>
        <v>6.6683415087711513</v>
      </c>
      <c r="Q71" s="84">
        <f t="shared" si="10"/>
        <v>6.6683415087711513</v>
      </c>
    </row>
    <row r="72" spans="3:17" x14ac:dyDescent="0.2">
      <c r="C72" s="8" t="str">
        <v>Uruguay</v>
      </c>
      <c r="D72" s="56" t="str">
        <v>Latin America &amp; Caribbean</v>
      </c>
      <c r="E72" s="218">
        <f t="shared" si="11"/>
        <v>19.5763912695692</v>
      </c>
      <c r="F72" s="218">
        <f t="shared" si="12"/>
        <v>3.02</v>
      </c>
      <c r="G72" s="222">
        <f t="shared" si="5"/>
        <v>6.4822487647580136</v>
      </c>
      <c r="H72" s="226">
        <f t="shared" si="13"/>
        <v>8</v>
      </c>
      <c r="I72" s="208">
        <f t="shared" si="14"/>
        <v>127000</v>
      </c>
      <c r="J72" s="231">
        <f t="shared" si="6"/>
        <v>163583.88035000002</v>
      </c>
      <c r="K72" s="231">
        <v>17969607.427621696</v>
      </c>
      <c r="L72" s="84">
        <f t="shared" si="15"/>
        <v>2.5161979608158922</v>
      </c>
      <c r="M72" s="84">
        <f t="shared" si="8"/>
        <v>2.5161979608158922</v>
      </c>
      <c r="N72" s="226">
        <f t="shared" si="16"/>
        <v>1</v>
      </c>
      <c r="O72" s="221">
        <v>3088526.2766224784</v>
      </c>
      <c r="P72" s="84">
        <f t="shared" si="9"/>
        <v>1.8299621533206494</v>
      </c>
      <c r="Q72" s="84">
        <f t="shared" si="10"/>
        <v>1.8299621533206494</v>
      </c>
    </row>
    <row r="73" spans="3:17" x14ac:dyDescent="0.2">
      <c r="C73" s="8" t="str">
        <v>Venezuela, RB</v>
      </c>
      <c r="D73" s="56" t="str">
        <v>Latin America &amp; Caribbean</v>
      </c>
      <c r="E73" s="218">
        <f t="shared" si="11"/>
        <v>31.9708259168981</v>
      </c>
      <c r="F73" s="218">
        <f t="shared" si="12"/>
        <v>4.33</v>
      </c>
      <c r="G73" s="222">
        <f t="shared" si="5"/>
        <v>7.3835625674129561</v>
      </c>
      <c r="H73" s="226">
        <f t="shared" si="13"/>
        <v>57</v>
      </c>
      <c r="I73" s="208">
        <f t="shared" si="14"/>
        <v>27000</v>
      </c>
      <c r="J73" s="231">
        <f t="shared" si="6"/>
        <v>34777.675350000005</v>
      </c>
      <c r="K73" s="231">
        <v>132913288.9603045</v>
      </c>
      <c r="L73" s="84">
        <f t="shared" si="15"/>
        <v>0.58694873138450954</v>
      </c>
      <c r="M73" s="84">
        <f t="shared" si="8"/>
        <v>0.58694873138450954</v>
      </c>
      <c r="N73" s="226">
        <f t="shared" si="16"/>
        <v>3</v>
      </c>
      <c r="O73" s="221">
        <v>10894531.881992174</v>
      </c>
      <c r="P73" s="84">
        <f t="shared" si="9"/>
        <v>0.376882869625843</v>
      </c>
      <c r="Q73" s="84">
        <f t="shared" si="10"/>
        <v>0.376882869625843</v>
      </c>
    </row>
    <row r="74" spans="3:17" x14ac:dyDescent="0.2">
      <c r="C74" s="8" t="str">
        <v>Viet Nam</v>
      </c>
      <c r="D74" s="56" t="str">
        <v>East Asia &amp; Pacific</v>
      </c>
      <c r="E74" s="218">
        <f t="shared" si="11"/>
        <v>310.97323157716698</v>
      </c>
      <c r="F74" s="218">
        <f t="shared" si="12"/>
        <v>3.44</v>
      </c>
      <c r="G74" s="222">
        <f t="shared" si="5"/>
        <v>90.399195225920636</v>
      </c>
      <c r="H74" s="226">
        <f t="shared" si="13"/>
        <v>904</v>
      </c>
      <c r="I74" s="208">
        <f t="shared" si="14"/>
        <v>136000</v>
      </c>
      <c r="J74" s="231">
        <f t="shared" si="6"/>
        <v>175176.4388</v>
      </c>
      <c r="K74" s="231">
        <v>132207845.70938736</v>
      </c>
      <c r="L74" s="84">
        <f t="shared" si="15"/>
        <v>577.13666874622788</v>
      </c>
      <c r="M74" s="84">
        <f t="shared" si="8"/>
        <v>577.13666874622788</v>
      </c>
      <c r="N74" s="226">
        <f t="shared" si="16"/>
        <v>8</v>
      </c>
      <c r="O74" s="221">
        <v>26654807.60269906</v>
      </c>
      <c r="P74" s="84">
        <f t="shared" si="9"/>
        <v>25.332724575055668</v>
      </c>
      <c r="Q74" s="84">
        <f t="shared" si="10"/>
        <v>25.332724575055668</v>
      </c>
    </row>
  </sheetData>
  <mergeCells count="1">
    <mergeCell ref="B5:G6"/>
  </mergeCells>
  <hyperlinks>
    <hyperlink ref="D9" r:id="rId1" xr:uid="{9A2071D1-4866-4C1F-B9F4-368414E87081}"/>
    <hyperlink ref="E9" r:id="rId2" xr:uid="{AF958BAB-AE39-43A3-8CC5-79674FD239DB}"/>
    <hyperlink ref="F9" r:id="rId3" xr:uid="{CD0DD368-4D4B-4DED-B37B-7A54728BFF27}"/>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7E1E-A5ED-4B4F-8FAA-59C7B797FE51}">
  <sheetPr codeName="Sheet21">
    <tabColor theme="7" tint="0.39997558519241921"/>
  </sheetPr>
  <dimension ref="B2:BF74"/>
  <sheetViews>
    <sheetView showGridLines="0" zoomScaleNormal="100" workbookViewId="0"/>
  </sheetViews>
  <sheetFormatPr baseColWidth="10" defaultColWidth="8.83203125" defaultRowHeight="15" x14ac:dyDescent="0.2"/>
  <cols>
    <col min="2" max="2" width="25.83203125" customWidth="1"/>
    <col min="3" max="3" width="18" bestFit="1" customWidth="1"/>
    <col min="4" max="4" width="24.83203125" bestFit="1" customWidth="1"/>
    <col min="5" max="6" width="22.5" customWidth="1"/>
    <col min="7" max="7" width="8" customWidth="1"/>
    <col min="8" max="9" width="22.5" customWidth="1"/>
    <col min="10" max="10" width="20.5" customWidth="1"/>
    <col min="11" max="63" width="22.5" customWidth="1"/>
  </cols>
  <sheetData>
    <row r="2" spans="2:58" ht="21" x14ac:dyDescent="0.25">
      <c r="B2" s="1" t="s">
        <v>822</v>
      </c>
    </row>
    <row r="3" spans="2:58" x14ac:dyDescent="0.2">
      <c r="E3" s="71" t="s">
        <v>700</v>
      </c>
      <c r="F3" s="40">
        <f>Assump_LandfillYears</f>
        <v>40</v>
      </c>
      <c r="H3" s="71" t="s">
        <v>501</v>
      </c>
      <c r="I3" s="40">
        <f>Assump_DiscountRate</f>
        <v>0.02</v>
      </c>
    </row>
    <row r="4" spans="2:58" x14ac:dyDescent="0.2">
      <c r="B4" s="3" t="s">
        <v>661</v>
      </c>
    </row>
    <row r="5" spans="2:58" x14ac:dyDescent="0.2">
      <c r="B5" s="183" t="s">
        <v>606</v>
      </c>
    </row>
    <row r="8" spans="2:58" x14ac:dyDescent="0.2">
      <c r="B8" s="193" t="s">
        <v>788</v>
      </c>
      <c r="C8" s="2" t="s">
        <v>0</v>
      </c>
      <c r="D8" s="2" t="s">
        <v>20</v>
      </c>
      <c r="E8" s="2" t="s">
        <v>335</v>
      </c>
      <c r="F8" s="2" t="s">
        <v>502</v>
      </c>
    </row>
    <row r="9" spans="2:58" x14ac:dyDescent="0.2">
      <c r="B9" s="193" t="s">
        <v>789</v>
      </c>
      <c r="C9" s="6"/>
      <c r="D9" s="11" t="s">
        <v>1</v>
      </c>
      <c r="E9" s="11"/>
      <c r="F9" s="11"/>
    </row>
    <row r="10" spans="2:58" x14ac:dyDescent="0.2">
      <c r="B10" s="193" t="s">
        <v>790</v>
      </c>
      <c r="C10" s="6">
        <v>2024</v>
      </c>
      <c r="D10" s="6">
        <v>2024</v>
      </c>
      <c r="E10" s="6"/>
      <c r="F10" s="6"/>
      <c r="H10" s="68" t="s">
        <v>16</v>
      </c>
      <c r="I10" s="68" t="s">
        <v>16</v>
      </c>
      <c r="J10" s="68" t="s">
        <v>16</v>
      </c>
      <c r="K10" s="68" t="s">
        <v>16</v>
      </c>
      <c r="L10" s="68" t="s">
        <v>16</v>
      </c>
      <c r="M10" s="68" t="s">
        <v>16</v>
      </c>
      <c r="N10" s="68" t="s">
        <v>16</v>
      </c>
      <c r="O10" s="68" t="s">
        <v>16</v>
      </c>
      <c r="P10" s="68" t="s">
        <v>16</v>
      </c>
      <c r="Q10" s="68" t="s">
        <v>16</v>
      </c>
      <c r="R10" s="68" t="s">
        <v>16</v>
      </c>
      <c r="S10" s="68" t="s">
        <v>16</v>
      </c>
      <c r="T10" s="68" t="s">
        <v>16</v>
      </c>
      <c r="U10" s="68" t="s">
        <v>16</v>
      </c>
      <c r="V10" s="68" t="s">
        <v>16</v>
      </c>
      <c r="W10" s="68" t="s">
        <v>16</v>
      </c>
      <c r="X10" s="68" t="s">
        <v>16</v>
      </c>
      <c r="Y10" s="68" t="s">
        <v>16</v>
      </c>
      <c r="Z10" s="68" t="s">
        <v>16</v>
      </c>
      <c r="AA10" s="68" t="s">
        <v>16</v>
      </c>
      <c r="AB10" s="68" t="s">
        <v>16</v>
      </c>
      <c r="AC10" s="68" t="s">
        <v>16</v>
      </c>
      <c r="AD10" s="68" t="s">
        <v>16</v>
      </c>
      <c r="AE10" s="68" t="s">
        <v>16</v>
      </c>
      <c r="AF10" s="68" t="s">
        <v>16</v>
      </c>
      <c r="AG10" s="68" t="s">
        <v>16</v>
      </c>
      <c r="AH10" s="68" t="s">
        <v>16</v>
      </c>
      <c r="AI10" s="68" t="s">
        <v>16</v>
      </c>
      <c r="AJ10" s="68" t="s">
        <v>16</v>
      </c>
      <c r="AK10" s="68" t="s">
        <v>16</v>
      </c>
      <c r="AL10" s="68" t="s">
        <v>16</v>
      </c>
      <c r="AM10" s="68" t="s">
        <v>16</v>
      </c>
      <c r="AN10" s="68" t="s">
        <v>16</v>
      </c>
      <c r="AO10" s="68" t="s">
        <v>16</v>
      </c>
      <c r="AP10" s="68" t="s">
        <v>16</v>
      </c>
      <c r="AQ10" s="68" t="s">
        <v>16</v>
      </c>
      <c r="AR10" s="68" t="s">
        <v>16</v>
      </c>
      <c r="AS10" s="68" t="s">
        <v>16</v>
      </c>
      <c r="AT10" s="68" t="s">
        <v>16</v>
      </c>
      <c r="AU10" s="68" t="s">
        <v>16</v>
      </c>
      <c r="AV10" s="68" t="s">
        <v>16</v>
      </c>
      <c r="AW10" s="68" t="s">
        <v>16</v>
      </c>
      <c r="AX10" s="68" t="s">
        <v>16</v>
      </c>
      <c r="AY10" s="68" t="s">
        <v>16</v>
      </c>
      <c r="AZ10" s="68" t="s">
        <v>16</v>
      </c>
      <c r="BA10" s="68" t="s">
        <v>16</v>
      </c>
      <c r="BB10" s="68" t="s">
        <v>16</v>
      </c>
      <c r="BC10" s="68" t="s">
        <v>16</v>
      </c>
      <c r="BD10" s="68" t="s">
        <v>16</v>
      </c>
      <c r="BE10" s="68" t="s">
        <v>16</v>
      </c>
      <c r="BF10" s="68" t="s">
        <v>16</v>
      </c>
    </row>
    <row r="11" spans="2:58" x14ac:dyDescent="0.2">
      <c r="B11" s="193" t="s">
        <v>791</v>
      </c>
      <c r="C11" s="6"/>
      <c r="D11" s="6"/>
      <c r="E11" s="6" t="s">
        <v>498</v>
      </c>
      <c r="F11" s="6" t="s">
        <v>498</v>
      </c>
      <c r="H11" s="23">
        <v>0</v>
      </c>
      <c r="I11" s="23">
        <v>1</v>
      </c>
      <c r="J11" s="23">
        <v>2</v>
      </c>
      <c r="K11" s="23">
        <v>3</v>
      </c>
      <c r="L11" s="23">
        <v>4</v>
      </c>
      <c r="M11" s="23">
        <v>5</v>
      </c>
      <c r="N11" s="23">
        <v>6</v>
      </c>
      <c r="O11" s="23">
        <v>7</v>
      </c>
      <c r="P11" s="23">
        <v>8</v>
      </c>
      <c r="Q11" s="23">
        <v>9</v>
      </c>
      <c r="R11" s="23">
        <v>10</v>
      </c>
      <c r="S11" s="23">
        <v>11</v>
      </c>
      <c r="T11" s="23">
        <v>12</v>
      </c>
      <c r="U11" s="23">
        <v>13</v>
      </c>
      <c r="V11" s="23">
        <v>14</v>
      </c>
      <c r="W11" s="23">
        <v>15</v>
      </c>
      <c r="X11" s="23">
        <v>16</v>
      </c>
      <c r="Y11" s="23">
        <v>17</v>
      </c>
      <c r="Z11" s="23">
        <v>18</v>
      </c>
      <c r="AA11" s="23">
        <v>19</v>
      </c>
      <c r="AB11" s="23">
        <v>20</v>
      </c>
      <c r="AC11" s="23">
        <v>21</v>
      </c>
      <c r="AD11" s="23">
        <v>22</v>
      </c>
      <c r="AE11" s="23">
        <v>23</v>
      </c>
      <c r="AF11" s="23">
        <v>24</v>
      </c>
      <c r="AG11" s="23">
        <v>25</v>
      </c>
      <c r="AH11" s="23">
        <v>26</v>
      </c>
      <c r="AI11" s="23">
        <v>27</v>
      </c>
      <c r="AJ11" s="23">
        <v>28</v>
      </c>
      <c r="AK11" s="23">
        <v>29</v>
      </c>
      <c r="AL11" s="23">
        <v>30</v>
      </c>
      <c r="AM11" s="23">
        <v>31</v>
      </c>
      <c r="AN11" s="23">
        <v>32</v>
      </c>
      <c r="AO11" s="23">
        <v>33</v>
      </c>
      <c r="AP11" s="23">
        <v>34</v>
      </c>
      <c r="AQ11" s="23">
        <v>35</v>
      </c>
      <c r="AR11" s="23">
        <v>36</v>
      </c>
      <c r="AS11" s="23">
        <v>37</v>
      </c>
      <c r="AT11" s="23">
        <v>38</v>
      </c>
      <c r="AU11" s="23">
        <v>39</v>
      </c>
      <c r="AV11" s="23">
        <v>40</v>
      </c>
      <c r="AW11" s="23">
        <v>41</v>
      </c>
      <c r="AX11" s="23">
        <v>42</v>
      </c>
      <c r="AY11" s="23">
        <v>43</v>
      </c>
      <c r="AZ11" s="23">
        <v>44</v>
      </c>
      <c r="BA11" s="23">
        <v>45</v>
      </c>
      <c r="BB11" s="23">
        <v>46</v>
      </c>
      <c r="BC11" s="23">
        <v>47</v>
      </c>
      <c r="BD11" s="23">
        <v>48</v>
      </c>
      <c r="BE11" s="23">
        <v>49</v>
      </c>
      <c r="BF11" s="23">
        <v>50</v>
      </c>
    </row>
    <row r="12" spans="2:58" x14ac:dyDescent="0.2">
      <c r="B12" s="193" t="s">
        <v>792</v>
      </c>
      <c r="C12" s="7"/>
      <c r="D12" s="7"/>
      <c r="E12" s="38"/>
      <c r="F12" s="38" t="s">
        <v>646</v>
      </c>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row>
    <row r="13" spans="2:58" x14ac:dyDescent="0.2">
      <c r="B13" s="194"/>
      <c r="C13" s="8" t="str" cm="1">
        <f t="array" ref="C13:C74">ModifiedCountries</f>
        <v>Argentina</v>
      </c>
      <c r="D13" s="56" t="str" cm="1">
        <f t="array" ref="D13:D74">ModifiedRegions</f>
        <v>Latin America &amp; Caribbean</v>
      </c>
      <c r="E13" s="39">
        <f t="shared" ref="E13:E44" si="0">INDEX(Input_LandfillFlowTonnes,MATCH(C13,Input_countries,0))</f>
        <v>1594038.9500000002</v>
      </c>
      <c r="F13" s="141">
        <f>IF(SUM(H13:AJ13)=0,"No value",SUM(H13:AJ13))</f>
        <v>35517215.989850618</v>
      </c>
      <c r="H13" s="32">
        <f t="shared" ref="H13:Q22" si="1">IFERROR(IF(H$11&lt;=$F$3,$E13/(1+$I$3)^H$11,0),"No value")</f>
        <v>1594038.9500000002</v>
      </c>
      <c r="I13" s="32">
        <f>IFERROR(IF(I$11&lt;=$F$3,$E13/(1+$I$3)^I$11,0),"No value")</f>
        <v>1562783.2843137255</v>
      </c>
      <c r="J13" s="32">
        <f t="shared" si="1"/>
        <v>1532140.4748173782</v>
      </c>
      <c r="K13" s="32">
        <f t="shared" si="1"/>
        <v>1502098.5047229198</v>
      </c>
      <c r="L13" s="32">
        <f t="shared" si="1"/>
        <v>1472645.5928656077</v>
      </c>
      <c r="M13" s="32">
        <f t="shared" si="1"/>
        <v>1443770.1890839289</v>
      </c>
      <c r="N13" s="32">
        <f t="shared" si="1"/>
        <v>1415460.9696901264</v>
      </c>
      <c r="O13" s="32">
        <f t="shared" si="1"/>
        <v>1387706.8330295361</v>
      </c>
      <c r="P13" s="32">
        <f t="shared" si="1"/>
        <v>1360496.8951269959</v>
      </c>
      <c r="Q13" s="32">
        <f t="shared" si="1"/>
        <v>1333820.4854186235</v>
      </c>
      <c r="R13" s="32">
        <f t="shared" ref="R13:AA22" si="2">IFERROR(IF(R$11&lt;=$F$3,$E13/(1+$I$3)^R$11,0),"No value")</f>
        <v>1307667.1425672779</v>
      </c>
      <c r="S13" s="32">
        <f t="shared" si="2"/>
        <v>1282026.6103600767</v>
      </c>
      <c r="T13" s="32">
        <f t="shared" si="2"/>
        <v>1256888.8336863494</v>
      </c>
      <c r="U13" s="32">
        <f t="shared" si="2"/>
        <v>1232243.9545944603</v>
      </c>
      <c r="V13" s="32">
        <f t="shared" si="2"/>
        <v>1208082.3084259413</v>
      </c>
      <c r="W13" s="32">
        <f t="shared" si="2"/>
        <v>1184394.4200254329</v>
      </c>
      <c r="X13" s="32">
        <f t="shared" si="2"/>
        <v>1161171.0000249341</v>
      </c>
      <c r="Y13" s="32">
        <f t="shared" si="2"/>
        <v>1138402.9412009157</v>
      </c>
      <c r="Z13" s="32">
        <f t="shared" si="2"/>
        <v>1116081.3149028586</v>
      </c>
      <c r="AA13" s="32">
        <f t="shared" si="2"/>
        <v>1094197.3675518222</v>
      </c>
      <c r="AB13" s="32">
        <f t="shared" ref="AB13:AK22" si="3">IFERROR(IF(AB$11&lt;=$F$3,$E13/(1+$I$3)^AB$11,0),"No value")</f>
        <v>1072742.5172076686</v>
      </c>
      <c r="AC13" s="32">
        <f t="shared" si="3"/>
        <v>1051708.3502035968</v>
      </c>
      <c r="AD13" s="32">
        <f t="shared" si="3"/>
        <v>1031086.6178466636</v>
      </c>
      <c r="AE13" s="32">
        <f t="shared" si="3"/>
        <v>1010869.2331830036</v>
      </c>
      <c r="AF13" s="32">
        <f t="shared" si="3"/>
        <v>991048.26782647416</v>
      </c>
      <c r="AG13" s="32">
        <f t="shared" si="3"/>
        <v>971615.94884948444</v>
      </c>
      <c r="AH13" s="32">
        <f t="shared" si="3"/>
        <v>952564.65573478851</v>
      </c>
      <c r="AI13" s="32">
        <f t="shared" si="3"/>
        <v>933886.91738704778</v>
      </c>
      <c r="AJ13" s="32">
        <f t="shared" si="3"/>
        <v>915575.40920298779</v>
      </c>
      <c r="AK13" s="32">
        <f t="shared" si="3"/>
        <v>897622.95019900776</v>
      </c>
      <c r="AL13" s="32">
        <f t="shared" ref="AL13:AU22" si="4">IFERROR(IF(AL$11&lt;=$F$3,$E13/(1+$I$3)^AL$11,0),"No value")</f>
        <v>880022.50019510556</v>
      </c>
      <c r="AM13" s="32">
        <f t="shared" si="4"/>
        <v>862767.15705402533</v>
      </c>
      <c r="AN13" s="32">
        <f t="shared" si="4"/>
        <v>845850.15397453448</v>
      </c>
      <c r="AO13" s="32">
        <f t="shared" si="4"/>
        <v>829264.85683777882</v>
      </c>
      <c r="AP13" s="32">
        <f t="shared" si="4"/>
        <v>813004.76160566555</v>
      </c>
      <c r="AQ13" s="32">
        <f t="shared" si="4"/>
        <v>797063.49177026039</v>
      </c>
      <c r="AR13" s="32">
        <f t="shared" si="4"/>
        <v>781434.79585319653</v>
      </c>
      <c r="AS13" s="32">
        <f t="shared" si="4"/>
        <v>766112.54495411413</v>
      </c>
      <c r="AT13" s="32">
        <f t="shared" si="4"/>
        <v>751090.73034717061</v>
      </c>
      <c r="AU13" s="32">
        <f t="shared" si="4"/>
        <v>736363.46112467733</v>
      </c>
      <c r="AV13" s="32">
        <f t="shared" ref="AV13:BF22" si="5">IFERROR(IF(AV$11&lt;=$F$3,$E13/(1+$I$3)^AV$11,0),"No value")</f>
        <v>721924.96188693843</v>
      </c>
      <c r="AW13" s="32">
        <f t="shared" si="5"/>
        <v>0</v>
      </c>
      <c r="AX13" s="32">
        <f t="shared" si="5"/>
        <v>0</v>
      </c>
      <c r="AY13" s="32">
        <f t="shared" si="5"/>
        <v>0</v>
      </c>
      <c r="AZ13" s="32">
        <f t="shared" si="5"/>
        <v>0</v>
      </c>
      <c r="BA13" s="32">
        <f t="shared" si="5"/>
        <v>0</v>
      </c>
      <c r="BB13" s="32">
        <f t="shared" si="5"/>
        <v>0</v>
      </c>
      <c r="BC13" s="32">
        <f t="shared" si="5"/>
        <v>0</v>
      </c>
      <c r="BD13" s="32">
        <f t="shared" si="5"/>
        <v>0</v>
      </c>
      <c r="BE13" s="32">
        <f t="shared" si="5"/>
        <v>0</v>
      </c>
      <c r="BF13" s="32">
        <f t="shared" si="5"/>
        <v>0</v>
      </c>
    </row>
    <row r="14" spans="2:58" x14ac:dyDescent="0.2">
      <c r="B14" s="194"/>
      <c r="C14" s="8" t="str">
        <v>Australia</v>
      </c>
      <c r="D14" s="56" t="str">
        <v>East Asia &amp; Pacific</v>
      </c>
      <c r="E14" s="39">
        <f t="shared" si="0"/>
        <v>6521701.5</v>
      </c>
      <c r="F14" s="141">
        <f t="shared" ref="F14:F74" si="6">IF(SUM(H14:AJ14)=0,"No value",SUM(H14:AJ14))</f>
        <v>145311807.34124017</v>
      </c>
      <c r="H14" s="32">
        <f t="shared" si="1"/>
        <v>6521701.5</v>
      </c>
      <c r="I14" s="32">
        <f t="shared" si="1"/>
        <v>6393825</v>
      </c>
      <c r="J14" s="32">
        <f t="shared" si="1"/>
        <v>6268455.8823529417</v>
      </c>
      <c r="K14" s="32">
        <f t="shared" si="1"/>
        <v>6145544.9826989621</v>
      </c>
      <c r="L14" s="32">
        <f t="shared" si="1"/>
        <v>6025044.1006852565</v>
      </c>
      <c r="M14" s="32">
        <f t="shared" si="1"/>
        <v>5906905.9810639769</v>
      </c>
      <c r="N14" s="32">
        <f t="shared" si="1"/>
        <v>5791084.295160762</v>
      </c>
      <c r="O14" s="32">
        <f t="shared" si="1"/>
        <v>5677533.6227066303</v>
      </c>
      <c r="P14" s="32">
        <f t="shared" si="1"/>
        <v>5566209.4340261081</v>
      </c>
      <c r="Q14" s="32">
        <f t="shared" si="1"/>
        <v>5457068.0725746155</v>
      </c>
      <c r="R14" s="32">
        <f t="shared" si="2"/>
        <v>5350066.7378182504</v>
      </c>
      <c r="S14" s="32">
        <f t="shared" si="2"/>
        <v>5245163.4684492657</v>
      </c>
      <c r="T14" s="32">
        <f t="shared" si="2"/>
        <v>5142317.125930652</v>
      </c>
      <c r="U14" s="32">
        <f t="shared" si="2"/>
        <v>5041487.3783633849</v>
      </c>
      <c r="V14" s="32">
        <f t="shared" si="2"/>
        <v>4942634.6846699845</v>
      </c>
      <c r="W14" s="32">
        <f t="shared" si="2"/>
        <v>4845720.2790882215</v>
      </c>
      <c r="X14" s="32">
        <f t="shared" si="2"/>
        <v>4750706.155968844</v>
      </c>
      <c r="Y14" s="32">
        <f t="shared" si="2"/>
        <v>4657555.0548714148</v>
      </c>
      <c r="Z14" s="32">
        <f t="shared" si="2"/>
        <v>4566230.445952368</v>
      </c>
      <c r="AA14" s="32">
        <f t="shared" si="2"/>
        <v>4476696.5156395771</v>
      </c>
      <c r="AB14" s="32">
        <f t="shared" si="3"/>
        <v>4388918.1525878198</v>
      </c>
      <c r="AC14" s="32">
        <f t="shared" si="3"/>
        <v>4302860.9339096276</v>
      </c>
      <c r="AD14" s="32">
        <f t="shared" si="3"/>
        <v>4218491.1116761053</v>
      </c>
      <c r="AE14" s="32">
        <f t="shared" si="3"/>
        <v>4135775.5996824568</v>
      </c>
      <c r="AF14" s="32">
        <f t="shared" si="3"/>
        <v>4054681.9604729968</v>
      </c>
      <c r="AG14" s="32">
        <f t="shared" si="3"/>
        <v>3975178.3926205849</v>
      </c>
      <c r="AH14" s="32">
        <f t="shared" si="3"/>
        <v>3897233.7182554752</v>
      </c>
      <c r="AI14" s="32">
        <f t="shared" si="3"/>
        <v>3820817.3708387017</v>
      </c>
      <c r="AJ14" s="32">
        <f t="shared" si="3"/>
        <v>3745899.3831751971</v>
      </c>
      <c r="AK14" s="32">
        <f t="shared" si="3"/>
        <v>3672450.3756619585</v>
      </c>
      <c r="AL14" s="32">
        <f t="shared" si="4"/>
        <v>3600441.5447666259</v>
      </c>
      <c r="AM14" s="32">
        <f t="shared" si="4"/>
        <v>3529844.6517319866</v>
      </c>
      <c r="AN14" s="32">
        <f t="shared" si="4"/>
        <v>3460632.011501947</v>
      </c>
      <c r="AO14" s="32">
        <f t="shared" si="4"/>
        <v>3392776.4818646535</v>
      </c>
      <c r="AP14" s="32">
        <f t="shared" si="4"/>
        <v>3326251.4528084844</v>
      </c>
      <c r="AQ14" s="32">
        <f t="shared" si="4"/>
        <v>3261030.8360867496</v>
      </c>
      <c r="AR14" s="32">
        <f t="shared" si="4"/>
        <v>3197089.0549870096</v>
      </c>
      <c r="AS14" s="32">
        <f t="shared" si="4"/>
        <v>3134401.034300989</v>
      </c>
      <c r="AT14" s="32">
        <f t="shared" si="4"/>
        <v>3072942.1904911655</v>
      </c>
      <c r="AU14" s="32">
        <f t="shared" si="4"/>
        <v>3012688.4220501636</v>
      </c>
      <c r="AV14" s="32">
        <f t="shared" si="5"/>
        <v>2953616.100049179</v>
      </c>
      <c r="AW14" s="32">
        <f t="shared" si="5"/>
        <v>0</v>
      </c>
      <c r="AX14" s="32">
        <f t="shared" si="5"/>
        <v>0</v>
      </c>
      <c r="AY14" s="32">
        <f t="shared" si="5"/>
        <v>0</v>
      </c>
      <c r="AZ14" s="32">
        <f t="shared" si="5"/>
        <v>0</v>
      </c>
      <c r="BA14" s="32">
        <f t="shared" si="5"/>
        <v>0</v>
      </c>
      <c r="BB14" s="32">
        <f t="shared" si="5"/>
        <v>0</v>
      </c>
      <c r="BC14" s="32">
        <f t="shared" si="5"/>
        <v>0</v>
      </c>
      <c r="BD14" s="32">
        <f t="shared" si="5"/>
        <v>0</v>
      </c>
      <c r="BE14" s="32">
        <f t="shared" si="5"/>
        <v>0</v>
      </c>
      <c r="BF14" s="32">
        <f t="shared" si="5"/>
        <v>0</v>
      </c>
    </row>
    <row r="15" spans="2:58" x14ac:dyDescent="0.2">
      <c r="C15" s="8" t="str">
        <v>Austria</v>
      </c>
      <c r="D15" s="56" t="str">
        <v>Europe &amp; Central Asia</v>
      </c>
      <c r="E15" s="39">
        <f t="shared" si="0"/>
        <v>271425.20600000001</v>
      </c>
      <c r="F15" s="141">
        <f t="shared" si="6"/>
        <v>6047698.9389699036</v>
      </c>
      <c r="H15" s="32">
        <f t="shared" si="1"/>
        <v>271425.20600000001</v>
      </c>
      <c r="I15" s="32">
        <f t="shared" si="1"/>
        <v>266103.14313725493</v>
      </c>
      <c r="J15" s="32">
        <f t="shared" si="1"/>
        <v>260885.43444828913</v>
      </c>
      <c r="K15" s="32">
        <f t="shared" si="1"/>
        <v>255770.03377283248</v>
      </c>
      <c r="L15" s="32">
        <f t="shared" si="1"/>
        <v>250754.93507140438</v>
      </c>
      <c r="M15" s="32">
        <f t="shared" si="1"/>
        <v>245838.17163863176</v>
      </c>
      <c r="N15" s="32">
        <f t="shared" si="1"/>
        <v>241017.81533199191</v>
      </c>
      <c r="O15" s="32">
        <f t="shared" si="1"/>
        <v>236291.97581567839</v>
      </c>
      <c r="P15" s="32">
        <f t="shared" si="1"/>
        <v>231658.7998192925</v>
      </c>
      <c r="Q15" s="32">
        <f t="shared" si="1"/>
        <v>227116.47041107109</v>
      </c>
      <c r="R15" s="32">
        <f t="shared" si="2"/>
        <v>222663.20628536379</v>
      </c>
      <c r="S15" s="32">
        <f t="shared" si="2"/>
        <v>218297.26106408221</v>
      </c>
      <c r="T15" s="32">
        <f t="shared" si="2"/>
        <v>214016.92261184525</v>
      </c>
      <c r="U15" s="32">
        <f t="shared" si="2"/>
        <v>209820.51236455419</v>
      </c>
      <c r="V15" s="32">
        <f t="shared" si="2"/>
        <v>205706.38467113153</v>
      </c>
      <c r="W15" s="32">
        <f t="shared" si="2"/>
        <v>201672.92614816822</v>
      </c>
      <c r="X15" s="32">
        <f t="shared" si="2"/>
        <v>197718.55504722372</v>
      </c>
      <c r="Y15" s="32">
        <f t="shared" si="2"/>
        <v>193841.72063453303</v>
      </c>
      <c r="Z15" s="32">
        <f t="shared" si="2"/>
        <v>190040.90258287557</v>
      </c>
      <c r="AA15" s="32">
        <f t="shared" si="2"/>
        <v>186314.61037536821</v>
      </c>
      <c r="AB15" s="32">
        <f t="shared" si="3"/>
        <v>182661.38272094919</v>
      </c>
      <c r="AC15" s="32">
        <f t="shared" si="3"/>
        <v>179079.78698132274</v>
      </c>
      <c r="AD15" s="32">
        <f t="shared" si="3"/>
        <v>175568.41860913995</v>
      </c>
      <c r="AE15" s="32">
        <f t="shared" si="3"/>
        <v>172125.90059719604</v>
      </c>
      <c r="AF15" s="32">
        <f t="shared" si="3"/>
        <v>168750.8829384275</v>
      </c>
      <c r="AG15" s="32">
        <f t="shared" si="3"/>
        <v>165442.04209649755</v>
      </c>
      <c r="AH15" s="32">
        <f t="shared" si="3"/>
        <v>162198.08048676228</v>
      </c>
      <c r="AI15" s="32">
        <f t="shared" si="3"/>
        <v>159017.72596741404</v>
      </c>
      <c r="AJ15" s="32">
        <f t="shared" si="3"/>
        <v>155899.73134060195</v>
      </c>
      <c r="AK15" s="32">
        <f t="shared" si="3"/>
        <v>152842.87386333529</v>
      </c>
      <c r="AL15" s="32">
        <f t="shared" si="4"/>
        <v>149845.95476797575</v>
      </c>
      <c r="AM15" s="32">
        <f t="shared" si="4"/>
        <v>146907.79879213311</v>
      </c>
      <c r="AN15" s="32">
        <f t="shared" si="4"/>
        <v>144027.25371777755</v>
      </c>
      <c r="AO15" s="32">
        <f t="shared" si="4"/>
        <v>141203.18991938973</v>
      </c>
      <c r="AP15" s="32">
        <f t="shared" si="4"/>
        <v>138434.49992097035</v>
      </c>
      <c r="AQ15" s="32">
        <f t="shared" si="4"/>
        <v>135720.09796173562</v>
      </c>
      <c r="AR15" s="32">
        <f t="shared" si="4"/>
        <v>133058.91957032905</v>
      </c>
      <c r="AS15" s="32">
        <f t="shared" si="4"/>
        <v>130449.92114738141</v>
      </c>
      <c r="AT15" s="32">
        <f t="shared" si="4"/>
        <v>127892.07955625627</v>
      </c>
      <c r="AU15" s="32">
        <f t="shared" si="4"/>
        <v>125384.39172181992</v>
      </c>
      <c r="AV15" s="32">
        <f t="shared" si="5"/>
        <v>122925.87423707833</v>
      </c>
      <c r="AW15" s="32">
        <f t="shared" si="5"/>
        <v>0</v>
      </c>
      <c r="AX15" s="32">
        <f t="shared" si="5"/>
        <v>0</v>
      </c>
      <c r="AY15" s="32">
        <f t="shared" si="5"/>
        <v>0</v>
      </c>
      <c r="AZ15" s="32">
        <f t="shared" si="5"/>
        <v>0</v>
      </c>
      <c r="BA15" s="32">
        <f t="shared" si="5"/>
        <v>0</v>
      </c>
      <c r="BB15" s="32">
        <f t="shared" si="5"/>
        <v>0</v>
      </c>
      <c r="BC15" s="32">
        <f t="shared" si="5"/>
        <v>0</v>
      </c>
      <c r="BD15" s="32">
        <f t="shared" si="5"/>
        <v>0</v>
      </c>
      <c r="BE15" s="32">
        <f t="shared" si="5"/>
        <v>0</v>
      </c>
      <c r="BF15" s="32">
        <f t="shared" si="5"/>
        <v>0</v>
      </c>
    </row>
    <row r="16" spans="2:58" x14ac:dyDescent="0.2">
      <c r="C16" s="8" t="str">
        <v>Bangladesh</v>
      </c>
      <c r="D16" s="56" t="str">
        <v>South Asia</v>
      </c>
      <c r="E16" s="39">
        <f t="shared" si="0"/>
        <v>14002626.220175</v>
      </c>
      <c r="F16" s="141">
        <f t="shared" si="6"/>
        <v>311996328.5006938</v>
      </c>
      <c r="H16" s="32">
        <f t="shared" si="1"/>
        <v>14002626.220175</v>
      </c>
      <c r="I16" s="32">
        <f t="shared" si="1"/>
        <v>13728064.921740197</v>
      </c>
      <c r="J16" s="32">
        <f t="shared" si="1"/>
        <v>13458887.178176662</v>
      </c>
      <c r="K16" s="32">
        <f t="shared" si="1"/>
        <v>13194987.429584965</v>
      </c>
      <c r="L16" s="32">
        <f t="shared" si="1"/>
        <v>12936262.185867611</v>
      </c>
      <c r="M16" s="32">
        <f t="shared" si="1"/>
        <v>12682609.986144716</v>
      </c>
      <c r="N16" s="32">
        <f t="shared" si="1"/>
        <v>12433931.358965408</v>
      </c>
      <c r="O16" s="32">
        <f t="shared" si="1"/>
        <v>12190128.783299422</v>
      </c>
      <c r="P16" s="32">
        <f t="shared" si="1"/>
        <v>11951106.65029355</v>
      </c>
      <c r="Q16" s="32">
        <f t="shared" si="1"/>
        <v>11716771.225777991</v>
      </c>
      <c r="R16" s="32">
        <f t="shared" si="2"/>
        <v>11487030.613507833</v>
      </c>
      <c r="S16" s="32">
        <f t="shared" si="2"/>
        <v>11261794.719125329</v>
      </c>
      <c r="T16" s="32">
        <f t="shared" si="2"/>
        <v>11040975.214828752</v>
      </c>
      <c r="U16" s="32">
        <f t="shared" si="2"/>
        <v>10824485.504734071</v>
      </c>
      <c r="V16" s="32">
        <f t="shared" si="2"/>
        <v>10612240.690915754</v>
      </c>
      <c r="W16" s="32">
        <f t="shared" si="2"/>
        <v>10404157.540113488</v>
      </c>
      <c r="X16" s="32">
        <f t="shared" si="2"/>
        <v>10200154.451091653</v>
      </c>
      <c r="Y16" s="32">
        <f t="shared" si="2"/>
        <v>10000151.422638875</v>
      </c>
      <c r="Z16" s="32">
        <f t="shared" si="2"/>
        <v>9804070.022194976</v>
      </c>
      <c r="AA16" s="32">
        <f t="shared" si="2"/>
        <v>9611833.3550931141</v>
      </c>
      <c r="AB16" s="32">
        <f t="shared" si="3"/>
        <v>9423366.0344050135</v>
      </c>
      <c r="AC16" s="32">
        <f t="shared" si="3"/>
        <v>9238594.1513774656</v>
      </c>
      <c r="AD16" s="32">
        <f t="shared" si="3"/>
        <v>9057445.2464484945</v>
      </c>
      <c r="AE16" s="32">
        <f t="shared" si="3"/>
        <v>8879848.2808318585</v>
      </c>
      <c r="AF16" s="32">
        <f t="shared" si="3"/>
        <v>8705733.6086586844</v>
      </c>
      <c r="AG16" s="32">
        <f t="shared" si="3"/>
        <v>8535032.9496653769</v>
      </c>
      <c r="AH16" s="32">
        <f t="shared" si="3"/>
        <v>8367679.3624170357</v>
      </c>
      <c r="AI16" s="32">
        <f t="shared" si="3"/>
        <v>8203607.2180559188</v>
      </c>
      <c r="AJ16" s="32">
        <f t="shared" si="3"/>
        <v>8042752.1745646242</v>
      </c>
      <c r="AK16" s="32">
        <f t="shared" si="3"/>
        <v>7885051.1515339464</v>
      </c>
      <c r="AL16" s="32">
        <f t="shared" si="4"/>
        <v>7730442.3054254372</v>
      </c>
      <c r="AM16" s="32">
        <f t="shared" si="4"/>
        <v>7578865.005319058</v>
      </c>
      <c r="AN16" s="32">
        <f t="shared" si="4"/>
        <v>7430259.8091363302</v>
      </c>
      <c r="AO16" s="32">
        <f t="shared" si="4"/>
        <v>7284568.4403297342</v>
      </c>
      <c r="AP16" s="32">
        <f t="shared" si="4"/>
        <v>7141733.7650291519</v>
      </c>
      <c r="AQ16" s="32">
        <f t="shared" si="4"/>
        <v>7001699.7696364243</v>
      </c>
      <c r="AR16" s="32">
        <f t="shared" si="4"/>
        <v>6864411.5388592398</v>
      </c>
      <c r="AS16" s="32">
        <f t="shared" si="4"/>
        <v>6729815.234175724</v>
      </c>
      <c r="AT16" s="32">
        <f t="shared" si="4"/>
        <v>6597858.0727212979</v>
      </c>
      <c r="AU16" s="32">
        <f t="shared" si="4"/>
        <v>6468488.3065895094</v>
      </c>
      <c r="AV16" s="32">
        <f t="shared" si="5"/>
        <v>6341655.2025387334</v>
      </c>
      <c r="AW16" s="32">
        <f t="shared" si="5"/>
        <v>0</v>
      </c>
      <c r="AX16" s="32">
        <f t="shared" si="5"/>
        <v>0</v>
      </c>
      <c r="AY16" s="32">
        <f t="shared" si="5"/>
        <v>0</v>
      </c>
      <c r="AZ16" s="32">
        <f t="shared" si="5"/>
        <v>0</v>
      </c>
      <c r="BA16" s="32">
        <f t="shared" si="5"/>
        <v>0</v>
      </c>
      <c r="BB16" s="32">
        <f t="shared" si="5"/>
        <v>0</v>
      </c>
      <c r="BC16" s="32">
        <f t="shared" si="5"/>
        <v>0</v>
      </c>
      <c r="BD16" s="32">
        <f t="shared" si="5"/>
        <v>0</v>
      </c>
      <c r="BE16" s="32">
        <f t="shared" si="5"/>
        <v>0</v>
      </c>
      <c r="BF16" s="32">
        <f t="shared" si="5"/>
        <v>0</v>
      </c>
    </row>
    <row r="17" spans="3:58" x14ac:dyDescent="0.2">
      <c r="C17" s="8" t="str">
        <v>Belgium</v>
      </c>
      <c r="D17" s="56" t="str">
        <v>Europe &amp; Central Asia</v>
      </c>
      <c r="E17" s="39">
        <f t="shared" si="0"/>
        <v>151078.49109999998</v>
      </c>
      <c r="F17" s="141">
        <f t="shared" si="6"/>
        <v>3366221.0072215754</v>
      </c>
      <c r="H17" s="32">
        <f t="shared" si="1"/>
        <v>151078.49109999998</v>
      </c>
      <c r="I17" s="32">
        <f t="shared" si="1"/>
        <v>148116.16774509804</v>
      </c>
      <c r="J17" s="32">
        <f t="shared" si="1"/>
        <v>145211.92916186081</v>
      </c>
      <c r="K17" s="32">
        <f t="shared" si="1"/>
        <v>142364.63643319689</v>
      </c>
      <c r="L17" s="32">
        <f t="shared" si="1"/>
        <v>139573.17297372242</v>
      </c>
      <c r="M17" s="32">
        <f t="shared" si="1"/>
        <v>136836.44409188474</v>
      </c>
      <c r="N17" s="32">
        <f t="shared" si="1"/>
        <v>134153.37656067128</v>
      </c>
      <c r="O17" s="32">
        <f t="shared" si="1"/>
        <v>131522.9181967366</v>
      </c>
      <c r="P17" s="32">
        <f t="shared" si="1"/>
        <v>128944.03744778095</v>
      </c>
      <c r="Q17" s="32">
        <f t="shared" si="1"/>
        <v>126415.72298802054</v>
      </c>
      <c r="R17" s="32">
        <f t="shared" si="2"/>
        <v>123936.98332158876</v>
      </c>
      <c r="S17" s="32">
        <f t="shared" si="2"/>
        <v>121506.8463937145</v>
      </c>
      <c r="T17" s="32">
        <f t="shared" si="2"/>
        <v>119124.359209524</v>
      </c>
      <c r="U17" s="32">
        <f t="shared" si="2"/>
        <v>116788.58746031765</v>
      </c>
      <c r="V17" s="32">
        <f t="shared" si="2"/>
        <v>114498.61515717416</v>
      </c>
      <c r="W17" s="32">
        <f t="shared" si="2"/>
        <v>112253.5442717394</v>
      </c>
      <c r="X17" s="32">
        <f t="shared" si="2"/>
        <v>110052.49438405821</v>
      </c>
      <c r="Y17" s="32">
        <f t="shared" si="2"/>
        <v>107894.60233731197</v>
      </c>
      <c r="Z17" s="32">
        <f t="shared" si="2"/>
        <v>105779.02189932547</v>
      </c>
      <c r="AA17" s="32">
        <f t="shared" si="2"/>
        <v>103704.92343071125</v>
      </c>
      <c r="AB17" s="32">
        <f t="shared" si="3"/>
        <v>101671.49355952082</v>
      </c>
      <c r="AC17" s="32">
        <f t="shared" si="3"/>
        <v>99677.934862275331</v>
      </c>
      <c r="AD17" s="32">
        <f t="shared" si="3"/>
        <v>97723.465551250309</v>
      </c>
      <c r="AE17" s="32">
        <f t="shared" si="3"/>
        <v>95807.319167892478</v>
      </c>
      <c r="AF17" s="32">
        <f t="shared" si="3"/>
        <v>93928.744282247528</v>
      </c>
      <c r="AG17" s="32">
        <f t="shared" si="3"/>
        <v>92087.004198281895</v>
      </c>
      <c r="AH17" s="32">
        <f t="shared" si="3"/>
        <v>90281.376664982236</v>
      </c>
      <c r="AI17" s="32">
        <f t="shared" si="3"/>
        <v>88511.15359311986</v>
      </c>
      <c r="AJ17" s="32">
        <f t="shared" si="3"/>
        <v>86775.640777568464</v>
      </c>
      <c r="AK17" s="32">
        <f t="shared" si="3"/>
        <v>85074.157625067135</v>
      </c>
      <c r="AL17" s="32">
        <f t="shared" si="4"/>
        <v>83406.036887320719</v>
      </c>
      <c r="AM17" s="32">
        <f t="shared" si="4"/>
        <v>81770.624399334047</v>
      </c>
      <c r="AN17" s="32">
        <f t="shared" si="4"/>
        <v>80167.278822876513</v>
      </c>
      <c r="AO17" s="32">
        <f t="shared" si="4"/>
        <v>78595.371394976959</v>
      </c>
      <c r="AP17" s="32">
        <f t="shared" si="4"/>
        <v>77054.285681349967</v>
      </c>
      <c r="AQ17" s="32">
        <f t="shared" si="4"/>
        <v>75543.417334656828</v>
      </c>
      <c r="AR17" s="32">
        <f t="shared" si="4"/>
        <v>74062.173857506699</v>
      </c>
      <c r="AS17" s="32">
        <f t="shared" si="4"/>
        <v>72609.97437010461</v>
      </c>
      <c r="AT17" s="32">
        <f t="shared" si="4"/>
        <v>71186.249382455484</v>
      </c>
      <c r="AU17" s="32">
        <f t="shared" si="4"/>
        <v>69790.440571034822</v>
      </c>
      <c r="AV17" s="32">
        <f t="shared" si="5"/>
        <v>68422.000559838038</v>
      </c>
      <c r="AW17" s="32">
        <f t="shared" si="5"/>
        <v>0</v>
      </c>
      <c r="AX17" s="32">
        <f t="shared" si="5"/>
        <v>0</v>
      </c>
      <c r="AY17" s="32">
        <f t="shared" si="5"/>
        <v>0</v>
      </c>
      <c r="AZ17" s="32">
        <f t="shared" si="5"/>
        <v>0</v>
      </c>
      <c r="BA17" s="32">
        <f t="shared" si="5"/>
        <v>0</v>
      </c>
      <c r="BB17" s="32">
        <f t="shared" si="5"/>
        <v>0</v>
      </c>
      <c r="BC17" s="32">
        <f t="shared" si="5"/>
        <v>0</v>
      </c>
      <c r="BD17" s="32">
        <f t="shared" si="5"/>
        <v>0</v>
      </c>
      <c r="BE17" s="32">
        <f t="shared" si="5"/>
        <v>0</v>
      </c>
      <c r="BF17" s="32">
        <f t="shared" si="5"/>
        <v>0</v>
      </c>
    </row>
    <row r="18" spans="3:58" x14ac:dyDescent="0.2">
      <c r="C18" s="8" t="str">
        <v>Bolivia</v>
      </c>
      <c r="D18" s="56" t="str">
        <v>Latin America &amp; Caribbean</v>
      </c>
      <c r="E18" s="39">
        <f t="shared" si="0"/>
        <v>887.62080000000003</v>
      </c>
      <c r="F18" s="141">
        <f t="shared" si="6"/>
        <v>19777.320792998191</v>
      </c>
      <c r="H18" s="32">
        <f t="shared" si="1"/>
        <v>887.62080000000003</v>
      </c>
      <c r="I18" s="32">
        <f t="shared" si="1"/>
        <v>870.21647058823532</v>
      </c>
      <c r="J18" s="32">
        <f t="shared" si="1"/>
        <v>853.15340253748559</v>
      </c>
      <c r="K18" s="32">
        <f t="shared" si="1"/>
        <v>836.42490444851535</v>
      </c>
      <c r="L18" s="32">
        <f t="shared" si="1"/>
        <v>820.02441612599546</v>
      </c>
      <c r="M18" s="32">
        <f t="shared" si="1"/>
        <v>803.94550600587786</v>
      </c>
      <c r="N18" s="32">
        <f t="shared" si="1"/>
        <v>788.18186863321353</v>
      </c>
      <c r="O18" s="32">
        <f t="shared" si="1"/>
        <v>772.72732218942519</v>
      </c>
      <c r="P18" s="32">
        <f t="shared" si="1"/>
        <v>757.5758060680638</v>
      </c>
      <c r="Q18" s="32">
        <f t="shared" si="1"/>
        <v>742.72137849810179</v>
      </c>
      <c r="R18" s="32">
        <f t="shared" si="2"/>
        <v>728.15821421382532</v>
      </c>
      <c r="S18" s="32">
        <f t="shared" si="2"/>
        <v>713.88060217041709</v>
      </c>
      <c r="T18" s="32">
        <f t="shared" si="2"/>
        <v>699.8829433043303</v>
      </c>
      <c r="U18" s="32">
        <f t="shared" si="2"/>
        <v>686.15974833757878</v>
      </c>
      <c r="V18" s="32">
        <f t="shared" si="2"/>
        <v>672.70563562507721</v>
      </c>
      <c r="W18" s="32">
        <f t="shared" si="2"/>
        <v>659.51532904419355</v>
      </c>
      <c r="X18" s="32">
        <f t="shared" si="2"/>
        <v>646.58365592567975</v>
      </c>
      <c r="Y18" s="32">
        <f t="shared" si="2"/>
        <v>633.90554502517625</v>
      </c>
      <c r="Z18" s="32">
        <f t="shared" si="2"/>
        <v>621.47602453448656</v>
      </c>
      <c r="AA18" s="32">
        <f t="shared" si="2"/>
        <v>609.29022013184954</v>
      </c>
      <c r="AB18" s="32">
        <f t="shared" si="3"/>
        <v>597.34335307044068</v>
      </c>
      <c r="AC18" s="32">
        <f t="shared" si="3"/>
        <v>585.63073830435371</v>
      </c>
      <c r="AD18" s="32">
        <f t="shared" si="3"/>
        <v>574.14778265132713</v>
      </c>
      <c r="AE18" s="32">
        <f t="shared" si="3"/>
        <v>562.88998299149728</v>
      </c>
      <c r="AF18" s="32">
        <f t="shared" si="3"/>
        <v>551.8529245014679</v>
      </c>
      <c r="AG18" s="32">
        <f t="shared" si="3"/>
        <v>541.03227892300777</v>
      </c>
      <c r="AH18" s="32">
        <f t="shared" si="3"/>
        <v>530.4238028656938</v>
      </c>
      <c r="AI18" s="32">
        <f t="shared" si="3"/>
        <v>520.02333614283714</v>
      </c>
      <c r="AJ18" s="32">
        <f t="shared" si="3"/>
        <v>509.82680014003631</v>
      </c>
      <c r="AK18" s="32">
        <f t="shared" si="3"/>
        <v>499.83019621572197</v>
      </c>
      <c r="AL18" s="32">
        <f t="shared" si="4"/>
        <v>490.02960413306067</v>
      </c>
      <c r="AM18" s="32">
        <f t="shared" si="4"/>
        <v>480.42118052260867</v>
      </c>
      <c r="AN18" s="32">
        <f t="shared" si="4"/>
        <v>471.0011573751064</v>
      </c>
      <c r="AO18" s="32">
        <f t="shared" si="4"/>
        <v>461.76584056382978</v>
      </c>
      <c r="AP18" s="32">
        <f t="shared" si="4"/>
        <v>452.71160839591158</v>
      </c>
      <c r="AQ18" s="32">
        <f t="shared" si="4"/>
        <v>443.8349101920702</v>
      </c>
      <c r="AR18" s="32">
        <f t="shared" si="4"/>
        <v>435.13226489418651</v>
      </c>
      <c r="AS18" s="32">
        <f t="shared" si="4"/>
        <v>426.60025970018279</v>
      </c>
      <c r="AT18" s="32">
        <f t="shared" si="4"/>
        <v>418.23554872566933</v>
      </c>
      <c r="AU18" s="32">
        <f t="shared" si="4"/>
        <v>410.03485169183284</v>
      </c>
      <c r="AV18" s="32">
        <f t="shared" si="5"/>
        <v>401.99495263905169</v>
      </c>
      <c r="AW18" s="32">
        <f t="shared" si="5"/>
        <v>0</v>
      </c>
      <c r="AX18" s="32">
        <f t="shared" si="5"/>
        <v>0</v>
      </c>
      <c r="AY18" s="32">
        <f t="shared" si="5"/>
        <v>0</v>
      </c>
      <c r="AZ18" s="32">
        <f t="shared" si="5"/>
        <v>0</v>
      </c>
      <c r="BA18" s="32">
        <f t="shared" si="5"/>
        <v>0</v>
      </c>
      <c r="BB18" s="32">
        <f t="shared" si="5"/>
        <v>0</v>
      </c>
      <c r="BC18" s="32">
        <f t="shared" si="5"/>
        <v>0</v>
      </c>
      <c r="BD18" s="32">
        <f t="shared" si="5"/>
        <v>0</v>
      </c>
      <c r="BE18" s="32">
        <f t="shared" si="5"/>
        <v>0</v>
      </c>
      <c r="BF18" s="32">
        <f t="shared" si="5"/>
        <v>0</v>
      </c>
    </row>
    <row r="19" spans="3:58" x14ac:dyDescent="0.2">
      <c r="C19" s="8" t="str">
        <v>Brazil</v>
      </c>
      <c r="D19" s="56" t="str">
        <v>Latin America &amp; Caribbean</v>
      </c>
      <c r="E19" s="39">
        <f t="shared" si="0"/>
        <v>23305925.930126403</v>
      </c>
      <c r="F19" s="141">
        <f t="shared" si="6"/>
        <v>519285683.14077884</v>
      </c>
      <c r="H19" s="32">
        <f t="shared" si="1"/>
        <v>23305925.930126403</v>
      </c>
      <c r="I19" s="32">
        <f t="shared" si="1"/>
        <v>22848946.990320001</v>
      </c>
      <c r="J19" s="32">
        <f t="shared" si="1"/>
        <v>22400928.421882354</v>
      </c>
      <c r="K19" s="32">
        <f t="shared" si="1"/>
        <v>21961694.531257212</v>
      </c>
      <c r="L19" s="32">
        <f t="shared" si="1"/>
        <v>21531073.069860011</v>
      </c>
      <c r="M19" s="32">
        <f t="shared" si="1"/>
        <v>21108895.166529421</v>
      </c>
      <c r="N19" s="32">
        <f t="shared" si="1"/>
        <v>20694995.261303354</v>
      </c>
      <c r="O19" s="32">
        <f t="shared" si="1"/>
        <v>20289211.040493488</v>
      </c>
      <c r="P19" s="32">
        <f t="shared" si="1"/>
        <v>19891383.373032831</v>
      </c>
      <c r="Q19" s="32">
        <f t="shared" si="1"/>
        <v>19501356.248071402</v>
      </c>
      <c r="R19" s="32">
        <f t="shared" si="2"/>
        <v>19118976.713795491</v>
      </c>
      <c r="S19" s="32">
        <f t="shared" si="2"/>
        <v>18744094.817446563</v>
      </c>
      <c r="T19" s="32">
        <f t="shared" si="2"/>
        <v>18376563.546516236</v>
      </c>
      <c r="U19" s="32">
        <f t="shared" si="2"/>
        <v>18016238.771094352</v>
      </c>
      <c r="V19" s="32">
        <f t="shared" si="2"/>
        <v>17662979.187347401</v>
      </c>
      <c r="W19" s="32">
        <f t="shared" si="2"/>
        <v>17316646.262105301</v>
      </c>
      <c r="X19" s="32">
        <f t="shared" si="2"/>
        <v>16977104.178534605</v>
      </c>
      <c r="Y19" s="32">
        <f t="shared" si="2"/>
        <v>16644219.782877062</v>
      </c>
      <c r="Z19" s="32">
        <f t="shared" si="2"/>
        <v>16317862.532232415</v>
      </c>
      <c r="AA19" s="32">
        <f t="shared" si="2"/>
        <v>15997904.443365114</v>
      </c>
      <c r="AB19" s="32">
        <f t="shared" si="3"/>
        <v>15684220.042514816</v>
      </c>
      <c r="AC19" s="32">
        <f t="shared" si="3"/>
        <v>15376686.316190997</v>
      </c>
      <c r="AD19" s="32">
        <f t="shared" si="3"/>
        <v>15075182.662932349</v>
      </c>
      <c r="AE19" s="32">
        <f t="shared" si="3"/>
        <v>14779590.84601211</v>
      </c>
      <c r="AF19" s="32">
        <f t="shared" si="3"/>
        <v>14489794.947070695</v>
      </c>
      <c r="AG19" s="32">
        <f t="shared" si="3"/>
        <v>14205681.320657544</v>
      </c>
      <c r="AH19" s="32">
        <f t="shared" si="3"/>
        <v>13927138.549664257</v>
      </c>
      <c r="AI19" s="32">
        <f t="shared" si="3"/>
        <v>13654057.401631627</v>
      </c>
      <c r="AJ19" s="32">
        <f t="shared" si="3"/>
        <v>13386330.785913358</v>
      </c>
      <c r="AK19" s="32">
        <f t="shared" si="3"/>
        <v>13123853.711679764</v>
      </c>
      <c r="AL19" s="32">
        <f t="shared" si="4"/>
        <v>12866523.246744866</v>
      </c>
      <c r="AM19" s="32">
        <f t="shared" si="4"/>
        <v>12614238.477200851</v>
      </c>
      <c r="AN19" s="32">
        <f t="shared" si="4"/>
        <v>12366900.46784397</v>
      </c>
      <c r="AO19" s="32">
        <f t="shared" si="4"/>
        <v>12124412.22337644</v>
      </c>
      <c r="AP19" s="32">
        <f t="shared" si="4"/>
        <v>11886678.650369059</v>
      </c>
      <c r="AQ19" s="32">
        <f t="shared" si="4"/>
        <v>11653606.519969666</v>
      </c>
      <c r="AR19" s="32">
        <f t="shared" si="4"/>
        <v>11425104.43134281</v>
      </c>
      <c r="AS19" s="32">
        <f t="shared" si="4"/>
        <v>11201082.775826285</v>
      </c>
      <c r="AT19" s="32">
        <f t="shared" si="4"/>
        <v>10981453.701790472</v>
      </c>
      <c r="AU19" s="32">
        <f t="shared" si="4"/>
        <v>10766131.080186743</v>
      </c>
      <c r="AV19" s="32">
        <f t="shared" si="5"/>
        <v>10555030.470771315</v>
      </c>
      <c r="AW19" s="32">
        <f t="shared" si="5"/>
        <v>0</v>
      </c>
      <c r="AX19" s="32">
        <f t="shared" si="5"/>
        <v>0</v>
      </c>
      <c r="AY19" s="32">
        <f t="shared" si="5"/>
        <v>0</v>
      </c>
      <c r="AZ19" s="32">
        <f t="shared" si="5"/>
        <v>0</v>
      </c>
      <c r="BA19" s="32">
        <f t="shared" si="5"/>
        <v>0</v>
      </c>
      <c r="BB19" s="32">
        <f t="shared" si="5"/>
        <v>0</v>
      </c>
      <c r="BC19" s="32">
        <f t="shared" si="5"/>
        <v>0</v>
      </c>
      <c r="BD19" s="32">
        <f t="shared" si="5"/>
        <v>0</v>
      </c>
      <c r="BE19" s="32">
        <f t="shared" si="5"/>
        <v>0</v>
      </c>
      <c r="BF19" s="32">
        <f t="shared" si="5"/>
        <v>0</v>
      </c>
    </row>
    <row r="20" spans="3:58" x14ac:dyDescent="0.2">
      <c r="C20" s="8" t="str">
        <v>Bulgaria</v>
      </c>
      <c r="D20" s="56" t="str">
        <v>Europe &amp; Central Asia</v>
      </c>
      <c r="E20" s="39">
        <f t="shared" si="0"/>
        <v>1941390.01</v>
      </c>
      <c r="F20" s="141">
        <f t="shared" si="6"/>
        <v>43256639.560600616</v>
      </c>
      <c r="H20" s="32">
        <f t="shared" si="1"/>
        <v>1941390.01</v>
      </c>
      <c r="I20" s="32">
        <f t="shared" si="1"/>
        <v>1903323.5392156863</v>
      </c>
      <c r="J20" s="32">
        <f t="shared" si="1"/>
        <v>1866003.4698193003</v>
      </c>
      <c r="K20" s="32">
        <f t="shared" si="1"/>
        <v>1829415.1664895101</v>
      </c>
      <c r="L20" s="32">
        <f t="shared" si="1"/>
        <v>1793544.2808720688</v>
      </c>
      <c r="M20" s="32">
        <f t="shared" si="1"/>
        <v>1758376.7459530085</v>
      </c>
      <c r="N20" s="32">
        <f t="shared" si="1"/>
        <v>1723898.770542165</v>
      </c>
      <c r="O20" s="32">
        <f t="shared" si="1"/>
        <v>1690096.8338648682</v>
      </c>
      <c r="P20" s="32">
        <f t="shared" si="1"/>
        <v>1656957.6802596746</v>
      </c>
      <c r="Q20" s="32">
        <f t="shared" si="1"/>
        <v>1624468.313980073</v>
      </c>
      <c r="R20" s="32">
        <f t="shared" si="2"/>
        <v>1592615.9940981108</v>
      </c>
      <c r="S20" s="32">
        <f t="shared" si="2"/>
        <v>1561388.229507952</v>
      </c>
      <c r="T20" s="32">
        <f t="shared" si="2"/>
        <v>1530772.7740274037</v>
      </c>
      <c r="U20" s="32">
        <f t="shared" si="2"/>
        <v>1500757.621595494</v>
      </c>
      <c r="V20" s="32">
        <f t="shared" si="2"/>
        <v>1471331.0015642096</v>
      </c>
      <c r="W20" s="32">
        <f t="shared" si="2"/>
        <v>1442481.3740825588</v>
      </c>
      <c r="X20" s="32">
        <f t="shared" si="2"/>
        <v>1414197.4255711357</v>
      </c>
      <c r="Y20" s="32">
        <f t="shared" si="2"/>
        <v>1386468.0642854271</v>
      </c>
      <c r="Z20" s="32">
        <f t="shared" si="2"/>
        <v>1359282.4159661052</v>
      </c>
      <c r="AA20" s="32">
        <f t="shared" si="2"/>
        <v>1332629.8195746129</v>
      </c>
      <c r="AB20" s="32">
        <f t="shared" si="3"/>
        <v>1306499.8231123656</v>
      </c>
      <c r="AC20" s="32">
        <f t="shared" si="3"/>
        <v>1280882.1795219271</v>
      </c>
      <c r="AD20" s="32">
        <f t="shared" si="3"/>
        <v>1255766.8426685559</v>
      </c>
      <c r="AE20" s="32">
        <f t="shared" si="3"/>
        <v>1231143.9634005453</v>
      </c>
      <c r="AF20" s="32">
        <f t="shared" si="3"/>
        <v>1207003.885686809</v>
      </c>
      <c r="AG20" s="32">
        <f t="shared" si="3"/>
        <v>1183337.1428302049</v>
      </c>
      <c r="AH20" s="32">
        <f t="shared" si="3"/>
        <v>1160134.4537551028</v>
      </c>
      <c r="AI20" s="32">
        <f t="shared" si="3"/>
        <v>1137386.7193677479</v>
      </c>
      <c r="AJ20" s="32">
        <f t="shared" si="3"/>
        <v>1115085.0189879879</v>
      </c>
      <c r="AK20" s="32">
        <f t="shared" si="3"/>
        <v>1093220.6068509687</v>
      </c>
      <c r="AL20" s="32">
        <f t="shared" si="4"/>
        <v>1071784.9086774203</v>
      </c>
      <c r="AM20" s="32">
        <f t="shared" si="4"/>
        <v>1050769.5183111965</v>
      </c>
      <c r="AN20" s="32">
        <f t="shared" si="4"/>
        <v>1030166.1944227415</v>
      </c>
      <c r="AO20" s="32">
        <f t="shared" si="4"/>
        <v>1009966.8572771975</v>
      </c>
      <c r="AP20" s="32">
        <f t="shared" si="4"/>
        <v>990163.58556588006</v>
      </c>
      <c r="AQ20" s="32">
        <f t="shared" si="4"/>
        <v>970748.61329988239</v>
      </c>
      <c r="AR20" s="32">
        <f t="shared" si="4"/>
        <v>951714.32676459057</v>
      </c>
      <c r="AS20" s="32">
        <f t="shared" si="4"/>
        <v>933053.26153391227</v>
      </c>
      <c r="AT20" s="32">
        <f t="shared" si="4"/>
        <v>914758.0995430511</v>
      </c>
      <c r="AU20" s="32">
        <f t="shared" si="4"/>
        <v>896821.66621867788</v>
      </c>
      <c r="AV20" s="32">
        <f t="shared" si="5"/>
        <v>879236.92766537028</v>
      </c>
      <c r="AW20" s="32">
        <f t="shared" si="5"/>
        <v>0</v>
      </c>
      <c r="AX20" s="32">
        <f t="shared" si="5"/>
        <v>0</v>
      </c>
      <c r="AY20" s="32">
        <f t="shared" si="5"/>
        <v>0</v>
      </c>
      <c r="AZ20" s="32">
        <f t="shared" si="5"/>
        <v>0</v>
      </c>
      <c r="BA20" s="32">
        <f t="shared" si="5"/>
        <v>0</v>
      </c>
      <c r="BB20" s="32">
        <f t="shared" si="5"/>
        <v>0</v>
      </c>
      <c r="BC20" s="32">
        <f t="shared" si="5"/>
        <v>0</v>
      </c>
      <c r="BD20" s="32">
        <f t="shared" si="5"/>
        <v>0</v>
      </c>
      <c r="BE20" s="32">
        <f t="shared" si="5"/>
        <v>0</v>
      </c>
      <c r="BF20" s="32">
        <f t="shared" si="5"/>
        <v>0</v>
      </c>
    </row>
    <row r="21" spans="3:58" x14ac:dyDescent="0.2">
      <c r="C21" s="8" t="str">
        <v>Canada</v>
      </c>
      <c r="D21" s="56" t="str">
        <v>North America</v>
      </c>
      <c r="E21" s="39">
        <f t="shared" si="0"/>
        <v>18157024.492199998</v>
      </c>
      <c r="F21" s="141">
        <f t="shared" si="6"/>
        <v>404561607.87192518</v>
      </c>
      <c r="H21" s="32">
        <f t="shared" si="1"/>
        <v>18157024.492199998</v>
      </c>
      <c r="I21" s="32">
        <f t="shared" si="1"/>
        <v>17801004.404117644</v>
      </c>
      <c r="J21" s="32">
        <f t="shared" si="1"/>
        <v>17451965.102076124</v>
      </c>
      <c r="K21" s="32">
        <f t="shared" si="1"/>
        <v>17109769.707917769</v>
      </c>
      <c r="L21" s="32">
        <f t="shared" si="1"/>
        <v>16774284.027370362</v>
      </c>
      <c r="M21" s="32">
        <f t="shared" si="1"/>
        <v>16445376.497421922</v>
      </c>
      <c r="N21" s="32">
        <f t="shared" si="1"/>
        <v>16122918.134727374</v>
      </c>
      <c r="O21" s="32">
        <f t="shared" si="1"/>
        <v>15806782.48502684</v>
      </c>
      <c r="P21" s="32">
        <f t="shared" si="1"/>
        <v>15496845.573555725</v>
      </c>
      <c r="Q21" s="32">
        <f t="shared" si="1"/>
        <v>15192985.856427182</v>
      </c>
      <c r="R21" s="32">
        <f t="shared" si="2"/>
        <v>14895084.172967823</v>
      </c>
      <c r="S21" s="32">
        <f t="shared" si="2"/>
        <v>14603023.698988065</v>
      </c>
      <c r="T21" s="32">
        <f t="shared" si="2"/>
        <v>14316689.900968689</v>
      </c>
      <c r="U21" s="32">
        <f t="shared" si="2"/>
        <v>14035970.491145775</v>
      </c>
      <c r="V21" s="32">
        <f t="shared" si="2"/>
        <v>13760755.383476248</v>
      </c>
      <c r="W21" s="32">
        <f t="shared" si="2"/>
        <v>13490936.650466913</v>
      </c>
      <c r="X21" s="32">
        <f t="shared" si="2"/>
        <v>13226408.480849912</v>
      </c>
      <c r="Y21" s="32">
        <f t="shared" si="2"/>
        <v>12967067.138088148</v>
      </c>
      <c r="Z21" s="32">
        <f t="shared" si="2"/>
        <v>12712810.919694265</v>
      </c>
      <c r="AA21" s="32">
        <f t="shared" si="2"/>
        <v>12463540.117347319</v>
      </c>
      <c r="AB21" s="32">
        <f t="shared" si="3"/>
        <v>12219156.977791488</v>
      </c>
      <c r="AC21" s="32">
        <f t="shared" si="3"/>
        <v>11979565.66450146</v>
      </c>
      <c r="AD21" s="32">
        <f t="shared" si="3"/>
        <v>11744672.22009947</v>
      </c>
      <c r="AE21" s="32">
        <f t="shared" si="3"/>
        <v>11514384.529509285</v>
      </c>
      <c r="AF21" s="32">
        <f t="shared" si="3"/>
        <v>11288612.283832632</v>
      </c>
      <c r="AG21" s="32">
        <f t="shared" si="3"/>
        <v>11067266.944933955</v>
      </c>
      <c r="AH21" s="32">
        <f t="shared" si="3"/>
        <v>10850261.710719561</v>
      </c>
      <c r="AI21" s="32">
        <f t="shared" si="3"/>
        <v>10637511.481097611</v>
      </c>
      <c r="AJ21" s="32">
        <f t="shared" si="3"/>
        <v>10428932.824605498</v>
      </c>
      <c r="AK21" s="32">
        <f t="shared" si="3"/>
        <v>10224443.945691667</v>
      </c>
      <c r="AL21" s="32">
        <f t="shared" si="4"/>
        <v>10023964.652638888</v>
      </c>
      <c r="AM21" s="32">
        <f t="shared" si="4"/>
        <v>9827416.32611656</v>
      </c>
      <c r="AN21" s="32">
        <f t="shared" si="4"/>
        <v>9634721.8883495666</v>
      </c>
      <c r="AO21" s="32">
        <f t="shared" si="4"/>
        <v>9445805.7728917301</v>
      </c>
      <c r="AP21" s="32">
        <f t="shared" si="4"/>
        <v>9260593.8949918933</v>
      </c>
      <c r="AQ21" s="32">
        <f t="shared" si="4"/>
        <v>9079013.6225410718</v>
      </c>
      <c r="AR21" s="32">
        <f t="shared" si="4"/>
        <v>8900993.7475892883</v>
      </c>
      <c r="AS21" s="32">
        <f t="shared" si="4"/>
        <v>8726464.458420869</v>
      </c>
      <c r="AT21" s="32">
        <f t="shared" si="4"/>
        <v>8555357.3121773209</v>
      </c>
      <c r="AU21" s="32">
        <f t="shared" si="4"/>
        <v>8387605.2080169851</v>
      </c>
      <c r="AV21" s="32">
        <f t="shared" si="5"/>
        <v>8223142.3608009638</v>
      </c>
      <c r="AW21" s="32">
        <f t="shared" si="5"/>
        <v>0</v>
      </c>
      <c r="AX21" s="32">
        <f t="shared" si="5"/>
        <v>0</v>
      </c>
      <c r="AY21" s="32">
        <f t="shared" si="5"/>
        <v>0</v>
      </c>
      <c r="AZ21" s="32">
        <f t="shared" si="5"/>
        <v>0</v>
      </c>
      <c r="BA21" s="32">
        <f t="shared" si="5"/>
        <v>0</v>
      </c>
      <c r="BB21" s="32">
        <f t="shared" si="5"/>
        <v>0</v>
      </c>
      <c r="BC21" s="32">
        <f t="shared" si="5"/>
        <v>0</v>
      </c>
      <c r="BD21" s="32">
        <f t="shared" si="5"/>
        <v>0</v>
      </c>
      <c r="BE21" s="32">
        <f t="shared" si="5"/>
        <v>0</v>
      </c>
      <c r="BF21" s="32">
        <f t="shared" si="5"/>
        <v>0</v>
      </c>
    </row>
    <row r="22" spans="3:58" x14ac:dyDescent="0.2">
      <c r="C22" s="8" t="str">
        <v>Chile</v>
      </c>
      <c r="D22" s="56" t="str">
        <v>Latin America &amp; Caribbean</v>
      </c>
      <c r="E22" s="39">
        <f t="shared" si="0"/>
        <v>5905705.4000000004</v>
      </c>
      <c r="F22" s="141">
        <f t="shared" si="6"/>
        <v>131586630.46735916</v>
      </c>
      <c r="H22" s="32">
        <f t="shared" si="1"/>
        <v>5905705.4000000004</v>
      </c>
      <c r="I22" s="32">
        <f t="shared" si="1"/>
        <v>5789907.2549019614</v>
      </c>
      <c r="J22" s="32">
        <f t="shared" si="1"/>
        <v>5676379.6616685893</v>
      </c>
      <c r="K22" s="32">
        <f t="shared" si="1"/>
        <v>5565078.0996750882</v>
      </c>
      <c r="L22" s="32">
        <f t="shared" si="1"/>
        <v>5455958.9212500863</v>
      </c>
      <c r="M22" s="32">
        <f t="shared" si="1"/>
        <v>5348979.3345589079</v>
      </c>
      <c r="N22" s="32">
        <f t="shared" si="1"/>
        <v>5244097.3868224584</v>
      </c>
      <c r="O22" s="32">
        <f t="shared" si="1"/>
        <v>5141271.9478651565</v>
      </c>
      <c r="P22" s="32">
        <f t="shared" si="1"/>
        <v>5040462.6939854473</v>
      </c>
      <c r="Q22" s="32">
        <f t="shared" si="1"/>
        <v>4941630.092142595</v>
      </c>
      <c r="R22" s="32">
        <f t="shared" si="2"/>
        <v>4844735.3844535239</v>
      </c>
      <c r="S22" s="32">
        <f t="shared" si="2"/>
        <v>4749740.572993652</v>
      </c>
      <c r="T22" s="32">
        <f t="shared" si="2"/>
        <v>4656608.4048957368</v>
      </c>
      <c r="U22" s="32">
        <f t="shared" si="2"/>
        <v>4565302.3577409182</v>
      </c>
      <c r="V22" s="32">
        <f t="shared" si="2"/>
        <v>4475786.6252361946</v>
      </c>
      <c r="W22" s="32">
        <f t="shared" si="2"/>
        <v>4388026.1031727409</v>
      </c>
      <c r="X22" s="32">
        <f t="shared" si="2"/>
        <v>4301986.3756595487</v>
      </c>
      <c r="Y22" s="32">
        <f t="shared" si="2"/>
        <v>4217633.7016270086</v>
      </c>
      <c r="Z22" s="32">
        <f t="shared" si="2"/>
        <v>4134935.0015951069</v>
      </c>
      <c r="AA22" s="32">
        <f t="shared" si="2"/>
        <v>4053857.8447010852</v>
      </c>
      <c r="AB22" s="32">
        <f t="shared" si="3"/>
        <v>3974370.4359814557</v>
      </c>
      <c r="AC22" s="32">
        <f t="shared" si="3"/>
        <v>3896441.6039033881</v>
      </c>
      <c r="AD22" s="32">
        <f t="shared" si="3"/>
        <v>3820040.7881405763</v>
      </c>
      <c r="AE22" s="32">
        <f t="shared" si="3"/>
        <v>3745138.027588801</v>
      </c>
      <c r="AF22" s="32">
        <f t="shared" si="3"/>
        <v>3671703.9486164716</v>
      </c>
      <c r="AG22" s="32">
        <f t="shared" si="3"/>
        <v>3599709.7535455604</v>
      </c>
      <c r="AH22" s="32">
        <f t="shared" si="3"/>
        <v>3529127.2093583918</v>
      </c>
      <c r="AI22" s="32">
        <f t="shared" si="3"/>
        <v>3459928.6366258753</v>
      </c>
      <c r="AJ22" s="32">
        <f t="shared" si="3"/>
        <v>3392086.8986528181</v>
      </c>
      <c r="AK22" s="32">
        <f t="shared" si="3"/>
        <v>3325575.3908360968</v>
      </c>
      <c r="AL22" s="32">
        <f t="shared" si="4"/>
        <v>3260368.030231467</v>
      </c>
      <c r="AM22" s="32">
        <f t="shared" si="4"/>
        <v>3196439.2453249684</v>
      </c>
      <c r="AN22" s="32">
        <f t="shared" si="4"/>
        <v>3133763.9660048704</v>
      </c>
      <c r="AO22" s="32">
        <f t="shared" si="4"/>
        <v>3072317.6137302648</v>
      </c>
      <c r="AP22" s="32">
        <f t="shared" si="4"/>
        <v>3012076.0918924166</v>
      </c>
      <c r="AQ22" s="32">
        <f t="shared" si="4"/>
        <v>2953015.7763651144</v>
      </c>
      <c r="AR22" s="32">
        <f t="shared" si="4"/>
        <v>2895113.5062403088</v>
      </c>
      <c r="AS22" s="32">
        <f t="shared" si="4"/>
        <v>2838346.5747454003</v>
      </c>
      <c r="AT22" s="32">
        <f t="shared" si="4"/>
        <v>2782692.7203386272</v>
      </c>
      <c r="AU22" s="32">
        <f t="shared" si="4"/>
        <v>2728130.1179790474</v>
      </c>
      <c r="AV22" s="32">
        <f t="shared" si="5"/>
        <v>2674637.3705676929</v>
      </c>
      <c r="AW22" s="32">
        <f t="shared" si="5"/>
        <v>0</v>
      </c>
      <c r="AX22" s="32">
        <f t="shared" si="5"/>
        <v>0</v>
      </c>
      <c r="AY22" s="32">
        <f t="shared" si="5"/>
        <v>0</v>
      </c>
      <c r="AZ22" s="32">
        <f t="shared" si="5"/>
        <v>0</v>
      </c>
      <c r="BA22" s="32">
        <f t="shared" si="5"/>
        <v>0</v>
      </c>
      <c r="BB22" s="32">
        <f t="shared" si="5"/>
        <v>0</v>
      </c>
      <c r="BC22" s="32">
        <f t="shared" si="5"/>
        <v>0</v>
      </c>
      <c r="BD22" s="32">
        <f t="shared" si="5"/>
        <v>0</v>
      </c>
      <c r="BE22" s="32">
        <f t="shared" si="5"/>
        <v>0</v>
      </c>
      <c r="BF22" s="32">
        <f t="shared" si="5"/>
        <v>0</v>
      </c>
    </row>
    <row r="23" spans="3:58" x14ac:dyDescent="0.2">
      <c r="C23" s="8" t="str">
        <v>China</v>
      </c>
      <c r="D23" s="56" t="str">
        <v>East Asia &amp; Pacific</v>
      </c>
      <c r="E23" s="39">
        <f t="shared" si="0"/>
        <v>237680955.80160001</v>
      </c>
      <c r="F23" s="141">
        <f t="shared" si="6"/>
        <v>5295834109.8751497</v>
      </c>
      <c r="H23" s="32">
        <f t="shared" ref="H23:Q32" si="7">IFERROR(IF(H$11&lt;=$F$3,$E23/(1+$I$3)^H$11,0),"No value")</f>
        <v>237680955.80160001</v>
      </c>
      <c r="I23" s="32">
        <f t="shared" si="7"/>
        <v>233020544.90352941</v>
      </c>
      <c r="J23" s="32">
        <f t="shared" si="7"/>
        <v>228451514.61130336</v>
      </c>
      <c r="K23" s="32">
        <f t="shared" si="7"/>
        <v>223972073.14833665</v>
      </c>
      <c r="L23" s="32">
        <f t="shared" si="7"/>
        <v>219580463.87091827</v>
      </c>
      <c r="M23" s="32">
        <f t="shared" si="7"/>
        <v>215274964.57933161</v>
      </c>
      <c r="N23" s="32">
        <f t="shared" si="7"/>
        <v>211053886.84248197</v>
      </c>
      <c r="O23" s="32">
        <f t="shared" si="7"/>
        <v>206915575.33576667</v>
      </c>
      <c r="P23" s="32">
        <f t="shared" si="7"/>
        <v>202858407.19192809</v>
      </c>
      <c r="Q23" s="32">
        <f t="shared" si="7"/>
        <v>198880791.36463541</v>
      </c>
      <c r="R23" s="32">
        <f t="shared" ref="R23:AA32" si="8">IFERROR(IF(R$11&lt;=$F$3,$E23/(1+$I$3)^R$11,0),"No value")</f>
        <v>194981168.0045445</v>
      </c>
      <c r="S23" s="32">
        <f t="shared" si="8"/>
        <v>191158007.84759268</v>
      </c>
      <c r="T23" s="32">
        <f t="shared" si="8"/>
        <v>187409811.61528692</v>
      </c>
      <c r="U23" s="32">
        <f t="shared" si="8"/>
        <v>183735109.42675188</v>
      </c>
      <c r="V23" s="32">
        <f t="shared" si="8"/>
        <v>180132460.22230574</v>
      </c>
      <c r="W23" s="32">
        <f t="shared" si="8"/>
        <v>176600451.19833902</v>
      </c>
      <c r="X23" s="32">
        <f t="shared" si="8"/>
        <v>173137697.25327352</v>
      </c>
      <c r="Y23" s="32">
        <f t="shared" si="8"/>
        <v>169742840.4443858</v>
      </c>
      <c r="Z23" s="32">
        <f t="shared" si="8"/>
        <v>166414549.45528021</v>
      </c>
      <c r="AA23" s="32">
        <f t="shared" si="8"/>
        <v>163151519.07380414</v>
      </c>
      <c r="AB23" s="32">
        <f t="shared" ref="AB23:AK32" si="9">IFERROR(IF(AB$11&lt;=$F$3,$E23/(1+$I$3)^AB$11,0),"No value")</f>
        <v>159952469.6802001</v>
      </c>
      <c r="AC23" s="32">
        <f t="shared" si="9"/>
        <v>156816146.74529424</v>
      </c>
      <c r="AD23" s="32">
        <f t="shared" si="9"/>
        <v>153741320.33852375</v>
      </c>
      <c r="AE23" s="32">
        <f t="shared" si="9"/>
        <v>150726784.64561155</v>
      </c>
      <c r="AF23" s="32">
        <f t="shared" si="9"/>
        <v>147771357.49569759</v>
      </c>
      <c r="AG23" s="32">
        <f t="shared" si="9"/>
        <v>144873879.89774275</v>
      </c>
      <c r="AH23" s="32">
        <f t="shared" si="9"/>
        <v>142033215.58602229</v>
      </c>
      <c r="AI23" s="32">
        <f t="shared" si="9"/>
        <v>139248250.57453167</v>
      </c>
      <c r="AJ23" s="32">
        <f t="shared" si="9"/>
        <v>136517892.72012904</v>
      </c>
      <c r="AK23" s="32">
        <f t="shared" si="9"/>
        <v>133841071.29424419</v>
      </c>
      <c r="AL23" s="32">
        <f t="shared" ref="AL23:AU32" si="10">IFERROR(IF(AL$11&lt;=$F$3,$E23/(1+$I$3)^AL$11,0),"No value")</f>
        <v>131216736.5629845</v>
      </c>
      <c r="AM23" s="32">
        <f t="shared" si="10"/>
        <v>128643859.37547502</v>
      </c>
      <c r="AN23" s="32">
        <f t="shared" si="10"/>
        <v>126121430.7602696</v>
      </c>
      <c r="AO23" s="32">
        <f t="shared" si="10"/>
        <v>123648461.52967608</v>
      </c>
      <c r="AP23" s="32">
        <f t="shared" si="10"/>
        <v>121223981.8918393</v>
      </c>
      <c r="AQ23" s="32">
        <f t="shared" si="10"/>
        <v>118847041.07043068</v>
      </c>
      <c r="AR23" s="32">
        <f t="shared" si="10"/>
        <v>116516706.93179479</v>
      </c>
      <c r="AS23" s="32">
        <f t="shared" si="10"/>
        <v>114232065.61940666</v>
      </c>
      <c r="AT23" s="32">
        <f t="shared" si="10"/>
        <v>111992221.19549671</v>
      </c>
      <c r="AU23" s="32">
        <f t="shared" si="10"/>
        <v>109796295.2897027</v>
      </c>
      <c r="AV23" s="32">
        <f t="shared" ref="AV23:BF32" si="11">IFERROR(IF(AV$11&lt;=$F$3,$E23/(1+$I$3)^AV$11,0),"No value")</f>
        <v>107643426.75461045</v>
      </c>
      <c r="AW23" s="32">
        <f t="shared" si="11"/>
        <v>0</v>
      </c>
      <c r="AX23" s="32">
        <f t="shared" si="11"/>
        <v>0</v>
      </c>
      <c r="AY23" s="32">
        <f t="shared" si="11"/>
        <v>0</v>
      </c>
      <c r="AZ23" s="32">
        <f t="shared" si="11"/>
        <v>0</v>
      </c>
      <c r="BA23" s="32">
        <f t="shared" si="11"/>
        <v>0</v>
      </c>
      <c r="BB23" s="32">
        <f t="shared" si="11"/>
        <v>0</v>
      </c>
      <c r="BC23" s="32">
        <f t="shared" si="11"/>
        <v>0</v>
      </c>
      <c r="BD23" s="32">
        <f t="shared" si="11"/>
        <v>0</v>
      </c>
      <c r="BE23" s="32">
        <f t="shared" si="11"/>
        <v>0</v>
      </c>
      <c r="BF23" s="32">
        <f t="shared" si="11"/>
        <v>0</v>
      </c>
    </row>
    <row r="24" spans="3:58" x14ac:dyDescent="0.2">
      <c r="C24" s="8" t="str">
        <v>Colombia</v>
      </c>
      <c r="D24" s="56" t="str">
        <v>Latin America &amp; Caribbean</v>
      </c>
      <c r="E24" s="39">
        <f t="shared" si="0"/>
        <v>11664115.199999999</v>
      </c>
      <c r="F24" s="141">
        <f t="shared" si="6"/>
        <v>259891327.55438611</v>
      </c>
      <c r="H24" s="32">
        <f t="shared" si="7"/>
        <v>11664115.199999999</v>
      </c>
      <c r="I24" s="32">
        <f t="shared" si="7"/>
        <v>11435407.058823528</v>
      </c>
      <c r="J24" s="32">
        <f t="shared" si="7"/>
        <v>11211183.39100346</v>
      </c>
      <c r="K24" s="32">
        <f t="shared" si="7"/>
        <v>10991356.265689667</v>
      </c>
      <c r="L24" s="32">
        <f t="shared" si="7"/>
        <v>10775839.47616634</v>
      </c>
      <c r="M24" s="32">
        <f t="shared" si="7"/>
        <v>10564548.506045431</v>
      </c>
      <c r="N24" s="32">
        <f t="shared" si="7"/>
        <v>10357400.496122971</v>
      </c>
      <c r="O24" s="32">
        <f t="shared" si="7"/>
        <v>10154314.211885268</v>
      </c>
      <c r="P24" s="32">
        <f t="shared" si="7"/>
        <v>9955210.0116522219</v>
      </c>
      <c r="Q24" s="32">
        <f t="shared" si="7"/>
        <v>9760009.8153453153</v>
      </c>
      <c r="R24" s="32">
        <f t="shared" si="8"/>
        <v>9568637.0738679562</v>
      </c>
      <c r="S24" s="32">
        <f t="shared" si="8"/>
        <v>9381016.7390862331</v>
      </c>
      <c r="T24" s="32">
        <f t="shared" si="8"/>
        <v>9197075.2343982663</v>
      </c>
      <c r="U24" s="32">
        <f t="shared" si="8"/>
        <v>9016740.4258806538</v>
      </c>
      <c r="V24" s="32">
        <f t="shared" si="8"/>
        <v>8839941.5940006394</v>
      </c>
      <c r="W24" s="32">
        <f t="shared" si="8"/>
        <v>8666609.4058829825</v>
      </c>
      <c r="X24" s="32">
        <f t="shared" si="8"/>
        <v>8496675.8881205693</v>
      </c>
      <c r="Y24" s="32">
        <f t="shared" si="8"/>
        <v>8330074.4001182057</v>
      </c>
      <c r="Z24" s="32">
        <f t="shared" si="8"/>
        <v>8166739.6079590255</v>
      </c>
      <c r="AA24" s="32">
        <f t="shared" si="8"/>
        <v>8006607.4587833593</v>
      </c>
      <c r="AB24" s="32">
        <f t="shared" si="9"/>
        <v>7849615.1556699593</v>
      </c>
      <c r="AC24" s="32">
        <f t="shared" si="9"/>
        <v>7695701.1330097644</v>
      </c>
      <c r="AD24" s="32">
        <f t="shared" si="9"/>
        <v>7544805.0323625132</v>
      </c>
      <c r="AE24" s="32">
        <f t="shared" si="9"/>
        <v>7396867.6787867798</v>
      </c>
      <c r="AF24" s="32">
        <f t="shared" si="9"/>
        <v>7251831.0576340975</v>
      </c>
      <c r="AG24" s="32">
        <f t="shared" si="9"/>
        <v>7109638.2917981343</v>
      </c>
      <c r="AH24" s="32">
        <f t="shared" si="9"/>
        <v>6970233.6194099346</v>
      </c>
      <c r="AI24" s="32">
        <f t="shared" si="9"/>
        <v>6833562.3719705259</v>
      </c>
      <c r="AJ24" s="32">
        <f t="shared" si="9"/>
        <v>6699570.9529122785</v>
      </c>
      <c r="AK24" s="32">
        <f t="shared" si="9"/>
        <v>6568206.8165806662</v>
      </c>
      <c r="AL24" s="32">
        <f t="shared" si="10"/>
        <v>6439418.4476281041</v>
      </c>
      <c r="AM24" s="32">
        <f t="shared" si="10"/>
        <v>6313155.3408118682</v>
      </c>
      <c r="AN24" s="32">
        <f t="shared" si="10"/>
        <v>6189367.9811881045</v>
      </c>
      <c r="AO24" s="32">
        <f t="shared" si="10"/>
        <v>6068007.82469422</v>
      </c>
      <c r="AP24" s="32">
        <f t="shared" si="10"/>
        <v>5949027.2791119805</v>
      </c>
      <c r="AQ24" s="32">
        <f t="shared" si="10"/>
        <v>5832379.685403903</v>
      </c>
      <c r="AR24" s="32">
        <f t="shared" si="10"/>
        <v>5718019.2994155912</v>
      </c>
      <c r="AS24" s="32">
        <f t="shared" si="10"/>
        <v>5605901.2739368537</v>
      </c>
      <c r="AT24" s="32">
        <f t="shared" si="10"/>
        <v>5495981.6411145618</v>
      </c>
      <c r="AU24" s="32">
        <f t="shared" si="10"/>
        <v>5388217.2952103568</v>
      </c>
      <c r="AV24" s="32">
        <f t="shared" si="11"/>
        <v>5282565.9756964268</v>
      </c>
      <c r="AW24" s="32">
        <f t="shared" si="11"/>
        <v>0</v>
      </c>
      <c r="AX24" s="32">
        <f t="shared" si="11"/>
        <v>0</v>
      </c>
      <c r="AY24" s="32">
        <f t="shared" si="11"/>
        <v>0</v>
      </c>
      <c r="AZ24" s="32">
        <f t="shared" si="11"/>
        <v>0</v>
      </c>
      <c r="BA24" s="32">
        <f t="shared" si="11"/>
        <v>0</v>
      </c>
      <c r="BB24" s="32">
        <f t="shared" si="11"/>
        <v>0</v>
      </c>
      <c r="BC24" s="32">
        <f t="shared" si="11"/>
        <v>0</v>
      </c>
      <c r="BD24" s="32">
        <f t="shared" si="11"/>
        <v>0</v>
      </c>
      <c r="BE24" s="32">
        <f t="shared" si="11"/>
        <v>0</v>
      </c>
      <c r="BF24" s="32">
        <f t="shared" si="11"/>
        <v>0</v>
      </c>
    </row>
    <row r="25" spans="3:58" x14ac:dyDescent="0.2">
      <c r="C25" s="8" t="str">
        <v>Costa Rica</v>
      </c>
      <c r="D25" s="56" t="str">
        <v>Latin America &amp; Caribbean</v>
      </c>
      <c r="E25" s="39">
        <f t="shared" si="0"/>
        <v>343100</v>
      </c>
      <c r="F25" s="141">
        <f t="shared" si="6"/>
        <v>7644704.5450914158</v>
      </c>
      <c r="H25" s="32">
        <f t="shared" si="7"/>
        <v>343100</v>
      </c>
      <c r="I25" s="32">
        <f t="shared" si="7"/>
        <v>336372.54901960783</v>
      </c>
      <c r="J25" s="32">
        <f t="shared" si="7"/>
        <v>329777.00884275278</v>
      </c>
      <c r="K25" s="32">
        <f t="shared" si="7"/>
        <v>323310.79298309097</v>
      </c>
      <c r="L25" s="32">
        <f t="shared" si="7"/>
        <v>316971.36566969706</v>
      </c>
      <c r="M25" s="32">
        <f t="shared" si="7"/>
        <v>310756.24085264414</v>
      </c>
      <c r="N25" s="32">
        <f t="shared" si="7"/>
        <v>304662.9812280825</v>
      </c>
      <c r="O25" s="32">
        <f t="shared" si="7"/>
        <v>298689.19728243386</v>
      </c>
      <c r="P25" s="32">
        <f t="shared" si="7"/>
        <v>292832.5463553273</v>
      </c>
      <c r="Q25" s="32">
        <f t="shared" si="7"/>
        <v>287090.73172090913</v>
      </c>
      <c r="R25" s="32">
        <f t="shared" si="8"/>
        <v>281461.50168716576</v>
      </c>
      <c r="S25" s="32">
        <f t="shared" si="8"/>
        <v>275942.64871290768</v>
      </c>
      <c r="T25" s="32">
        <f t="shared" si="8"/>
        <v>270532.00854206632</v>
      </c>
      <c r="U25" s="32">
        <f t="shared" si="8"/>
        <v>265227.459354967</v>
      </c>
      <c r="V25" s="32">
        <f t="shared" si="8"/>
        <v>260026.92093624212</v>
      </c>
      <c r="W25" s="32">
        <f t="shared" si="8"/>
        <v>254928.35385906097</v>
      </c>
      <c r="X25" s="32">
        <f t="shared" si="8"/>
        <v>249929.75868535385</v>
      </c>
      <c r="Y25" s="32">
        <f t="shared" si="8"/>
        <v>245029.17518171945</v>
      </c>
      <c r="Z25" s="32">
        <f t="shared" si="8"/>
        <v>240224.68155070537</v>
      </c>
      <c r="AA25" s="32">
        <f t="shared" si="8"/>
        <v>235514.39367716212</v>
      </c>
      <c r="AB25" s="32">
        <f t="shared" si="9"/>
        <v>230896.4643893746</v>
      </c>
      <c r="AC25" s="32">
        <f t="shared" si="9"/>
        <v>226369.082734681</v>
      </c>
      <c r="AD25" s="32">
        <f t="shared" si="9"/>
        <v>221930.47326929509</v>
      </c>
      <c r="AE25" s="32">
        <f t="shared" si="9"/>
        <v>217578.89536205406</v>
      </c>
      <c r="AF25" s="32">
        <f t="shared" si="9"/>
        <v>213312.64251181768</v>
      </c>
      <c r="AG25" s="32">
        <f t="shared" si="9"/>
        <v>209130.04167825263</v>
      </c>
      <c r="AH25" s="32">
        <f t="shared" si="9"/>
        <v>205029.45262573785</v>
      </c>
      <c r="AI25" s="32">
        <f t="shared" si="9"/>
        <v>201009.26728013519</v>
      </c>
      <c r="AJ25" s="32">
        <f t="shared" si="9"/>
        <v>197067.90909817172</v>
      </c>
      <c r="AK25" s="32">
        <f t="shared" si="9"/>
        <v>193203.83244918799</v>
      </c>
      <c r="AL25" s="32">
        <f t="shared" si="10"/>
        <v>189415.52200900781</v>
      </c>
      <c r="AM25" s="32">
        <f t="shared" si="10"/>
        <v>185701.49216569398</v>
      </c>
      <c r="AN25" s="32">
        <f t="shared" si="10"/>
        <v>182060.28643695483</v>
      </c>
      <c r="AO25" s="32">
        <f t="shared" si="10"/>
        <v>178490.47689897532</v>
      </c>
      <c r="AP25" s="32">
        <f t="shared" si="10"/>
        <v>174990.66362644642</v>
      </c>
      <c r="AQ25" s="32">
        <f t="shared" si="10"/>
        <v>171559.47414357492</v>
      </c>
      <c r="AR25" s="32">
        <f t="shared" si="10"/>
        <v>168195.56288585777</v>
      </c>
      <c r="AS25" s="32">
        <f t="shared" si="10"/>
        <v>164897.61067240956</v>
      </c>
      <c r="AT25" s="32">
        <f t="shared" si="10"/>
        <v>161664.32418863679</v>
      </c>
      <c r="AU25" s="32">
        <f t="shared" si="10"/>
        <v>158494.43547905574</v>
      </c>
      <c r="AV25" s="32">
        <f t="shared" si="11"/>
        <v>155386.70145005462</v>
      </c>
      <c r="AW25" s="32">
        <f t="shared" si="11"/>
        <v>0</v>
      </c>
      <c r="AX25" s="32">
        <f t="shared" si="11"/>
        <v>0</v>
      </c>
      <c r="AY25" s="32">
        <f t="shared" si="11"/>
        <v>0</v>
      </c>
      <c r="AZ25" s="32">
        <f t="shared" si="11"/>
        <v>0</v>
      </c>
      <c r="BA25" s="32">
        <f t="shared" si="11"/>
        <v>0</v>
      </c>
      <c r="BB25" s="32">
        <f t="shared" si="11"/>
        <v>0</v>
      </c>
      <c r="BC25" s="32">
        <f t="shared" si="11"/>
        <v>0</v>
      </c>
      <c r="BD25" s="32">
        <f t="shared" si="11"/>
        <v>0</v>
      </c>
      <c r="BE25" s="32">
        <f t="shared" si="11"/>
        <v>0</v>
      </c>
      <c r="BF25" s="32">
        <f t="shared" si="11"/>
        <v>0</v>
      </c>
    </row>
    <row r="26" spans="3:58" x14ac:dyDescent="0.2">
      <c r="C26" s="8" t="str">
        <v>Czechia</v>
      </c>
      <c r="D26" s="56" t="str">
        <v>Europe &amp; Central Asia</v>
      </c>
      <c r="E26" s="39">
        <f t="shared" si="0"/>
        <v>2806133.4670000002</v>
      </c>
      <c r="F26" s="141">
        <f t="shared" si="6"/>
        <v>62524224.043450989</v>
      </c>
      <c r="H26" s="32">
        <f t="shared" si="7"/>
        <v>2806133.4670000002</v>
      </c>
      <c r="I26" s="32">
        <f t="shared" si="7"/>
        <v>2751111.2421568627</v>
      </c>
      <c r="J26" s="32">
        <f t="shared" si="7"/>
        <v>2697167.8844675128</v>
      </c>
      <c r="K26" s="32">
        <f t="shared" si="7"/>
        <v>2644282.2396740322</v>
      </c>
      <c r="L26" s="32">
        <f t="shared" si="7"/>
        <v>2592433.5683078747</v>
      </c>
      <c r="M26" s="32">
        <f t="shared" si="7"/>
        <v>2541601.5375567395</v>
      </c>
      <c r="N26" s="32">
        <f t="shared" si="7"/>
        <v>2491766.2132909209</v>
      </c>
      <c r="O26" s="32">
        <f t="shared" si="7"/>
        <v>2442908.0522460015</v>
      </c>
      <c r="P26" s="32">
        <f t="shared" si="7"/>
        <v>2395007.8943588249</v>
      </c>
      <c r="Q26" s="32">
        <f t="shared" si="7"/>
        <v>2348046.9552537501</v>
      </c>
      <c r="R26" s="32">
        <f t="shared" si="8"/>
        <v>2302006.8188762255</v>
      </c>
      <c r="S26" s="32">
        <f t="shared" si="8"/>
        <v>2256869.4302708097</v>
      </c>
      <c r="T26" s="32">
        <f t="shared" si="8"/>
        <v>2212617.0885007936</v>
      </c>
      <c r="U26" s="32">
        <f t="shared" si="8"/>
        <v>2169232.4397066603</v>
      </c>
      <c r="V26" s="32">
        <f t="shared" si="8"/>
        <v>2126698.470300647</v>
      </c>
      <c r="W26" s="32">
        <f t="shared" si="8"/>
        <v>2084998.5002947527</v>
      </c>
      <c r="X26" s="32">
        <f t="shared" si="8"/>
        <v>2044116.1767595611</v>
      </c>
      <c r="Y26" s="32">
        <f t="shared" si="8"/>
        <v>2004035.4674113342</v>
      </c>
      <c r="Z26" s="32">
        <f t="shared" si="8"/>
        <v>1964740.6543248377</v>
      </c>
      <c r="AA26" s="32">
        <f t="shared" si="8"/>
        <v>1926216.3277694487</v>
      </c>
      <c r="AB26" s="32">
        <f t="shared" si="9"/>
        <v>1888447.3801661259</v>
      </c>
      <c r="AC26" s="32">
        <f t="shared" si="9"/>
        <v>1851419.0001628688</v>
      </c>
      <c r="AD26" s="32">
        <f t="shared" si="9"/>
        <v>1815116.6668263418</v>
      </c>
      <c r="AE26" s="32">
        <f t="shared" si="9"/>
        <v>1779526.1439473943</v>
      </c>
      <c r="AF26" s="32">
        <f t="shared" si="9"/>
        <v>1744633.4744582297</v>
      </c>
      <c r="AG26" s="32">
        <f t="shared" si="9"/>
        <v>1710424.9749590487</v>
      </c>
      <c r="AH26" s="32">
        <f t="shared" si="9"/>
        <v>1676887.2303520082</v>
      </c>
      <c r="AI26" s="32">
        <f t="shared" si="9"/>
        <v>1644007.0885804007</v>
      </c>
      <c r="AJ26" s="32">
        <f t="shared" si="9"/>
        <v>1611771.6554709806</v>
      </c>
      <c r="AK26" s="32">
        <f t="shared" si="9"/>
        <v>1580168.2896774323</v>
      </c>
      <c r="AL26" s="32">
        <f t="shared" si="10"/>
        <v>1549184.5977229727</v>
      </c>
      <c r="AM26" s="32">
        <f t="shared" si="10"/>
        <v>1518808.4291401696</v>
      </c>
      <c r="AN26" s="32">
        <f t="shared" si="10"/>
        <v>1489027.8717060483</v>
      </c>
      <c r="AO26" s="32">
        <f t="shared" si="10"/>
        <v>1459831.2467706355</v>
      </c>
      <c r="AP26" s="32">
        <f t="shared" si="10"/>
        <v>1431207.1046770939</v>
      </c>
      <c r="AQ26" s="32">
        <f t="shared" si="10"/>
        <v>1403144.2202716607</v>
      </c>
      <c r="AR26" s="32">
        <f t="shared" si="10"/>
        <v>1375631.5885016283</v>
      </c>
      <c r="AS26" s="32">
        <f t="shared" si="10"/>
        <v>1348658.4200996351</v>
      </c>
      <c r="AT26" s="32">
        <f t="shared" si="10"/>
        <v>1322214.1373525835</v>
      </c>
      <c r="AU26" s="32">
        <f t="shared" si="10"/>
        <v>1296288.3699535136</v>
      </c>
      <c r="AV26" s="32">
        <f t="shared" si="11"/>
        <v>1270870.9509348171</v>
      </c>
      <c r="AW26" s="32">
        <f t="shared" si="11"/>
        <v>0</v>
      </c>
      <c r="AX26" s="32">
        <f t="shared" si="11"/>
        <v>0</v>
      </c>
      <c r="AY26" s="32">
        <f t="shared" si="11"/>
        <v>0</v>
      </c>
      <c r="AZ26" s="32">
        <f t="shared" si="11"/>
        <v>0</v>
      </c>
      <c r="BA26" s="32">
        <f t="shared" si="11"/>
        <v>0</v>
      </c>
      <c r="BB26" s="32">
        <f t="shared" si="11"/>
        <v>0</v>
      </c>
      <c r="BC26" s="32">
        <f t="shared" si="11"/>
        <v>0</v>
      </c>
      <c r="BD26" s="32">
        <f t="shared" si="11"/>
        <v>0</v>
      </c>
      <c r="BE26" s="32">
        <f t="shared" si="11"/>
        <v>0</v>
      </c>
      <c r="BF26" s="32">
        <f t="shared" si="11"/>
        <v>0</v>
      </c>
    </row>
    <row r="27" spans="3:58" x14ac:dyDescent="0.2">
      <c r="C27" s="8" t="str">
        <v>Denmark</v>
      </c>
      <c r="D27" s="56" t="str">
        <v>Europe &amp; Central Asia</v>
      </c>
      <c r="E27" s="39">
        <f t="shared" si="0"/>
        <v>56474.872750000002</v>
      </c>
      <c r="F27" s="141">
        <f t="shared" si="6"/>
        <v>1258332.0209716826</v>
      </c>
      <c r="H27" s="32">
        <f t="shared" si="7"/>
        <v>56474.872750000002</v>
      </c>
      <c r="I27" s="32">
        <f t="shared" si="7"/>
        <v>55367.522303921571</v>
      </c>
      <c r="J27" s="32">
        <f t="shared" si="7"/>
        <v>54281.884611687812</v>
      </c>
      <c r="K27" s="32">
        <f t="shared" si="7"/>
        <v>53217.533933027276</v>
      </c>
      <c r="L27" s="32">
        <f t="shared" si="7"/>
        <v>52174.052875516929</v>
      </c>
      <c r="M27" s="32">
        <f t="shared" si="7"/>
        <v>51151.032230898949</v>
      </c>
      <c r="N27" s="32">
        <f t="shared" si="7"/>
        <v>50148.070814606814</v>
      </c>
      <c r="O27" s="32">
        <f t="shared" si="7"/>
        <v>49164.77530843806</v>
      </c>
      <c r="P27" s="32">
        <f t="shared" si="7"/>
        <v>48200.76010631182</v>
      </c>
      <c r="Q27" s="32">
        <f t="shared" si="7"/>
        <v>47255.647163050802</v>
      </c>
      <c r="R27" s="32">
        <f t="shared" si="8"/>
        <v>46329.065846128236</v>
      </c>
      <c r="S27" s="32">
        <f t="shared" si="8"/>
        <v>45420.652790321808</v>
      </c>
      <c r="T27" s="32">
        <f t="shared" si="8"/>
        <v>44530.051755217457</v>
      </c>
      <c r="U27" s="32">
        <f t="shared" si="8"/>
        <v>43656.913485507313</v>
      </c>
      <c r="V27" s="32">
        <f t="shared" si="8"/>
        <v>42800.89557402677</v>
      </c>
      <c r="W27" s="32">
        <f t="shared" si="8"/>
        <v>41961.662327477236</v>
      </c>
      <c r="X27" s="32">
        <f t="shared" si="8"/>
        <v>41138.8846347816</v>
      </c>
      <c r="Y27" s="32">
        <f t="shared" si="8"/>
        <v>40332.239838021174</v>
      </c>
      <c r="Z27" s="32">
        <f t="shared" si="8"/>
        <v>39541.411605903115</v>
      </c>
      <c r="AA27" s="32">
        <f t="shared" si="8"/>
        <v>38766.089809708938</v>
      </c>
      <c r="AB27" s="32">
        <f t="shared" si="9"/>
        <v>38005.970401675426</v>
      </c>
      <c r="AC27" s="32">
        <f t="shared" si="9"/>
        <v>37260.755295760224</v>
      </c>
      <c r="AD27" s="32">
        <f t="shared" si="9"/>
        <v>36530.152250745312</v>
      </c>
      <c r="AE27" s="32">
        <f t="shared" si="9"/>
        <v>35813.874755632671</v>
      </c>
      <c r="AF27" s="32">
        <f t="shared" si="9"/>
        <v>35111.641917286928</v>
      </c>
      <c r="AG27" s="32">
        <f t="shared" si="9"/>
        <v>34423.178350281298</v>
      </c>
      <c r="AH27" s="32">
        <f t="shared" si="9"/>
        <v>33748.214068903231</v>
      </c>
      <c r="AI27" s="32">
        <f t="shared" si="9"/>
        <v>33086.484381277682</v>
      </c>
      <c r="AJ27" s="32">
        <f t="shared" si="9"/>
        <v>32437.729785566353</v>
      </c>
      <c r="AK27" s="32">
        <f t="shared" si="9"/>
        <v>31801.695868202311</v>
      </c>
      <c r="AL27" s="32">
        <f t="shared" si="10"/>
        <v>31178.133204119909</v>
      </c>
      <c r="AM27" s="32">
        <f t="shared" si="10"/>
        <v>30566.797258941093</v>
      </c>
      <c r="AN27" s="32">
        <f t="shared" si="10"/>
        <v>29967.448293079498</v>
      </c>
      <c r="AO27" s="32">
        <f t="shared" si="10"/>
        <v>29379.851267724996</v>
      </c>
      <c r="AP27" s="32">
        <f t="shared" si="10"/>
        <v>28803.775752671569</v>
      </c>
      <c r="AQ27" s="32">
        <f t="shared" si="10"/>
        <v>28238.995835952519</v>
      </c>
      <c r="AR27" s="32">
        <f t="shared" si="10"/>
        <v>27685.29003524757</v>
      </c>
      <c r="AS27" s="32">
        <f t="shared" si="10"/>
        <v>27142.441211027024</v>
      </c>
      <c r="AT27" s="32">
        <f t="shared" si="10"/>
        <v>26610.236481399039</v>
      </c>
      <c r="AU27" s="32">
        <f t="shared" si="10"/>
        <v>26088.467138626518</v>
      </c>
      <c r="AV27" s="32">
        <f t="shared" si="11"/>
        <v>25576.928567280895</v>
      </c>
      <c r="AW27" s="32">
        <f t="shared" si="11"/>
        <v>0</v>
      </c>
      <c r="AX27" s="32">
        <f t="shared" si="11"/>
        <v>0</v>
      </c>
      <c r="AY27" s="32">
        <f t="shared" si="11"/>
        <v>0</v>
      </c>
      <c r="AZ27" s="32">
        <f t="shared" si="11"/>
        <v>0</v>
      </c>
      <c r="BA27" s="32">
        <f t="shared" si="11"/>
        <v>0</v>
      </c>
      <c r="BB27" s="32">
        <f t="shared" si="11"/>
        <v>0</v>
      </c>
      <c r="BC27" s="32">
        <f t="shared" si="11"/>
        <v>0</v>
      </c>
      <c r="BD27" s="32">
        <f t="shared" si="11"/>
        <v>0</v>
      </c>
      <c r="BE27" s="32">
        <f t="shared" si="11"/>
        <v>0</v>
      </c>
      <c r="BF27" s="32">
        <f t="shared" si="11"/>
        <v>0</v>
      </c>
    </row>
    <row r="28" spans="3:58" x14ac:dyDescent="0.2">
      <c r="C28" s="8" t="str">
        <v>Dominican Republic</v>
      </c>
      <c r="D28" s="56" t="str">
        <v>Latin America &amp; Caribbean</v>
      </c>
      <c r="E28" s="39">
        <f t="shared" si="0"/>
        <v>777189.00015225995</v>
      </c>
      <c r="F28" s="141">
        <f t="shared" si="6"/>
        <v>17316759.783908579</v>
      </c>
      <c r="H28" s="32">
        <f t="shared" si="7"/>
        <v>777189.00015225995</v>
      </c>
      <c r="I28" s="32">
        <f t="shared" si="7"/>
        <v>761950.00014927448</v>
      </c>
      <c r="J28" s="32">
        <f t="shared" si="7"/>
        <v>747009.80406791612</v>
      </c>
      <c r="K28" s="32">
        <f t="shared" si="7"/>
        <v>732362.55300776102</v>
      </c>
      <c r="L28" s="32">
        <f t="shared" si="7"/>
        <v>718002.5029487852</v>
      </c>
      <c r="M28" s="32">
        <f t="shared" si="7"/>
        <v>703924.02249880903</v>
      </c>
      <c r="N28" s="32">
        <f t="shared" si="7"/>
        <v>690121.59068510681</v>
      </c>
      <c r="O28" s="32">
        <f t="shared" si="7"/>
        <v>676589.79478932056</v>
      </c>
      <c r="P28" s="32">
        <f t="shared" si="7"/>
        <v>663323.32822482404</v>
      </c>
      <c r="Q28" s="32">
        <f t="shared" si="7"/>
        <v>650316.98845570988</v>
      </c>
      <c r="R28" s="32">
        <f t="shared" si="8"/>
        <v>637565.6749565783</v>
      </c>
      <c r="S28" s="32">
        <f t="shared" si="8"/>
        <v>625064.38721233176</v>
      </c>
      <c r="T28" s="32">
        <f t="shared" si="8"/>
        <v>612808.2227571879</v>
      </c>
      <c r="U28" s="32">
        <f t="shared" si="8"/>
        <v>600792.37525214499</v>
      </c>
      <c r="V28" s="32">
        <f t="shared" si="8"/>
        <v>589012.13260014215</v>
      </c>
      <c r="W28" s="32">
        <f t="shared" si="8"/>
        <v>577462.87509817875</v>
      </c>
      <c r="X28" s="32">
        <f t="shared" si="8"/>
        <v>566140.07362566527</v>
      </c>
      <c r="Y28" s="32">
        <f t="shared" si="8"/>
        <v>555039.28786829929</v>
      </c>
      <c r="Z28" s="32">
        <f t="shared" si="8"/>
        <v>544156.1645767641</v>
      </c>
      <c r="AA28" s="32">
        <f t="shared" si="8"/>
        <v>533486.43585957261</v>
      </c>
      <c r="AB28" s="32">
        <f t="shared" si="9"/>
        <v>523025.91750938486</v>
      </c>
      <c r="AC28" s="32">
        <f t="shared" si="9"/>
        <v>512770.50736214209</v>
      </c>
      <c r="AD28" s="32">
        <f t="shared" si="9"/>
        <v>502716.18368837453</v>
      </c>
      <c r="AE28" s="32">
        <f t="shared" si="9"/>
        <v>492859.00361605355</v>
      </c>
      <c r="AF28" s="32">
        <f t="shared" si="9"/>
        <v>483195.10158436623</v>
      </c>
      <c r="AG28" s="32">
        <f t="shared" si="9"/>
        <v>473720.68782781</v>
      </c>
      <c r="AH28" s="32">
        <f t="shared" si="9"/>
        <v>464432.04689000978</v>
      </c>
      <c r="AI28" s="32">
        <f t="shared" si="9"/>
        <v>455325.53616667632</v>
      </c>
      <c r="AJ28" s="32">
        <f t="shared" si="9"/>
        <v>446397.58447713358</v>
      </c>
      <c r="AK28" s="32">
        <f t="shared" si="9"/>
        <v>437644.69066385651</v>
      </c>
      <c r="AL28" s="32">
        <f t="shared" si="10"/>
        <v>429063.42221946712</v>
      </c>
      <c r="AM28" s="32">
        <f t="shared" si="10"/>
        <v>420650.41394065414</v>
      </c>
      <c r="AN28" s="32">
        <f t="shared" si="10"/>
        <v>412402.36660848436</v>
      </c>
      <c r="AO28" s="32">
        <f t="shared" si="10"/>
        <v>404316.04569459247</v>
      </c>
      <c r="AP28" s="32">
        <f t="shared" si="10"/>
        <v>396388.28009273775</v>
      </c>
      <c r="AQ28" s="32">
        <f t="shared" si="10"/>
        <v>388615.96087523311</v>
      </c>
      <c r="AR28" s="32">
        <f t="shared" si="10"/>
        <v>380996.04007375799</v>
      </c>
      <c r="AS28" s="32">
        <f t="shared" si="10"/>
        <v>373525.52948407637</v>
      </c>
      <c r="AT28" s="32">
        <f t="shared" si="10"/>
        <v>366201.49949419248</v>
      </c>
      <c r="AU28" s="32">
        <f t="shared" si="10"/>
        <v>359021.07793548296</v>
      </c>
      <c r="AV28" s="32">
        <f t="shared" si="11"/>
        <v>351981.4489563558</v>
      </c>
      <c r="AW28" s="32">
        <f t="shared" si="11"/>
        <v>0</v>
      </c>
      <c r="AX28" s="32">
        <f t="shared" si="11"/>
        <v>0</v>
      </c>
      <c r="AY28" s="32">
        <f t="shared" si="11"/>
        <v>0</v>
      </c>
      <c r="AZ28" s="32">
        <f t="shared" si="11"/>
        <v>0</v>
      </c>
      <c r="BA28" s="32">
        <f t="shared" si="11"/>
        <v>0</v>
      </c>
      <c r="BB28" s="32">
        <f t="shared" si="11"/>
        <v>0</v>
      </c>
      <c r="BC28" s="32">
        <f t="shared" si="11"/>
        <v>0</v>
      </c>
      <c r="BD28" s="32">
        <f t="shared" si="11"/>
        <v>0</v>
      </c>
      <c r="BE28" s="32">
        <f t="shared" si="11"/>
        <v>0</v>
      </c>
      <c r="BF28" s="32">
        <f t="shared" si="11"/>
        <v>0</v>
      </c>
    </row>
    <row r="29" spans="3:58" x14ac:dyDescent="0.2">
      <c r="C29" s="8" t="str">
        <v>Ecuador</v>
      </c>
      <c r="D29" s="56" t="str">
        <v>Latin America &amp; Caribbean</v>
      </c>
      <c r="E29" s="39">
        <f t="shared" si="0"/>
        <v>614476.49258800002</v>
      </c>
      <c r="F29" s="141">
        <f t="shared" si="6"/>
        <v>13691318.087261194</v>
      </c>
      <c r="H29" s="32">
        <f t="shared" si="7"/>
        <v>614476.49258800002</v>
      </c>
      <c r="I29" s="32">
        <f t="shared" si="7"/>
        <v>602427.93390980398</v>
      </c>
      <c r="J29" s="32">
        <f t="shared" si="7"/>
        <v>590615.62148019997</v>
      </c>
      <c r="K29" s="32">
        <f t="shared" si="7"/>
        <v>579034.92301980394</v>
      </c>
      <c r="L29" s="32">
        <f t="shared" si="7"/>
        <v>567681.29707823915</v>
      </c>
      <c r="M29" s="32">
        <f t="shared" si="7"/>
        <v>556550.29125317559</v>
      </c>
      <c r="N29" s="32">
        <f t="shared" si="7"/>
        <v>545637.5404442898</v>
      </c>
      <c r="O29" s="32">
        <f t="shared" si="7"/>
        <v>534938.7651414607</v>
      </c>
      <c r="P29" s="32">
        <f t="shared" si="7"/>
        <v>524449.76974652999</v>
      </c>
      <c r="Q29" s="32">
        <f t="shared" si="7"/>
        <v>514166.44092797057</v>
      </c>
      <c r="R29" s="32">
        <f t="shared" si="8"/>
        <v>504084.7460078143</v>
      </c>
      <c r="S29" s="32">
        <f t="shared" si="8"/>
        <v>494200.7313802102</v>
      </c>
      <c r="T29" s="32">
        <f t="shared" si="8"/>
        <v>484510.52096099028</v>
      </c>
      <c r="U29" s="32">
        <f t="shared" si="8"/>
        <v>475010.31466763758</v>
      </c>
      <c r="V29" s="32">
        <f t="shared" si="8"/>
        <v>465696.38692905637</v>
      </c>
      <c r="W29" s="32">
        <f t="shared" si="8"/>
        <v>456565.08522456523</v>
      </c>
      <c r="X29" s="32">
        <f t="shared" si="8"/>
        <v>447612.82865153445</v>
      </c>
      <c r="Y29" s="32">
        <f t="shared" si="8"/>
        <v>438836.10652111215</v>
      </c>
      <c r="Z29" s="32">
        <f t="shared" si="8"/>
        <v>430231.47698148258</v>
      </c>
      <c r="AA29" s="32">
        <f t="shared" si="8"/>
        <v>421795.56566812017</v>
      </c>
      <c r="AB29" s="32">
        <f t="shared" si="9"/>
        <v>413525.06438050995</v>
      </c>
      <c r="AC29" s="32">
        <f t="shared" si="9"/>
        <v>405416.72978481371</v>
      </c>
      <c r="AD29" s="32">
        <f t="shared" si="9"/>
        <v>397467.38214197417</v>
      </c>
      <c r="AE29" s="32">
        <f t="shared" si="9"/>
        <v>389673.90406075906</v>
      </c>
      <c r="AF29" s="32">
        <f t="shared" si="9"/>
        <v>382033.23927525396</v>
      </c>
      <c r="AG29" s="32">
        <f t="shared" si="9"/>
        <v>374542.39144632744</v>
      </c>
      <c r="AH29" s="32">
        <f t="shared" si="9"/>
        <v>367198.42298659548</v>
      </c>
      <c r="AI29" s="32">
        <f t="shared" si="9"/>
        <v>359998.45390842698</v>
      </c>
      <c r="AJ29" s="32">
        <f t="shared" si="9"/>
        <v>352939.66069453623</v>
      </c>
      <c r="AK29" s="32">
        <f t="shared" si="9"/>
        <v>346019.27519072185</v>
      </c>
      <c r="AL29" s="32">
        <f t="shared" si="10"/>
        <v>339234.58352031547</v>
      </c>
      <c r="AM29" s="32">
        <f t="shared" si="10"/>
        <v>332582.92501991719</v>
      </c>
      <c r="AN29" s="32">
        <f t="shared" si="10"/>
        <v>326061.69119599723</v>
      </c>
      <c r="AO29" s="32">
        <f t="shared" si="10"/>
        <v>319668.32470195804</v>
      </c>
      <c r="AP29" s="32">
        <f t="shared" si="10"/>
        <v>313400.31833525299</v>
      </c>
      <c r="AQ29" s="32">
        <f t="shared" si="10"/>
        <v>307255.2140541696</v>
      </c>
      <c r="AR29" s="32">
        <f t="shared" si="10"/>
        <v>301230.6020138918</v>
      </c>
      <c r="AS29" s="32">
        <f t="shared" si="10"/>
        <v>295324.11962146248</v>
      </c>
      <c r="AT29" s="32">
        <f t="shared" si="10"/>
        <v>289533.45060927694</v>
      </c>
      <c r="AU29" s="32">
        <f t="shared" si="10"/>
        <v>283856.3241267422</v>
      </c>
      <c r="AV29" s="32">
        <f t="shared" si="11"/>
        <v>278290.51384974719</v>
      </c>
      <c r="AW29" s="32">
        <f t="shared" si="11"/>
        <v>0</v>
      </c>
      <c r="AX29" s="32">
        <f t="shared" si="11"/>
        <v>0</v>
      </c>
      <c r="AY29" s="32">
        <f t="shared" si="11"/>
        <v>0</v>
      </c>
      <c r="AZ29" s="32">
        <f t="shared" si="11"/>
        <v>0</v>
      </c>
      <c r="BA29" s="32">
        <f t="shared" si="11"/>
        <v>0</v>
      </c>
      <c r="BB29" s="32">
        <f t="shared" si="11"/>
        <v>0</v>
      </c>
      <c r="BC29" s="32">
        <f t="shared" si="11"/>
        <v>0</v>
      </c>
      <c r="BD29" s="32">
        <f t="shared" si="11"/>
        <v>0</v>
      </c>
      <c r="BE29" s="32">
        <f t="shared" si="11"/>
        <v>0</v>
      </c>
      <c r="BF29" s="32">
        <f t="shared" si="11"/>
        <v>0</v>
      </c>
    </row>
    <row r="30" spans="3:58" x14ac:dyDescent="0.2">
      <c r="C30" s="8" t="str">
        <v>Egypt, Arab Rep.</v>
      </c>
      <c r="D30" s="56" t="str">
        <v>Middle East &amp; North Africa</v>
      </c>
      <c r="E30" s="39">
        <f t="shared" si="0"/>
        <v>1470000.0000000002</v>
      </c>
      <c r="F30" s="141">
        <f t="shared" si="6"/>
        <v>32753470.362239525</v>
      </c>
      <c r="H30" s="32">
        <f t="shared" si="7"/>
        <v>1470000.0000000002</v>
      </c>
      <c r="I30" s="32">
        <f t="shared" si="7"/>
        <v>1441176.4705882354</v>
      </c>
      <c r="J30" s="32">
        <f t="shared" si="7"/>
        <v>1412918.1084198388</v>
      </c>
      <c r="K30" s="32">
        <f t="shared" si="7"/>
        <v>1385213.8317841557</v>
      </c>
      <c r="L30" s="32">
        <f t="shared" si="7"/>
        <v>1358052.7762589762</v>
      </c>
      <c r="M30" s="32">
        <f t="shared" si="7"/>
        <v>1331424.2904499765</v>
      </c>
      <c r="N30" s="32">
        <f t="shared" si="7"/>
        <v>1305317.9318137025</v>
      </c>
      <c r="O30" s="32">
        <f t="shared" si="7"/>
        <v>1279723.4625624537</v>
      </c>
      <c r="P30" s="32">
        <f t="shared" si="7"/>
        <v>1254630.8456494643</v>
      </c>
      <c r="Q30" s="32">
        <f t="shared" si="7"/>
        <v>1230030.2408328082</v>
      </c>
      <c r="R30" s="32">
        <f t="shared" si="8"/>
        <v>1205912.0008164784</v>
      </c>
      <c r="S30" s="32">
        <f t="shared" si="8"/>
        <v>1182266.6674671359</v>
      </c>
      <c r="T30" s="32">
        <f t="shared" si="8"/>
        <v>1159084.9681050351</v>
      </c>
      <c r="U30" s="32">
        <f t="shared" si="8"/>
        <v>1136357.8118676816</v>
      </c>
      <c r="V30" s="32">
        <f t="shared" si="8"/>
        <v>1114076.2861447856</v>
      </c>
      <c r="W30" s="32">
        <f t="shared" si="8"/>
        <v>1092231.6530831235</v>
      </c>
      <c r="X30" s="32">
        <f t="shared" si="8"/>
        <v>1070815.3461599248</v>
      </c>
      <c r="Y30" s="32">
        <f t="shared" si="8"/>
        <v>1049818.9668234556</v>
      </c>
      <c r="Z30" s="32">
        <f t="shared" si="8"/>
        <v>1029234.2811994664</v>
      </c>
      <c r="AA30" s="32">
        <f t="shared" si="8"/>
        <v>1009053.2168622221</v>
      </c>
      <c r="AB30" s="32">
        <f t="shared" si="9"/>
        <v>989267.85966884508</v>
      </c>
      <c r="AC30" s="32">
        <f t="shared" si="9"/>
        <v>969870.45065573044</v>
      </c>
      <c r="AD30" s="32">
        <f t="shared" si="9"/>
        <v>950853.3829958142</v>
      </c>
      <c r="AE30" s="32">
        <f t="shared" si="9"/>
        <v>932209.19901550421</v>
      </c>
      <c r="AF30" s="32">
        <f t="shared" si="9"/>
        <v>913930.58727010211</v>
      </c>
      <c r="AG30" s="32">
        <f t="shared" si="9"/>
        <v>896010.37967657077</v>
      </c>
      <c r="AH30" s="32">
        <f t="shared" si="9"/>
        <v>878441.5487025202</v>
      </c>
      <c r="AI30" s="32">
        <f t="shared" si="9"/>
        <v>861217.2046103141</v>
      </c>
      <c r="AJ30" s="32">
        <f t="shared" si="9"/>
        <v>844330.59275520977</v>
      </c>
      <c r="AK30" s="32">
        <f t="shared" si="9"/>
        <v>827775.09093648021</v>
      </c>
      <c r="AL30" s="32">
        <f t="shared" si="10"/>
        <v>811544.20680047083</v>
      </c>
      <c r="AM30" s="32">
        <f t="shared" si="10"/>
        <v>795631.57529457938</v>
      </c>
      <c r="AN30" s="32">
        <f t="shared" si="10"/>
        <v>780030.95617115614</v>
      </c>
      <c r="AO30" s="32">
        <f t="shared" si="10"/>
        <v>764736.23154034908</v>
      </c>
      <c r="AP30" s="32">
        <f t="shared" si="10"/>
        <v>749741.40347093053</v>
      </c>
      <c r="AQ30" s="32">
        <f t="shared" si="10"/>
        <v>735040.59163816716</v>
      </c>
      <c r="AR30" s="32">
        <f t="shared" si="10"/>
        <v>720628.03101781104</v>
      </c>
      <c r="AS30" s="32">
        <f t="shared" si="10"/>
        <v>706498.06962530478</v>
      </c>
      <c r="AT30" s="32">
        <f t="shared" si="10"/>
        <v>692645.16629931843</v>
      </c>
      <c r="AU30" s="32">
        <f t="shared" si="10"/>
        <v>679063.88852874376</v>
      </c>
      <c r="AV30" s="32">
        <f t="shared" si="11"/>
        <v>665748.9103222976</v>
      </c>
      <c r="AW30" s="32">
        <f t="shared" si="11"/>
        <v>0</v>
      </c>
      <c r="AX30" s="32">
        <f t="shared" si="11"/>
        <v>0</v>
      </c>
      <c r="AY30" s="32">
        <f t="shared" si="11"/>
        <v>0</v>
      </c>
      <c r="AZ30" s="32">
        <f t="shared" si="11"/>
        <v>0</v>
      </c>
      <c r="BA30" s="32">
        <f t="shared" si="11"/>
        <v>0</v>
      </c>
      <c r="BB30" s="32">
        <f t="shared" si="11"/>
        <v>0</v>
      </c>
      <c r="BC30" s="32">
        <f t="shared" si="11"/>
        <v>0</v>
      </c>
      <c r="BD30" s="32">
        <f t="shared" si="11"/>
        <v>0</v>
      </c>
      <c r="BE30" s="32">
        <f t="shared" si="11"/>
        <v>0</v>
      </c>
      <c r="BF30" s="32">
        <f t="shared" si="11"/>
        <v>0</v>
      </c>
    </row>
    <row r="31" spans="3:58" x14ac:dyDescent="0.2">
      <c r="C31" s="8" t="str">
        <v>Estonia</v>
      </c>
      <c r="D31" s="56" t="str">
        <v>Europe &amp; Central Asia</v>
      </c>
      <c r="E31" s="39">
        <f t="shared" si="0"/>
        <v>99321.927744519999</v>
      </c>
      <c r="F31" s="141">
        <f t="shared" si="6"/>
        <v>2213018.9229255994</v>
      </c>
      <c r="H31" s="32">
        <f t="shared" si="7"/>
        <v>99321.927744519999</v>
      </c>
      <c r="I31" s="32">
        <f t="shared" si="7"/>
        <v>97374.438965215682</v>
      </c>
      <c r="J31" s="32">
        <f t="shared" si="7"/>
        <v>95465.136240407533</v>
      </c>
      <c r="K31" s="32">
        <f t="shared" si="7"/>
        <v>93593.270823928964</v>
      </c>
      <c r="L31" s="32">
        <f t="shared" si="7"/>
        <v>91758.108650910741</v>
      </c>
      <c r="M31" s="32">
        <f t="shared" si="7"/>
        <v>89958.930049912495</v>
      </c>
      <c r="N31" s="32">
        <f t="shared" si="7"/>
        <v>88195.029460698512</v>
      </c>
      <c r="O31" s="32">
        <f t="shared" si="7"/>
        <v>86465.715157547587</v>
      </c>
      <c r="P31" s="32">
        <f t="shared" si="7"/>
        <v>84770.308977987821</v>
      </c>
      <c r="Q31" s="32">
        <f t="shared" si="7"/>
        <v>83108.146056850805</v>
      </c>
      <c r="R31" s="32">
        <f t="shared" si="8"/>
        <v>81478.574565539995</v>
      </c>
      <c r="S31" s="32">
        <f t="shared" si="8"/>
        <v>79880.955456411772</v>
      </c>
      <c r="T31" s="32">
        <f t="shared" si="8"/>
        <v>78314.66221216839</v>
      </c>
      <c r="U31" s="32">
        <f t="shared" si="8"/>
        <v>76779.080600165093</v>
      </c>
      <c r="V31" s="32">
        <f t="shared" si="8"/>
        <v>75273.608431534405</v>
      </c>
      <c r="W31" s="32">
        <f t="shared" si="8"/>
        <v>73797.655325033746</v>
      </c>
      <c r="X31" s="32">
        <f t="shared" si="8"/>
        <v>72350.642475523273</v>
      </c>
      <c r="Y31" s="32">
        <f t="shared" si="8"/>
        <v>70932.002426983599</v>
      </c>
      <c r="Z31" s="32">
        <f t="shared" si="8"/>
        <v>69541.178849983917</v>
      </c>
      <c r="AA31" s="32">
        <f t="shared" si="8"/>
        <v>68177.626323513658</v>
      </c>
      <c r="AB31" s="32">
        <f t="shared" si="9"/>
        <v>66840.81012109181</v>
      </c>
      <c r="AC31" s="32">
        <f t="shared" si="9"/>
        <v>65530.206001070408</v>
      </c>
      <c r="AD31" s="32">
        <f t="shared" si="9"/>
        <v>64245.300001049414</v>
      </c>
      <c r="AE31" s="32">
        <f t="shared" si="9"/>
        <v>62985.588236322968</v>
      </c>
      <c r="AF31" s="32">
        <f t="shared" si="9"/>
        <v>61750.576702277416</v>
      </c>
      <c r="AG31" s="32">
        <f t="shared" si="9"/>
        <v>60539.781080664136</v>
      </c>
      <c r="AH31" s="32">
        <f t="shared" si="9"/>
        <v>59352.726549670711</v>
      </c>
      <c r="AI31" s="32">
        <f t="shared" si="9"/>
        <v>58188.947597716397</v>
      </c>
      <c r="AJ31" s="32">
        <f t="shared" si="9"/>
        <v>57047.987840898415</v>
      </c>
      <c r="AK31" s="32">
        <f t="shared" si="9"/>
        <v>55929.399844018059</v>
      </c>
      <c r="AL31" s="32">
        <f t="shared" si="10"/>
        <v>54832.744945115744</v>
      </c>
      <c r="AM31" s="32">
        <f t="shared" si="10"/>
        <v>53757.593083446816</v>
      </c>
      <c r="AN31" s="32">
        <f t="shared" si="10"/>
        <v>52703.522630830201</v>
      </c>
      <c r="AO31" s="32">
        <f t="shared" si="10"/>
        <v>51670.12022630412</v>
      </c>
      <c r="AP31" s="32">
        <f t="shared" si="10"/>
        <v>50656.980614023647</v>
      </c>
      <c r="AQ31" s="32">
        <f t="shared" si="10"/>
        <v>49663.706484336915</v>
      </c>
      <c r="AR31" s="32">
        <f t="shared" si="10"/>
        <v>48689.908317977366</v>
      </c>
      <c r="AS31" s="32">
        <f t="shared" si="10"/>
        <v>47735.204233311139</v>
      </c>
      <c r="AT31" s="32">
        <f t="shared" si="10"/>
        <v>46799.219836579541</v>
      </c>
      <c r="AU31" s="32">
        <f t="shared" si="10"/>
        <v>45881.588075077998</v>
      </c>
      <c r="AV31" s="32">
        <f t="shared" si="11"/>
        <v>44981.949093213712</v>
      </c>
      <c r="AW31" s="32">
        <f t="shared" si="11"/>
        <v>0</v>
      </c>
      <c r="AX31" s="32">
        <f t="shared" si="11"/>
        <v>0</v>
      </c>
      <c r="AY31" s="32">
        <f t="shared" si="11"/>
        <v>0</v>
      </c>
      <c r="AZ31" s="32">
        <f t="shared" si="11"/>
        <v>0</v>
      </c>
      <c r="BA31" s="32">
        <f t="shared" si="11"/>
        <v>0</v>
      </c>
      <c r="BB31" s="32">
        <f t="shared" si="11"/>
        <v>0</v>
      </c>
      <c r="BC31" s="32">
        <f t="shared" si="11"/>
        <v>0</v>
      </c>
      <c r="BD31" s="32">
        <f t="shared" si="11"/>
        <v>0</v>
      </c>
      <c r="BE31" s="32">
        <f t="shared" si="11"/>
        <v>0</v>
      </c>
      <c r="BF31" s="32">
        <f t="shared" si="11"/>
        <v>0</v>
      </c>
    </row>
    <row r="32" spans="3:58" x14ac:dyDescent="0.2">
      <c r="C32" s="8" t="str">
        <v>Finland</v>
      </c>
      <c r="D32" s="56" t="str">
        <v>Europe &amp; Central Asia</v>
      </c>
      <c r="E32" s="39">
        <f t="shared" si="0"/>
        <v>359629.69102500001</v>
      </c>
      <c r="F32" s="141">
        <f t="shared" si="6"/>
        <v>8013007.0927678207</v>
      </c>
      <c r="H32" s="32">
        <f t="shared" si="7"/>
        <v>359629.69102500001</v>
      </c>
      <c r="I32" s="32">
        <f t="shared" si="7"/>
        <v>352578.12845588237</v>
      </c>
      <c r="J32" s="32">
        <f t="shared" si="7"/>
        <v>345664.83181949251</v>
      </c>
      <c r="K32" s="32">
        <f t="shared" si="7"/>
        <v>338887.0900191103</v>
      </c>
      <c r="L32" s="32">
        <f t="shared" si="7"/>
        <v>332242.24511677481</v>
      </c>
      <c r="M32" s="32">
        <f t="shared" si="7"/>
        <v>325727.6912909557</v>
      </c>
      <c r="N32" s="32">
        <f t="shared" si="7"/>
        <v>319340.87381466245</v>
      </c>
      <c r="O32" s="32">
        <f t="shared" si="7"/>
        <v>313079.28805359069</v>
      </c>
      <c r="P32" s="32">
        <f t="shared" si="7"/>
        <v>306940.47848391242</v>
      </c>
      <c r="Q32" s="32">
        <f t="shared" si="7"/>
        <v>300922.03772932588</v>
      </c>
      <c r="R32" s="32">
        <f t="shared" si="8"/>
        <v>295021.60561698617</v>
      </c>
      <c r="S32" s="32">
        <f t="shared" si="8"/>
        <v>289236.86825194728</v>
      </c>
      <c r="T32" s="32">
        <f t="shared" si="8"/>
        <v>283565.55710975215</v>
      </c>
      <c r="U32" s="32">
        <f t="shared" si="8"/>
        <v>278005.44814681588</v>
      </c>
      <c r="V32" s="32">
        <f t="shared" si="8"/>
        <v>272554.36092825083</v>
      </c>
      <c r="W32" s="32">
        <f t="shared" si="8"/>
        <v>267210.15777279501</v>
      </c>
      <c r="X32" s="32">
        <f t="shared" si="8"/>
        <v>261970.74291450487</v>
      </c>
      <c r="Y32" s="32">
        <f t="shared" si="8"/>
        <v>256834.0616808871</v>
      </c>
      <c r="Z32" s="32">
        <f t="shared" si="8"/>
        <v>251798.09968714425</v>
      </c>
      <c r="AA32" s="32">
        <f t="shared" si="8"/>
        <v>246860.88204621983</v>
      </c>
      <c r="AB32" s="32">
        <f t="shared" si="9"/>
        <v>242020.47259433317</v>
      </c>
      <c r="AC32" s="32">
        <f t="shared" si="9"/>
        <v>237274.9731316992</v>
      </c>
      <c r="AD32" s="32">
        <f t="shared" si="9"/>
        <v>232622.52267813645</v>
      </c>
      <c r="AE32" s="32">
        <f t="shared" si="9"/>
        <v>228061.29674327109</v>
      </c>
      <c r="AF32" s="32">
        <f t="shared" si="9"/>
        <v>223589.50661105005</v>
      </c>
      <c r="AG32" s="32">
        <f t="shared" si="9"/>
        <v>219205.39863828439</v>
      </c>
      <c r="AH32" s="32">
        <f t="shared" si="9"/>
        <v>214907.25356694544</v>
      </c>
      <c r="AI32" s="32">
        <f t="shared" si="9"/>
        <v>210693.38584994656</v>
      </c>
      <c r="AJ32" s="32">
        <f t="shared" si="9"/>
        <v>206562.14299014362</v>
      </c>
      <c r="AK32" s="32">
        <f t="shared" si="9"/>
        <v>202511.90489229772</v>
      </c>
      <c r="AL32" s="32">
        <f t="shared" si="10"/>
        <v>198541.08322774284</v>
      </c>
      <c r="AM32" s="32">
        <f t="shared" si="10"/>
        <v>194648.12081151264</v>
      </c>
      <c r="AN32" s="32">
        <f t="shared" si="10"/>
        <v>190831.49099167902</v>
      </c>
      <c r="AO32" s="32">
        <f t="shared" si="10"/>
        <v>187089.69705066568</v>
      </c>
      <c r="AP32" s="32">
        <f t="shared" si="10"/>
        <v>183421.27161829971</v>
      </c>
      <c r="AQ32" s="32">
        <f t="shared" si="10"/>
        <v>179824.77609637225</v>
      </c>
      <c r="AR32" s="32">
        <f t="shared" si="10"/>
        <v>176298.80009448263</v>
      </c>
      <c r="AS32" s="32">
        <f t="shared" si="10"/>
        <v>172841.96087694372</v>
      </c>
      <c r="AT32" s="32">
        <f t="shared" si="10"/>
        <v>169452.90282053305</v>
      </c>
      <c r="AU32" s="32">
        <f t="shared" si="10"/>
        <v>166130.29688287558</v>
      </c>
      <c r="AV32" s="32">
        <f t="shared" si="11"/>
        <v>162872.84008125056</v>
      </c>
      <c r="AW32" s="32">
        <f t="shared" si="11"/>
        <v>0</v>
      </c>
      <c r="AX32" s="32">
        <f t="shared" si="11"/>
        <v>0</v>
      </c>
      <c r="AY32" s="32">
        <f t="shared" si="11"/>
        <v>0</v>
      </c>
      <c r="AZ32" s="32">
        <f t="shared" si="11"/>
        <v>0</v>
      </c>
      <c r="BA32" s="32">
        <f t="shared" si="11"/>
        <v>0</v>
      </c>
      <c r="BB32" s="32">
        <f t="shared" si="11"/>
        <v>0</v>
      </c>
      <c r="BC32" s="32">
        <f t="shared" si="11"/>
        <v>0</v>
      </c>
      <c r="BD32" s="32">
        <f t="shared" si="11"/>
        <v>0</v>
      </c>
      <c r="BE32" s="32">
        <f t="shared" si="11"/>
        <v>0</v>
      </c>
      <c r="BF32" s="32">
        <f t="shared" si="11"/>
        <v>0</v>
      </c>
    </row>
    <row r="33" spans="3:58" x14ac:dyDescent="0.2">
      <c r="C33" s="8" t="str">
        <v>France</v>
      </c>
      <c r="D33" s="56" t="str">
        <v>Europe &amp; Central Asia</v>
      </c>
      <c r="E33" s="39">
        <f t="shared" si="0"/>
        <v>9473845.796000002</v>
      </c>
      <c r="F33" s="141">
        <f t="shared" si="6"/>
        <v>211089338.43245825</v>
      </c>
      <c r="H33" s="32">
        <f t="shared" ref="H33:Q42" si="12">IFERROR(IF(H$11&lt;=$F$3,$E33/(1+$I$3)^H$11,0),"No value")</f>
        <v>9473845.796000002</v>
      </c>
      <c r="I33" s="32">
        <f t="shared" si="12"/>
        <v>9288084.1137254927</v>
      </c>
      <c r="J33" s="32">
        <f t="shared" si="12"/>
        <v>9105964.8173779342</v>
      </c>
      <c r="K33" s="32">
        <f t="shared" si="12"/>
        <v>8927416.4876254257</v>
      </c>
      <c r="L33" s="32">
        <f t="shared" si="12"/>
        <v>8752369.1055151224</v>
      </c>
      <c r="M33" s="32">
        <f t="shared" si="12"/>
        <v>8580754.0250148252</v>
      </c>
      <c r="N33" s="32">
        <f t="shared" si="12"/>
        <v>8412503.9460929669</v>
      </c>
      <c r="O33" s="32">
        <f t="shared" si="12"/>
        <v>8247552.8883264391</v>
      </c>
      <c r="P33" s="32">
        <f t="shared" si="12"/>
        <v>8085836.1650259197</v>
      </c>
      <c r="Q33" s="32">
        <f t="shared" si="12"/>
        <v>7927290.3578685494</v>
      </c>
      <c r="R33" s="32">
        <f t="shared" ref="R33:AA42" si="13">IFERROR(IF(R$11&lt;=$F$3,$E33/(1+$I$3)^R$11,0),"No value")</f>
        <v>7771853.2920279885</v>
      </c>
      <c r="S33" s="32">
        <f t="shared" si="13"/>
        <v>7619464.0117921475</v>
      </c>
      <c r="T33" s="32">
        <f t="shared" si="13"/>
        <v>7470062.7566589667</v>
      </c>
      <c r="U33" s="32">
        <f t="shared" si="13"/>
        <v>7323590.9379009483</v>
      </c>
      <c r="V33" s="32">
        <f t="shared" si="13"/>
        <v>7179991.1155891642</v>
      </c>
      <c r="W33" s="32">
        <f t="shared" si="13"/>
        <v>7039206.9760678103</v>
      </c>
      <c r="X33" s="32">
        <f t="shared" si="13"/>
        <v>6901183.3098704005</v>
      </c>
      <c r="Y33" s="32">
        <f t="shared" si="13"/>
        <v>6765865.9900690196</v>
      </c>
      <c r="Z33" s="32">
        <f t="shared" si="13"/>
        <v>6633201.9510480594</v>
      </c>
      <c r="AA33" s="32">
        <f t="shared" si="13"/>
        <v>6503139.1676941765</v>
      </c>
      <c r="AB33" s="32">
        <f t="shared" ref="AB33:AK42" si="14">IFERROR(IF(AB$11&lt;=$F$3,$E33/(1+$I$3)^AB$11,0),"No value")</f>
        <v>6375626.6349942898</v>
      </c>
      <c r="AC33" s="32">
        <f t="shared" si="14"/>
        <v>6250614.3480336182</v>
      </c>
      <c r="AD33" s="32">
        <f t="shared" si="14"/>
        <v>6128053.2823858997</v>
      </c>
      <c r="AE33" s="32">
        <f t="shared" si="14"/>
        <v>6007895.3748881379</v>
      </c>
      <c r="AF33" s="32">
        <f t="shared" si="14"/>
        <v>5890093.5047922917</v>
      </c>
      <c r="AG33" s="32">
        <f t="shared" si="14"/>
        <v>5774601.4752865601</v>
      </c>
      <c r="AH33" s="32">
        <f t="shared" si="14"/>
        <v>5661373.9953789804</v>
      </c>
      <c r="AI33" s="32">
        <f t="shared" si="14"/>
        <v>5550366.6621362558</v>
      </c>
      <c r="AJ33" s="32">
        <f t="shared" si="14"/>
        <v>5441535.9432708379</v>
      </c>
      <c r="AK33" s="32">
        <f t="shared" si="14"/>
        <v>5334839.1600694498</v>
      </c>
      <c r="AL33" s="32">
        <f t="shared" ref="AL33:AU42" si="15">IFERROR(IF(AL$11&lt;=$F$3,$E33/(1+$I$3)^AL$11,0),"No value")</f>
        <v>5230234.4706563232</v>
      </c>
      <c r="AM33" s="32">
        <f t="shared" si="15"/>
        <v>5127680.8535846313</v>
      </c>
      <c r="AN33" s="32">
        <f t="shared" si="15"/>
        <v>5027138.0917496383</v>
      </c>
      <c r="AO33" s="32">
        <f t="shared" si="15"/>
        <v>4928566.7566172918</v>
      </c>
      <c r="AP33" s="32">
        <f t="shared" si="15"/>
        <v>4831928.1927620508</v>
      </c>
      <c r="AQ33" s="32">
        <f t="shared" si="15"/>
        <v>4737184.502707893</v>
      </c>
      <c r="AR33" s="32">
        <f t="shared" si="15"/>
        <v>4644298.5320665622</v>
      </c>
      <c r="AS33" s="32">
        <f t="shared" si="15"/>
        <v>4553233.8549672179</v>
      </c>
      <c r="AT33" s="32">
        <f t="shared" si="15"/>
        <v>4463954.759771781</v>
      </c>
      <c r="AU33" s="32">
        <f t="shared" si="15"/>
        <v>4376426.2350703757</v>
      </c>
      <c r="AV33" s="32">
        <f t="shared" ref="AV33:BF42" si="16">IFERROR(IF(AV$11&lt;=$F$3,$E33/(1+$I$3)^AV$11,0),"No value")</f>
        <v>4290613.9559513479</v>
      </c>
      <c r="AW33" s="32">
        <f t="shared" si="16"/>
        <v>0</v>
      </c>
      <c r="AX33" s="32">
        <f t="shared" si="16"/>
        <v>0</v>
      </c>
      <c r="AY33" s="32">
        <f t="shared" si="16"/>
        <v>0</v>
      </c>
      <c r="AZ33" s="32">
        <f t="shared" si="16"/>
        <v>0</v>
      </c>
      <c r="BA33" s="32">
        <f t="shared" si="16"/>
        <v>0</v>
      </c>
      <c r="BB33" s="32">
        <f t="shared" si="16"/>
        <v>0</v>
      </c>
      <c r="BC33" s="32">
        <f t="shared" si="16"/>
        <v>0</v>
      </c>
      <c r="BD33" s="32">
        <f t="shared" si="16"/>
        <v>0</v>
      </c>
      <c r="BE33" s="32">
        <f t="shared" si="16"/>
        <v>0</v>
      </c>
      <c r="BF33" s="32">
        <f t="shared" si="16"/>
        <v>0</v>
      </c>
    </row>
    <row r="34" spans="3:58" x14ac:dyDescent="0.2">
      <c r="C34" s="8" t="str">
        <v>Germany</v>
      </c>
      <c r="D34" s="56" t="str">
        <v>Europe &amp; Central Asia</v>
      </c>
      <c r="E34" s="39">
        <f t="shared" si="0"/>
        <v>1129001.6348000001</v>
      </c>
      <c r="F34" s="141">
        <f t="shared" si="6"/>
        <v>25155592.914518215</v>
      </c>
      <c r="H34" s="32">
        <f t="shared" si="12"/>
        <v>1129001.6348000001</v>
      </c>
      <c r="I34" s="32">
        <f t="shared" si="12"/>
        <v>1106864.3478431373</v>
      </c>
      <c r="J34" s="32">
        <f t="shared" si="12"/>
        <v>1085161.1253364091</v>
      </c>
      <c r="K34" s="32">
        <f t="shared" si="12"/>
        <v>1063883.456212166</v>
      </c>
      <c r="L34" s="32">
        <f t="shared" si="12"/>
        <v>1043022.9962864371</v>
      </c>
      <c r="M34" s="32">
        <f t="shared" si="12"/>
        <v>1022571.5649867031</v>
      </c>
      <c r="N34" s="32">
        <f t="shared" si="12"/>
        <v>1002521.1421438265</v>
      </c>
      <c r="O34" s="32">
        <f t="shared" si="12"/>
        <v>982863.86484688893</v>
      </c>
      <c r="P34" s="32">
        <f t="shared" si="12"/>
        <v>963592.02435969491</v>
      </c>
      <c r="Q34" s="32">
        <f t="shared" si="12"/>
        <v>944698.06309774017</v>
      </c>
      <c r="R34" s="32">
        <f t="shared" si="13"/>
        <v>926174.57166445104</v>
      </c>
      <c r="S34" s="32">
        <f t="shared" si="13"/>
        <v>908014.28594554041</v>
      </c>
      <c r="T34" s="32">
        <f t="shared" si="13"/>
        <v>890210.08426033356</v>
      </c>
      <c r="U34" s="32">
        <f t="shared" si="13"/>
        <v>872754.98456895456</v>
      </c>
      <c r="V34" s="32">
        <f t="shared" si="13"/>
        <v>855642.1417342691</v>
      </c>
      <c r="W34" s="32">
        <f t="shared" si="13"/>
        <v>838864.84483751899</v>
      </c>
      <c r="X34" s="32">
        <f t="shared" si="13"/>
        <v>822416.51454658702</v>
      </c>
      <c r="Y34" s="32">
        <f t="shared" si="13"/>
        <v>806290.70053586958</v>
      </c>
      <c r="Z34" s="32">
        <f t="shared" si="13"/>
        <v>790481.07895673497</v>
      </c>
      <c r="AA34" s="32">
        <f t="shared" si="13"/>
        <v>774981.44995758333</v>
      </c>
      <c r="AB34" s="32">
        <f t="shared" si="14"/>
        <v>759785.73525253264</v>
      </c>
      <c r="AC34" s="32">
        <f t="shared" si="14"/>
        <v>744887.97573777719</v>
      </c>
      <c r="AD34" s="32">
        <f t="shared" si="14"/>
        <v>730282.32915468339</v>
      </c>
      <c r="AE34" s="32">
        <f t="shared" si="14"/>
        <v>715963.06779870938</v>
      </c>
      <c r="AF34" s="32">
        <f t="shared" si="14"/>
        <v>701924.57627324446</v>
      </c>
      <c r="AG34" s="32">
        <f t="shared" si="14"/>
        <v>688161.34928749455</v>
      </c>
      <c r="AH34" s="32">
        <f t="shared" si="14"/>
        <v>674667.98949754366</v>
      </c>
      <c r="AI34" s="32">
        <f t="shared" si="14"/>
        <v>661439.20538974879</v>
      </c>
      <c r="AJ34" s="32">
        <f t="shared" si="14"/>
        <v>648469.80920563592</v>
      </c>
      <c r="AK34" s="32">
        <f t="shared" si="14"/>
        <v>635754.71490748622</v>
      </c>
      <c r="AL34" s="32">
        <f t="shared" si="15"/>
        <v>623288.93618381</v>
      </c>
      <c r="AM34" s="32">
        <f t="shared" si="15"/>
        <v>611067.5844939315</v>
      </c>
      <c r="AN34" s="32">
        <f t="shared" si="15"/>
        <v>599085.86715091311</v>
      </c>
      <c r="AO34" s="32">
        <f t="shared" si="15"/>
        <v>587339.08544207166</v>
      </c>
      <c r="AP34" s="32">
        <f t="shared" si="15"/>
        <v>575822.63278634485</v>
      </c>
      <c r="AQ34" s="32">
        <f t="shared" si="15"/>
        <v>564531.99292778911</v>
      </c>
      <c r="AR34" s="32">
        <f t="shared" si="15"/>
        <v>553462.73816449917</v>
      </c>
      <c r="AS34" s="32">
        <f t="shared" si="15"/>
        <v>542610.52761225391</v>
      </c>
      <c r="AT34" s="32">
        <f t="shared" si="15"/>
        <v>531971.10550220974</v>
      </c>
      <c r="AU34" s="32">
        <f t="shared" si="15"/>
        <v>521540.29951197049</v>
      </c>
      <c r="AV34" s="32">
        <f t="shared" si="16"/>
        <v>511314.01912938274</v>
      </c>
      <c r="AW34" s="32">
        <f t="shared" si="16"/>
        <v>0</v>
      </c>
      <c r="AX34" s="32">
        <f t="shared" si="16"/>
        <v>0</v>
      </c>
      <c r="AY34" s="32">
        <f t="shared" si="16"/>
        <v>0</v>
      </c>
      <c r="AZ34" s="32">
        <f t="shared" si="16"/>
        <v>0</v>
      </c>
      <c r="BA34" s="32">
        <f t="shared" si="16"/>
        <v>0</v>
      </c>
      <c r="BB34" s="32">
        <f t="shared" si="16"/>
        <v>0</v>
      </c>
      <c r="BC34" s="32">
        <f t="shared" si="16"/>
        <v>0</v>
      </c>
      <c r="BD34" s="32">
        <f t="shared" si="16"/>
        <v>0</v>
      </c>
      <c r="BE34" s="32">
        <f t="shared" si="16"/>
        <v>0</v>
      </c>
      <c r="BF34" s="32">
        <f t="shared" si="16"/>
        <v>0</v>
      </c>
    </row>
    <row r="35" spans="3:58" x14ac:dyDescent="0.2">
      <c r="C35" s="8" t="str">
        <v>Greece</v>
      </c>
      <c r="D35" s="56" t="str">
        <v>Europe &amp; Central Asia</v>
      </c>
      <c r="E35" s="39">
        <f t="shared" si="0"/>
        <v>4548435.5250000004</v>
      </c>
      <c r="F35" s="141">
        <f t="shared" si="6"/>
        <v>101344930.72288768</v>
      </c>
      <c r="H35" s="32">
        <f t="shared" si="12"/>
        <v>4548435.5250000004</v>
      </c>
      <c r="I35" s="32">
        <f t="shared" si="12"/>
        <v>4459250.5147058824</v>
      </c>
      <c r="J35" s="32">
        <f t="shared" si="12"/>
        <v>4371814.2301038066</v>
      </c>
      <c r="K35" s="32">
        <f t="shared" si="12"/>
        <v>4286092.3824547129</v>
      </c>
      <c r="L35" s="32">
        <f t="shared" si="12"/>
        <v>4202051.3553477572</v>
      </c>
      <c r="M35" s="32">
        <f t="shared" si="12"/>
        <v>4119658.1915174089</v>
      </c>
      <c r="N35" s="32">
        <f t="shared" si="12"/>
        <v>4038880.5799190281</v>
      </c>
      <c r="O35" s="32">
        <f t="shared" si="12"/>
        <v>3959686.8430578718</v>
      </c>
      <c r="P35" s="32">
        <f t="shared" si="12"/>
        <v>3882045.9245665404</v>
      </c>
      <c r="Q35" s="32">
        <f t="shared" si="12"/>
        <v>3805927.3770260201</v>
      </c>
      <c r="R35" s="32">
        <f t="shared" si="13"/>
        <v>3731301.3500255095</v>
      </c>
      <c r="S35" s="32">
        <f t="shared" si="13"/>
        <v>3658138.5784563827</v>
      </c>
      <c r="T35" s="32">
        <f t="shared" si="13"/>
        <v>3586410.371035669</v>
      </c>
      <c r="U35" s="32">
        <f t="shared" si="13"/>
        <v>3516088.5990545773</v>
      </c>
      <c r="V35" s="32">
        <f t="shared" si="13"/>
        <v>3447145.6853476246</v>
      </c>
      <c r="W35" s="32">
        <f t="shared" si="13"/>
        <v>3379554.5934780641</v>
      </c>
      <c r="X35" s="32">
        <f t="shared" si="13"/>
        <v>3313288.8171353564</v>
      </c>
      <c r="Y35" s="32">
        <f t="shared" si="13"/>
        <v>3248322.3697405453</v>
      </c>
      <c r="Z35" s="32">
        <f t="shared" si="13"/>
        <v>3184629.7742554368</v>
      </c>
      <c r="AA35" s="32">
        <f t="shared" si="13"/>
        <v>3122186.053191605</v>
      </c>
      <c r="AB35" s="32">
        <f t="shared" si="14"/>
        <v>3060966.7188152988</v>
      </c>
      <c r="AC35" s="32">
        <f t="shared" si="14"/>
        <v>3000947.7635444109</v>
      </c>
      <c r="AD35" s="32">
        <f t="shared" si="14"/>
        <v>2942105.6505337358</v>
      </c>
      <c r="AE35" s="32">
        <f t="shared" si="14"/>
        <v>2884417.3044448397</v>
      </c>
      <c r="AF35" s="32">
        <f t="shared" si="14"/>
        <v>2827860.1023969012</v>
      </c>
      <c r="AG35" s="32">
        <f t="shared" si="14"/>
        <v>2772411.8650950012</v>
      </c>
      <c r="AH35" s="32">
        <f t="shared" si="14"/>
        <v>2718050.8481323542</v>
      </c>
      <c r="AI35" s="32">
        <f t="shared" si="14"/>
        <v>2664755.7334630927</v>
      </c>
      <c r="AJ35" s="32">
        <f t="shared" si="14"/>
        <v>2612505.6210422469</v>
      </c>
      <c r="AK35" s="32">
        <f t="shared" si="14"/>
        <v>2561280.0206296546</v>
      </c>
      <c r="AL35" s="32">
        <f t="shared" si="15"/>
        <v>2511058.843754563</v>
      </c>
      <c r="AM35" s="32">
        <f t="shared" si="15"/>
        <v>2461822.3958378076</v>
      </c>
      <c r="AN35" s="32">
        <f t="shared" si="15"/>
        <v>2413551.3684684383</v>
      </c>
      <c r="AO35" s="32">
        <f t="shared" si="15"/>
        <v>2366226.8318318021</v>
      </c>
      <c r="AP35" s="32">
        <f t="shared" si="15"/>
        <v>2319830.2272860804</v>
      </c>
      <c r="AQ35" s="32">
        <f t="shared" si="15"/>
        <v>2274343.3600843926</v>
      </c>
      <c r="AR35" s="32">
        <f t="shared" si="15"/>
        <v>2229748.3922396009</v>
      </c>
      <c r="AS35" s="32">
        <f t="shared" si="15"/>
        <v>2186027.8355290201</v>
      </c>
      <c r="AT35" s="32">
        <f t="shared" si="15"/>
        <v>2143164.5446362942</v>
      </c>
      <c r="AU35" s="32">
        <f t="shared" si="15"/>
        <v>2101141.7104277401</v>
      </c>
      <c r="AV35" s="32">
        <f t="shared" si="16"/>
        <v>2059942.8533605291</v>
      </c>
      <c r="AW35" s="32">
        <f t="shared" si="16"/>
        <v>0</v>
      </c>
      <c r="AX35" s="32">
        <f t="shared" si="16"/>
        <v>0</v>
      </c>
      <c r="AY35" s="32">
        <f t="shared" si="16"/>
        <v>0</v>
      </c>
      <c r="AZ35" s="32">
        <f t="shared" si="16"/>
        <v>0</v>
      </c>
      <c r="BA35" s="32">
        <f t="shared" si="16"/>
        <v>0</v>
      </c>
      <c r="BB35" s="32">
        <f t="shared" si="16"/>
        <v>0</v>
      </c>
      <c r="BC35" s="32">
        <f t="shared" si="16"/>
        <v>0</v>
      </c>
      <c r="BD35" s="32">
        <f t="shared" si="16"/>
        <v>0</v>
      </c>
      <c r="BE35" s="32">
        <f t="shared" si="16"/>
        <v>0</v>
      </c>
      <c r="BF35" s="32">
        <f t="shared" si="16"/>
        <v>0</v>
      </c>
    </row>
    <row r="36" spans="3:58" x14ac:dyDescent="0.2">
      <c r="C36" s="8" t="str">
        <v>Guatemala</v>
      </c>
      <c r="D36" s="56" t="str">
        <v>Latin America &amp; Caribbean</v>
      </c>
      <c r="E36" s="39">
        <f t="shared" si="0"/>
        <v>407997.66370799998</v>
      </c>
      <c r="F36" s="141">
        <f t="shared" si="6"/>
        <v>9090707.0653897617</v>
      </c>
      <c r="H36" s="32">
        <f t="shared" si="12"/>
        <v>407997.66370799998</v>
      </c>
      <c r="I36" s="32">
        <f t="shared" si="12"/>
        <v>399997.70951764705</v>
      </c>
      <c r="J36" s="32">
        <f t="shared" si="12"/>
        <v>392154.61717416375</v>
      </c>
      <c r="K36" s="32">
        <f t="shared" si="12"/>
        <v>384465.31095506251</v>
      </c>
      <c r="L36" s="32">
        <f t="shared" si="12"/>
        <v>376926.77544613974</v>
      </c>
      <c r="M36" s="32">
        <f t="shared" si="12"/>
        <v>369536.05435896048</v>
      </c>
      <c r="N36" s="32">
        <f t="shared" si="12"/>
        <v>362290.24937152991</v>
      </c>
      <c r="O36" s="32">
        <f t="shared" si="12"/>
        <v>355186.51899169607</v>
      </c>
      <c r="P36" s="32">
        <f t="shared" si="12"/>
        <v>348222.07744283922</v>
      </c>
      <c r="Q36" s="32">
        <f t="shared" si="12"/>
        <v>341394.19357141102</v>
      </c>
      <c r="R36" s="32">
        <f t="shared" si="13"/>
        <v>334700.18977589312</v>
      </c>
      <c r="S36" s="32">
        <f t="shared" si="13"/>
        <v>328137.44095675804</v>
      </c>
      <c r="T36" s="32">
        <f t="shared" si="13"/>
        <v>321703.37348701764</v>
      </c>
      <c r="U36" s="32">
        <f t="shared" si="13"/>
        <v>315395.46420295845</v>
      </c>
      <c r="V36" s="32">
        <f t="shared" si="13"/>
        <v>309211.23941466515</v>
      </c>
      <c r="W36" s="32">
        <f t="shared" si="13"/>
        <v>303148.27393594629</v>
      </c>
      <c r="X36" s="32">
        <f t="shared" si="13"/>
        <v>297204.19013328064</v>
      </c>
      <c r="Y36" s="32">
        <f t="shared" si="13"/>
        <v>291376.65699341235</v>
      </c>
      <c r="Z36" s="32">
        <f t="shared" si="13"/>
        <v>285663.38920922781</v>
      </c>
      <c r="AA36" s="32">
        <f t="shared" si="13"/>
        <v>280062.14628355671</v>
      </c>
      <c r="AB36" s="32">
        <f t="shared" si="14"/>
        <v>274570.73165054579</v>
      </c>
      <c r="AC36" s="32">
        <f t="shared" si="14"/>
        <v>269186.9918142606</v>
      </c>
      <c r="AD36" s="32">
        <f t="shared" si="14"/>
        <v>263908.81550417701</v>
      </c>
      <c r="AE36" s="32">
        <f t="shared" si="14"/>
        <v>258734.13284723242</v>
      </c>
      <c r="AF36" s="32">
        <f t="shared" si="14"/>
        <v>253660.91455611022</v>
      </c>
      <c r="AG36" s="32">
        <f t="shared" si="14"/>
        <v>248687.17113344138</v>
      </c>
      <c r="AH36" s="32">
        <f t="shared" si="14"/>
        <v>243810.95209160916</v>
      </c>
      <c r="AI36" s="32">
        <f t="shared" si="14"/>
        <v>239030.34518785216</v>
      </c>
      <c r="AJ36" s="32">
        <f t="shared" si="14"/>
        <v>234343.47567436483</v>
      </c>
      <c r="AK36" s="32">
        <f t="shared" si="14"/>
        <v>229748.50556310281</v>
      </c>
      <c r="AL36" s="32">
        <f t="shared" si="15"/>
        <v>225243.63290500274</v>
      </c>
      <c r="AM36" s="32">
        <f t="shared" si="15"/>
        <v>220827.09108333607</v>
      </c>
      <c r="AN36" s="32">
        <f t="shared" si="15"/>
        <v>216497.14812091767</v>
      </c>
      <c r="AO36" s="32">
        <f t="shared" si="15"/>
        <v>212252.10600089966</v>
      </c>
      <c r="AP36" s="32">
        <f t="shared" si="15"/>
        <v>208090.30000088204</v>
      </c>
      <c r="AQ36" s="32">
        <f t="shared" si="15"/>
        <v>204010.09804008043</v>
      </c>
      <c r="AR36" s="32">
        <f t="shared" si="15"/>
        <v>200009.90003929456</v>
      </c>
      <c r="AS36" s="32">
        <f t="shared" si="15"/>
        <v>196088.137293426</v>
      </c>
      <c r="AT36" s="32">
        <f t="shared" si="15"/>
        <v>192243.27185629998</v>
      </c>
      <c r="AU36" s="32">
        <f t="shared" si="15"/>
        <v>188473.79593754906</v>
      </c>
      <c r="AV36" s="32">
        <f t="shared" si="16"/>
        <v>184778.23131132257</v>
      </c>
      <c r="AW36" s="32">
        <f t="shared" si="16"/>
        <v>0</v>
      </c>
      <c r="AX36" s="32">
        <f t="shared" si="16"/>
        <v>0</v>
      </c>
      <c r="AY36" s="32">
        <f t="shared" si="16"/>
        <v>0</v>
      </c>
      <c r="AZ36" s="32">
        <f t="shared" si="16"/>
        <v>0</v>
      </c>
      <c r="BA36" s="32">
        <f t="shared" si="16"/>
        <v>0</v>
      </c>
      <c r="BB36" s="32">
        <f t="shared" si="16"/>
        <v>0</v>
      </c>
      <c r="BC36" s="32">
        <f t="shared" si="16"/>
        <v>0</v>
      </c>
      <c r="BD36" s="32">
        <f t="shared" si="16"/>
        <v>0</v>
      </c>
      <c r="BE36" s="32">
        <f t="shared" si="16"/>
        <v>0</v>
      </c>
      <c r="BF36" s="32">
        <f t="shared" si="16"/>
        <v>0</v>
      </c>
    </row>
    <row r="37" spans="3:58" x14ac:dyDescent="0.2">
      <c r="C37" s="8" t="str">
        <v>Hungary</v>
      </c>
      <c r="D37" s="56" t="str">
        <v>Europe &amp; Central Asia</v>
      </c>
      <c r="E37" s="39">
        <f t="shared" si="0"/>
        <v>2030381.02425</v>
      </c>
      <c r="F37" s="141">
        <f t="shared" si="6"/>
        <v>45239472.586276136</v>
      </c>
      <c r="H37" s="32">
        <f t="shared" si="12"/>
        <v>2030381.02425</v>
      </c>
      <c r="I37" s="32">
        <f t="shared" si="12"/>
        <v>1990569.6316176471</v>
      </c>
      <c r="J37" s="32">
        <f t="shared" si="12"/>
        <v>1951538.8545271049</v>
      </c>
      <c r="K37" s="32">
        <f t="shared" si="12"/>
        <v>1913273.3867912795</v>
      </c>
      <c r="L37" s="32">
        <f t="shared" si="12"/>
        <v>1875758.2223443915</v>
      </c>
      <c r="M37" s="32">
        <f t="shared" si="12"/>
        <v>1838978.6493572467</v>
      </c>
      <c r="N37" s="32">
        <f t="shared" si="12"/>
        <v>1802920.2444678887</v>
      </c>
      <c r="O37" s="32">
        <f t="shared" si="12"/>
        <v>1767568.8671253815</v>
      </c>
      <c r="P37" s="32">
        <f t="shared" si="12"/>
        <v>1732910.6540444915</v>
      </c>
      <c r="Q37" s="32">
        <f t="shared" si="12"/>
        <v>1698932.0137691093</v>
      </c>
      <c r="R37" s="32">
        <f t="shared" si="13"/>
        <v>1665619.6213422639</v>
      </c>
      <c r="S37" s="32">
        <f t="shared" si="13"/>
        <v>1632960.4130806513</v>
      </c>
      <c r="T37" s="32">
        <f t="shared" si="13"/>
        <v>1600941.5814516186</v>
      </c>
      <c r="U37" s="32">
        <f t="shared" si="13"/>
        <v>1569550.5700506065</v>
      </c>
      <c r="V37" s="32">
        <f t="shared" si="13"/>
        <v>1538775.0686770652</v>
      </c>
      <c r="W37" s="32">
        <f t="shared" si="13"/>
        <v>1508603.0085069269</v>
      </c>
      <c r="X37" s="32">
        <f t="shared" si="13"/>
        <v>1479022.557359732</v>
      </c>
      <c r="Y37" s="32">
        <f t="shared" si="13"/>
        <v>1450022.1150585609</v>
      </c>
      <c r="Z37" s="32">
        <f t="shared" si="13"/>
        <v>1421590.3088809422</v>
      </c>
      <c r="AA37" s="32">
        <f t="shared" si="13"/>
        <v>1393715.9890989629</v>
      </c>
      <c r="AB37" s="32">
        <f t="shared" si="14"/>
        <v>1366388.2246068262</v>
      </c>
      <c r="AC37" s="32">
        <f t="shared" si="14"/>
        <v>1339596.2986341435</v>
      </c>
      <c r="AD37" s="32">
        <f t="shared" si="14"/>
        <v>1313329.7045432779</v>
      </c>
      <c r="AE37" s="32">
        <f t="shared" si="14"/>
        <v>1287578.141709096</v>
      </c>
      <c r="AF37" s="32">
        <f t="shared" si="14"/>
        <v>1262331.511479506</v>
      </c>
      <c r="AG37" s="32">
        <f t="shared" si="14"/>
        <v>1237579.9132152018</v>
      </c>
      <c r="AH37" s="32">
        <f t="shared" si="14"/>
        <v>1213313.6404070605</v>
      </c>
      <c r="AI37" s="32">
        <f t="shared" si="14"/>
        <v>1189523.1768696674</v>
      </c>
      <c r="AJ37" s="32">
        <f t="shared" si="14"/>
        <v>1166199.1930094776</v>
      </c>
      <c r="AK37" s="32">
        <f t="shared" si="14"/>
        <v>1143332.5421661548</v>
      </c>
      <c r="AL37" s="32">
        <f t="shared" si="15"/>
        <v>1120914.2570256419</v>
      </c>
      <c r="AM37" s="32">
        <f t="shared" si="15"/>
        <v>1098935.5461035706</v>
      </c>
      <c r="AN37" s="32">
        <f t="shared" si="15"/>
        <v>1077387.7902976181</v>
      </c>
      <c r="AO37" s="32">
        <f t="shared" si="15"/>
        <v>1056262.5395074687</v>
      </c>
      <c r="AP37" s="32">
        <f t="shared" si="15"/>
        <v>1035551.5093210477</v>
      </c>
      <c r="AQ37" s="32">
        <f t="shared" si="15"/>
        <v>1015246.5777657331</v>
      </c>
      <c r="AR37" s="32">
        <f t="shared" si="15"/>
        <v>995339.78212326777</v>
      </c>
      <c r="AS37" s="32">
        <f t="shared" si="15"/>
        <v>975823.31580712518</v>
      </c>
      <c r="AT37" s="32">
        <f t="shared" si="15"/>
        <v>956689.52530110301</v>
      </c>
      <c r="AU37" s="32">
        <f t="shared" si="15"/>
        <v>937930.90715794452</v>
      </c>
      <c r="AV37" s="32">
        <f t="shared" si="16"/>
        <v>919540.1050568081</v>
      </c>
      <c r="AW37" s="32">
        <f t="shared" si="16"/>
        <v>0</v>
      </c>
      <c r="AX37" s="32">
        <f t="shared" si="16"/>
        <v>0</v>
      </c>
      <c r="AY37" s="32">
        <f t="shared" si="16"/>
        <v>0</v>
      </c>
      <c r="AZ37" s="32">
        <f t="shared" si="16"/>
        <v>0</v>
      </c>
      <c r="BA37" s="32">
        <f t="shared" si="16"/>
        <v>0</v>
      </c>
      <c r="BB37" s="32">
        <f t="shared" si="16"/>
        <v>0</v>
      </c>
      <c r="BC37" s="32">
        <f t="shared" si="16"/>
        <v>0</v>
      </c>
      <c r="BD37" s="32">
        <f t="shared" si="16"/>
        <v>0</v>
      </c>
      <c r="BE37" s="32">
        <f t="shared" si="16"/>
        <v>0</v>
      </c>
      <c r="BF37" s="32">
        <f t="shared" si="16"/>
        <v>0</v>
      </c>
    </row>
    <row r="38" spans="3:58" x14ac:dyDescent="0.2">
      <c r="C38" s="8" t="str">
        <v>India</v>
      </c>
      <c r="D38" s="56" t="str">
        <v>South Asia</v>
      </c>
      <c r="E38" s="39">
        <f t="shared" si="0"/>
        <v>20872500</v>
      </c>
      <c r="F38" s="141">
        <f t="shared" si="6"/>
        <v>465065857.23526847</v>
      </c>
      <c r="H38" s="32">
        <f t="shared" si="12"/>
        <v>20872500</v>
      </c>
      <c r="I38" s="32">
        <f t="shared" si="12"/>
        <v>20463235.294117648</v>
      </c>
      <c r="J38" s="32">
        <f t="shared" si="12"/>
        <v>20061995.386389852</v>
      </c>
      <c r="K38" s="32">
        <f t="shared" si="12"/>
        <v>19668622.927833188</v>
      </c>
      <c r="L38" s="32">
        <f t="shared" si="12"/>
        <v>19282963.654738419</v>
      </c>
      <c r="M38" s="32">
        <f t="shared" si="12"/>
        <v>18904866.328174919</v>
      </c>
      <c r="N38" s="32">
        <f t="shared" si="12"/>
        <v>18534182.674681291</v>
      </c>
      <c r="O38" s="32">
        <f t="shared" si="12"/>
        <v>18170767.328118917</v>
      </c>
      <c r="P38" s="32">
        <f t="shared" si="12"/>
        <v>17814477.772665605</v>
      </c>
      <c r="Q38" s="32">
        <f t="shared" si="12"/>
        <v>17465174.286927063</v>
      </c>
      <c r="R38" s="32">
        <f t="shared" si="13"/>
        <v>17122719.889144178</v>
      </c>
      <c r="S38" s="32">
        <f t="shared" si="13"/>
        <v>16786980.283474687</v>
      </c>
      <c r="T38" s="32">
        <f t="shared" si="13"/>
        <v>16457823.807328124</v>
      </c>
      <c r="U38" s="32">
        <f t="shared" si="13"/>
        <v>16135121.379733454</v>
      </c>
      <c r="V38" s="32">
        <f t="shared" si="13"/>
        <v>15818746.450719072</v>
      </c>
      <c r="W38" s="32">
        <f t="shared" si="13"/>
        <v>15508574.951685369</v>
      </c>
      <c r="X38" s="32">
        <f t="shared" si="13"/>
        <v>15204485.246750358</v>
      </c>
      <c r="Y38" s="32">
        <f t="shared" si="13"/>
        <v>14906358.08504937</v>
      </c>
      <c r="Z38" s="32">
        <f t="shared" si="13"/>
        <v>14614076.553969972</v>
      </c>
      <c r="AA38" s="32">
        <f t="shared" si="13"/>
        <v>14327526.033303896</v>
      </c>
      <c r="AB38" s="32">
        <f t="shared" si="14"/>
        <v>14046594.150297934</v>
      </c>
      <c r="AC38" s="32">
        <f t="shared" si="14"/>
        <v>13771170.735586211</v>
      </c>
      <c r="AD38" s="32">
        <f t="shared" si="14"/>
        <v>13501147.779986482</v>
      </c>
      <c r="AE38" s="32">
        <f t="shared" si="14"/>
        <v>13236419.392143611</v>
      </c>
      <c r="AF38" s="32">
        <f t="shared" si="14"/>
        <v>12976881.75700354</v>
      </c>
      <c r="AG38" s="32">
        <f t="shared" si="14"/>
        <v>12722433.095101509</v>
      </c>
      <c r="AH38" s="32">
        <f t="shared" si="14"/>
        <v>12472973.622648537</v>
      </c>
      <c r="AI38" s="32">
        <f t="shared" si="14"/>
        <v>12228405.51240053</v>
      </c>
      <c r="AJ38" s="32">
        <f t="shared" si="14"/>
        <v>11988632.855294634</v>
      </c>
      <c r="AK38" s="32">
        <f t="shared" si="14"/>
        <v>11753561.622837879</v>
      </c>
      <c r="AL38" s="32">
        <f t="shared" si="15"/>
        <v>11523099.630233213</v>
      </c>
      <c r="AM38" s="32">
        <f t="shared" si="15"/>
        <v>11297156.500228643</v>
      </c>
      <c r="AN38" s="32">
        <f t="shared" si="15"/>
        <v>11075643.627675138</v>
      </c>
      <c r="AO38" s="32">
        <f t="shared" si="15"/>
        <v>10858474.144779546</v>
      </c>
      <c r="AP38" s="32">
        <f t="shared" si="15"/>
        <v>10645562.887038771</v>
      </c>
      <c r="AQ38" s="32">
        <f t="shared" si="15"/>
        <v>10436826.359841933</v>
      </c>
      <c r="AR38" s="32">
        <f t="shared" si="15"/>
        <v>10232182.705727387</v>
      </c>
      <c r="AS38" s="32">
        <f t="shared" si="15"/>
        <v>10031551.67228175</v>
      </c>
      <c r="AT38" s="32">
        <f t="shared" si="15"/>
        <v>9834854.5806683805</v>
      </c>
      <c r="AU38" s="32">
        <f t="shared" si="15"/>
        <v>9642014.2947729267</v>
      </c>
      <c r="AV38" s="32">
        <f t="shared" si="16"/>
        <v>9452955.190953847</v>
      </c>
      <c r="AW38" s="32">
        <f t="shared" si="16"/>
        <v>0</v>
      </c>
      <c r="AX38" s="32">
        <f t="shared" si="16"/>
        <v>0</v>
      </c>
      <c r="AY38" s="32">
        <f t="shared" si="16"/>
        <v>0</v>
      </c>
      <c r="AZ38" s="32">
        <f t="shared" si="16"/>
        <v>0</v>
      </c>
      <c r="BA38" s="32">
        <f t="shared" si="16"/>
        <v>0</v>
      </c>
      <c r="BB38" s="32">
        <f t="shared" si="16"/>
        <v>0</v>
      </c>
      <c r="BC38" s="32">
        <f t="shared" si="16"/>
        <v>0</v>
      </c>
      <c r="BD38" s="32">
        <f t="shared" si="16"/>
        <v>0</v>
      </c>
      <c r="BE38" s="32">
        <f t="shared" si="16"/>
        <v>0</v>
      </c>
      <c r="BF38" s="32">
        <f t="shared" si="16"/>
        <v>0</v>
      </c>
    </row>
    <row r="39" spans="3:58" x14ac:dyDescent="0.2">
      <c r="C39" s="8" t="str">
        <v>Indonesia</v>
      </c>
      <c r="D39" s="56" t="str">
        <v>East Asia &amp; Pacific</v>
      </c>
      <c r="E39" s="39">
        <f t="shared" si="0"/>
        <v>54116000</v>
      </c>
      <c r="F39" s="141">
        <f t="shared" si="6"/>
        <v>1205773334.7775202</v>
      </c>
      <c r="H39" s="32">
        <f t="shared" si="12"/>
        <v>54116000</v>
      </c>
      <c r="I39" s="32">
        <f t="shared" si="12"/>
        <v>53054901.960784316</v>
      </c>
      <c r="J39" s="32">
        <f t="shared" si="12"/>
        <v>52014609.765474819</v>
      </c>
      <c r="K39" s="32">
        <f t="shared" si="12"/>
        <v>50994715.45634786</v>
      </c>
      <c r="L39" s="32">
        <f t="shared" si="12"/>
        <v>49994819.074850842</v>
      </c>
      <c r="M39" s="32">
        <f t="shared" si="12"/>
        <v>49014528.504755728</v>
      </c>
      <c r="N39" s="32">
        <f t="shared" si="12"/>
        <v>48053459.318387963</v>
      </c>
      <c r="O39" s="32">
        <f t="shared" si="12"/>
        <v>47111234.625870563</v>
      </c>
      <c r="P39" s="32">
        <f t="shared" si="12"/>
        <v>46187484.927324079</v>
      </c>
      <c r="Q39" s="32">
        <f t="shared" si="12"/>
        <v>45281847.967964783</v>
      </c>
      <c r="R39" s="32">
        <f t="shared" si="13"/>
        <v>44393968.596043907</v>
      </c>
      <c r="S39" s="32">
        <f t="shared" si="13"/>
        <v>43523498.623572461</v>
      </c>
      <c r="T39" s="32">
        <f t="shared" si="13"/>
        <v>42670096.68977692</v>
      </c>
      <c r="U39" s="32">
        <f t="shared" si="13"/>
        <v>41833428.127232276</v>
      </c>
      <c r="V39" s="32">
        <f t="shared" si="13"/>
        <v>41013164.830619872</v>
      </c>
      <c r="W39" s="32">
        <f t="shared" si="13"/>
        <v>40208985.128058709</v>
      </c>
      <c r="X39" s="32">
        <f t="shared" si="13"/>
        <v>39420573.654959515</v>
      </c>
      <c r="Y39" s="32">
        <f t="shared" si="13"/>
        <v>38647621.230352461</v>
      </c>
      <c r="Z39" s="32">
        <f t="shared" si="13"/>
        <v>37889824.735639669</v>
      </c>
      <c r="AA39" s="32">
        <f t="shared" si="13"/>
        <v>37146886.99572517</v>
      </c>
      <c r="AB39" s="32">
        <f t="shared" si="14"/>
        <v>36418516.662475653</v>
      </c>
      <c r="AC39" s="32">
        <f t="shared" si="14"/>
        <v>35704428.100466326</v>
      </c>
      <c r="AD39" s="32">
        <f t="shared" si="14"/>
        <v>35004341.274966985</v>
      </c>
      <c r="AE39" s="32">
        <f t="shared" si="14"/>
        <v>34317981.642124504</v>
      </c>
      <c r="AF39" s="32">
        <f t="shared" si="14"/>
        <v>33645080.041298531</v>
      </c>
      <c r="AG39" s="32">
        <f t="shared" si="14"/>
        <v>32985372.589508362</v>
      </c>
      <c r="AH39" s="32">
        <f t="shared" si="14"/>
        <v>32338600.577949371</v>
      </c>
      <c r="AI39" s="32">
        <f t="shared" si="14"/>
        <v>31704510.370538607</v>
      </c>
      <c r="AJ39" s="32">
        <f t="shared" si="14"/>
        <v>31082853.304449607</v>
      </c>
      <c r="AK39" s="32">
        <f t="shared" si="14"/>
        <v>30473385.59259766</v>
      </c>
      <c r="AL39" s="32">
        <f t="shared" si="15"/>
        <v>29875868.228036918</v>
      </c>
      <c r="AM39" s="32">
        <f t="shared" si="15"/>
        <v>29290066.89023228</v>
      </c>
      <c r="AN39" s="32">
        <f t="shared" si="15"/>
        <v>28715751.853168897</v>
      </c>
      <c r="AO39" s="32">
        <f t="shared" si="15"/>
        <v>28152697.89526362</v>
      </c>
      <c r="AP39" s="32">
        <f t="shared" si="15"/>
        <v>27600684.211042769</v>
      </c>
      <c r="AQ39" s="32">
        <f t="shared" si="15"/>
        <v>27059494.324551735</v>
      </c>
      <c r="AR39" s="32">
        <f t="shared" si="15"/>
        <v>26528916.004462488</v>
      </c>
      <c r="AS39" s="32">
        <f t="shared" si="15"/>
        <v>26008741.18084557</v>
      </c>
      <c r="AT39" s="32">
        <f t="shared" si="15"/>
        <v>25498765.863574088</v>
      </c>
      <c r="AU39" s="32">
        <f t="shared" si="15"/>
        <v>24998790.062327545</v>
      </c>
      <c r="AV39" s="32">
        <f t="shared" si="16"/>
        <v>24508617.708164252</v>
      </c>
      <c r="AW39" s="32">
        <f t="shared" si="16"/>
        <v>0</v>
      </c>
      <c r="AX39" s="32">
        <f t="shared" si="16"/>
        <v>0</v>
      </c>
      <c r="AY39" s="32">
        <f t="shared" si="16"/>
        <v>0</v>
      </c>
      <c r="AZ39" s="32">
        <f t="shared" si="16"/>
        <v>0</v>
      </c>
      <c r="BA39" s="32">
        <f t="shared" si="16"/>
        <v>0</v>
      </c>
      <c r="BB39" s="32">
        <f t="shared" si="16"/>
        <v>0</v>
      </c>
      <c r="BC39" s="32">
        <f t="shared" si="16"/>
        <v>0</v>
      </c>
      <c r="BD39" s="32">
        <f t="shared" si="16"/>
        <v>0</v>
      </c>
      <c r="BE39" s="32">
        <f t="shared" si="16"/>
        <v>0</v>
      </c>
      <c r="BF39" s="32">
        <f t="shared" si="16"/>
        <v>0</v>
      </c>
    </row>
    <row r="40" spans="3:58" x14ac:dyDescent="0.2">
      <c r="C40" s="8" t="str">
        <v>Ireland</v>
      </c>
      <c r="D40" s="56" t="str">
        <v>Europe &amp; Central Asia</v>
      </c>
      <c r="E40" s="39">
        <f t="shared" si="0"/>
        <v>1280688.2</v>
      </c>
      <c r="F40" s="141">
        <f t="shared" si="6"/>
        <v>28535362.586374063</v>
      </c>
      <c r="H40" s="32">
        <f t="shared" si="12"/>
        <v>1280688.2</v>
      </c>
      <c r="I40" s="32">
        <f t="shared" si="12"/>
        <v>1255576.6666666665</v>
      </c>
      <c r="J40" s="32">
        <f t="shared" si="12"/>
        <v>1230957.5163398692</v>
      </c>
      <c r="K40" s="32">
        <f t="shared" si="12"/>
        <v>1206821.0944508524</v>
      </c>
      <c r="L40" s="32">
        <f t="shared" si="12"/>
        <v>1183157.9357361295</v>
      </c>
      <c r="M40" s="32">
        <f t="shared" si="12"/>
        <v>1159958.7605256173</v>
      </c>
      <c r="N40" s="32">
        <f t="shared" si="12"/>
        <v>1137214.4711035462</v>
      </c>
      <c r="O40" s="32">
        <f t="shared" si="12"/>
        <v>1114916.148140732</v>
      </c>
      <c r="P40" s="32">
        <f t="shared" si="12"/>
        <v>1093055.0471967959</v>
      </c>
      <c r="Q40" s="32">
        <f t="shared" si="12"/>
        <v>1071622.5952909763</v>
      </c>
      <c r="R40" s="32">
        <f t="shared" si="13"/>
        <v>1050610.3875401728</v>
      </c>
      <c r="S40" s="32">
        <f t="shared" si="13"/>
        <v>1030010.1838629147</v>
      </c>
      <c r="T40" s="32">
        <f t="shared" si="13"/>
        <v>1009813.9057479554</v>
      </c>
      <c r="U40" s="32">
        <f t="shared" si="13"/>
        <v>990013.63308623084</v>
      </c>
      <c r="V40" s="32">
        <f t="shared" si="13"/>
        <v>970601.60106493218</v>
      </c>
      <c r="W40" s="32">
        <f t="shared" si="13"/>
        <v>951570.1971224827</v>
      </c>
      <c r="X40" s="32">
        <f t="shared" si="13"/>
        <v>932911.95796321821</v>
      </c>
      <c r="Y40" s="32">
        <f t="shared" si="13"/>
        <v>914619.56663060607</v>
      </c>
      <c r="Z40" s="32">
        <f t="shared" si="13"/>
        <v>896685.84963784914</v>
      </c>
      <c r="AA40" s="32">
        <f t="shared" si="13"/>
        <v>879103.77415475412</v>
      </c>
      <c r="AB40" s="32">
        <f t="shared" si="14"/>
        <v>861866.44524975889</v>
      </c>
      <c r="AC40" s="32">
        <f t="shared" si="14"/>
        <v>844967.10318603809</v>
      </c>
      <c r="AD40" s="32">
        <f t="shared" si="14"/>
        <v>828399.12077062554</v>
      </c>
      <c r="AE40" s="32">
        <f t="shared" si="14"/>
        <v>812156.00075551542</v>
      </c>
      <c r="AF40" s="32">
        <f t="shared" si="14"/>
        <v>796231.37328972097</v>
      </c>
      <c r="AG40" s="32">
        <f t="shared" si="14"/>
        <v>780618.99342129508</v>
      </c>
      <c r="AH40" s="32">
        <f t="shared" si="14"/>
        <v>765312.73864832835</v>
      </c>
      <c r="AI40" s="32">
        <f t="shared" si="14"/>
        <v>750306.60651796916</v>
      </c>
      <c r="AJ40" s="32">
        <f t="shared" si="14"/>
        <v>735594.71227251866</v>
      </c>
      <c r="AK40" s="32">
        <f t="shared" si="14"/>
        <v>721171.286541685</v>
      </c>
      <c r="AL40" s="32">
        <f t="shared" si="15"/>
        <v>707030.67308008333</v>
      </c>
      <c r="AM40" s="32">
        <f t="shared" si="15"/>
        <v>693167.3265491015</v>
      </c>
      <c r="AN40" s="32">
        <f t="shared" si="15"/>
        <v>679575.81034225621</v>
      </c>
      <c r="AO40" s="32">
        <f t="shared" si="15"/>
        <v>666250.79445319227</v>
      </c>
      <c r="AP40" s="32">
        <f t="shared" si="15"/>
        <v>653187.05338548275</v>
      </c>
      <c r="AQ40" s="32">
        <f t="shared" si="15"/>
        <v>640379.46410341444</v>
      </c>
      <c r="AR40" s="32">
        <f t="shared" si="15"/>
        <v>627823.00402295531</v>
      </c>
      <c r="AS40" s="32">
        <f t="shared" si="15"/>
        <v>615512.74904211296</v>
      </c>
      <c r="AT40" s="32">
        <f t="shared" si="15"/>
        <v>603443.8716099147</v>
      </c>
      <c r="AU40" s="32">
        <f t="shared" si="15"/>
        <v>591611.63883324992</v>
      </c>
      <c r="AV40" s="32">
        <f t="shared" si="16"/>
        <v>580011.41062083305</v>
      </c>
      <c r="AW40" s="32">
        <f t="shared" si="16"/>
        <v>0</v>
      </c>
      <c r="AX40" s="32">
        <f t="shared" si="16"/>
        <v>0</v>
      </c>
      <c r="AY40" s="32">
        <f t="shared" si="16"/>
        <v>0</v>
      </c>
      <c r="AZ40" s="32">
        <f t="shared" si="16"/>
        <v>0</v>
      </c>
      <c r="BA40" s="32">
        <f t="shared" si="16"/>
        <v>0</v>
      </c>
      <c r="BB40" s="32">
        <f t="shared" si="16"/>
        <v>0</v>
      </c>
      <c r="BC40" s="32">
        <f t="shared" si="16"/>
        <v>0</v>
      </c>
      <c r="BD40" s="32">
        <f t="shared" si="16"/>
        <v>0</v>
      </c>
      <c r="BE40" s="32">
        <f t="shared" si="16"/>
        <v>0</v>
      </c>
      <c r="BF40" s="32">
        <f t="shared" si="16"/>
        <v>0</v>
      </c>
    </row>
    <row r="41" spans="3:58" x14ac:dyDescent="0.2">
      <c r="C41" s="8" t="str">
        <v>Israel</v>
      </c>
      <c r="D41" s="56" t="str">
        <v>Middle East &amp; North Africa</v>
      </c>
      <c r="E41" s="39">
        <f t="shared" si="0"/>
        <v>4050000</v>
      </c>
      <c r="F41" s="141">
        <f t="shared" si="6"/>
        <v>90239153.038823217</v>
      </c>
      <c r="H41" s="32">
        <f t="shared" si="12"/>
        <v>4050000</v>
      </c>
      <c r="I41" s="32">
        <f t="shared" si="12"/>
        <v>3970588.2352941176</v>
      </c>
      <c r="J41" s="32">
        <f t="shared" si="12"/>
        <v>3892733.5640138406</v>
      </c>
      <c r="K41" s="32">
        <f t="shared" si="12"/>
        <v>3816405.4549155305</v>
      </c>
      <c r="L41" s="32">
        <f t="shared" si="12"/>
        <v>3741573.9754073825</v>
      </c>
      <c r="M41" s="32">
        <f t="shared" si="12"/>
        <v>3668209.7798111592</v>
      </c>
      <c r="N41" s="32">
        <f t="shared" si="12"/>
        <v>3596284.0978540778</v>
      </c>
      <c r="O41" s="32">
        <f t="shared" si="12"/>
        <v>3525768.7233863515</v>
      </c>
      <c r="P41" s="32">
        <f t="shared" si="12"/>
        <v>3456636.0033199522</v>
      </c>
      <c r="Q41" s="32">
        <f t="shared" si="12"/>
        <v>3388858.8267842666</v>
      </c>
      <c r="R41" s="32">
        <f t="shared" si="13"/>
        <v>3322410.6144943791</v>
      </c>
      <c r="S41" s="32">
        <f t="shared" si="13"/>
        <v>3257265.3083278229</v>
      </c>
      <c r="T41" s="32">
        <f t="shared" si="13"/>
        <v>3193397.3611057084</v>
      </c>
      <c r="U41" s="32">
        <f t="shared" si="13"/>
        <v>3130781.726574224</v>
      </c>
      <c r="V41" s="32">
        <f t="shared" si="13"/>
        <v>3069393.8495825725</v>
      </c>
      <c r="W41" s="32">
        <f t="shared" si="13"/>
        <v>3009209.6564535033</v>
      </c>
      <c r="X41" s="32">
        <f t="shared" si="13"/>
        <v>2950205.5455426495</v>
      </c>
      <c r="Y41" s="32">
        <f t="shared" si="13"/>
        <v>2892358.3779829894</v>
      </c>
      <c r="Z41" s="32">
        <f t="shared" si="13"/>
        <v>2835645.4686107743</v>
      </c>
      <c r="AA41" s="32">
        <f t="shared" si="13"/>
        <v>2780044.5770693868</v>
      </c>
      <c r="AB41" s="32">
        <f t="shared" si="14"/>
        <v>2725533.8990876339</v>
      </c>
      <c r="AC41" s="32">
        <f t="shared" si="14"/>
        <v>2672092.057929053</v>
      </c>
      <c r="AD41" s="32">
        <f t="shared" si="14"/>
        <v>2619698.0960088754</v>
      </c>
      <c r="AE41" s="32">
        <f t="shared" si="14"/>
        <v>2568331.4666753686</v>
      </c>
      <c r="AF41" s="32">
        <f t="shared" si="14"/>
        <v>2517972.0261523221</v>
      </c>
      <c r="AG41" s="32">
        <f t="shared" si="14"/>
        <v>2468600.0256395312</v>
      </c>
      <c r="AH41" s="32">
        <f t="shared" si="14"/>
        <v>2420196.1035681674</v>
      </c>
      <c r="AI41" s="32">
        <f t="shared" si="14"/>
        <v>2372741.2780080079</v>
      </c>
      <c r="AJ41" s="32">
        <f t="shared" si="14"/>
        <v>2326216.9392235368</v>
      </c>
      <c r="AK41" s="32">
        <f t="shared" si="14"/>
        <v>2280604.8423760165</v>
      </c>
      <c r="AL41" s="32">
        <f t="shared" si="15"/>
        <v>2235887.1003686436</v>
      </c>
      <c r="AM41" s="32">
        <f t="shared" si="15"/>
        <v>2192046.176832004</v>
      </c>
      <c r="AN41" s="32">
        <f t="shared" si="15"/>
        <v>2149064.8792470624</v>
      </c>
      <c r="AO41" s="32">
        <f t="shared" si="15"/>
        <v>2106926.3522030022</v>
      </c>
      <c r="AP41" s="32">
        <f t="shared" si="15"/>
        <v>2065614.0707872573</v>
      </c>
      <c r="AQ41" s="32">
        <f t="shared" si="15"/>
        <v>2025111.8341051543</v>
      </c>
      <c r="AR41" s="32">
        <f t="shared" si="15"/>
        <v>1985403.7589266219</v>
      </c>
      <c r="AS41" s="32">
        <f t="shared" si="15"/>
        <v>1946474.2734574722</v>
      </c>
      <c r="AT41" s="32">
        <f t="shared" si="15"/>
        <v>1908308.1112328155</v>
      </c>
      <c r="AU41" s="32">
        <f t="shared" si="15"/>
        <v>1870890.3051302121</v>
      </c>
      <c r="AV41" s="32">
        <f t="shared" si="16"/>
        <v>1834206.1815002074</v>
      </c>
      <c r="AW41" s="32">
        <f t="shared" si="16"/>
        <v>0</v>
      </c>
      <c r="AX41" s="32">
        <f t="shared" si="16"/>
        <v>0</v>
      </c>
      <c r="AY41" s="32">
        <f t="shared" si="16"/>
        <v>0</v>
      </c>
      <c r="AZ41" s="32">
        <f t="shared" si="16"/>
        <v>0</v>
      </c>
      <c r="BA41" s="32">
        <f t="shared" si="16"/>
        <v>0</v>
      </c>
      <c r="BB41" s="32">
        <f t="shared" si="16"/>
        <v>0</v>
      </c>
      <c r="BC41" s="32">
        <f t="shared" si="16"/>
        <v>0</v>
      </c>
      <c r="BD41" s="32">
        <f t="shared" si="16"/>
        <v>0</v>
      </c>
      <c r="BE41" s="32">
        <f t="shared" si="16"/>
        <v>0</v>
      </c>
      <c r="BF41" s="32">
        <f t="shared" si="16"/>
        <v>0</v>
      </c>
    </row>
    <row r="42" spans="3:58" x14ac:dyDescent="0.2">
      <c r="C42" s="8" t="str">
        <v>Italy</v>
      </c>
      <c r="D42" s="56" t="str">
        <v>Europe &amp; Central Asia</v>
      </c>
      <c r="E42" s="39">
        <f t="shared" si="0"/>
        <v>11283150</v>
      </c>
      <c r="F42" s="141">
        <f t="shared" si="6"/>
        <v>251402938.17530805</v>
      </c>
      <c r="H42" s="32">
        <f t="shared" si="12"/>
        <v>11283150</v>
      </c>
      <c r="I42" s="32">
        <f t="shared" si="12"/>
        <v>11061911.764705881</v>
      </c>
      <c r="J42" s="32">
        <f t="shared" si="12"/>
        <v>10845011.534025375</v>
      </c>
      <c r="K42" s="32">
        <f t="shared" si="12"/>
        <v>10632364.249044485</v>
      </c>
      <c r="L42" s="32">
        <f t="shared" si="12"/>
        <v>10423886.518671064</v>
      </c>
      <c r="M42" s="32">
        <f t="shared" si="12"/>
        <v>10219496.586932415</v>
      </c>
      <c r="N42" s="32">
        <f t="shared" si="12"/>
        <v>10019114.300914133</v>
      </c>
      <c r="O42" s="32">
        <f t="shared" si="12"/>
        <v>9822661.0793275833</v>
      </c>
      <c r="P42" s="32">
        <f t="shared" si="12"/>
        <v>9630059.8816937078</v>
      </c>
      <c r="Q42" s="32">
        <f t="shared" si="12"/>
        <v>9441235.1781310868</v>
      </c>
      <c r="R42" s="32">
        <f t="shared" si="13"/>
        <v>9256112.9197363593</v>
      </c>
      <c r="S42" s="32">
        <f t="shared" si="13"/>
        <v>9074620.509545451</v>
      </c>
      <c r="T42" s="32">
        <f t="shared" si="13"/>
        <v>8896686.7740641665</v>
      </c>
      <c r="U42" s="32">
        <f t="shared" si="13"/>
        <v>8722241.9353570268</v>
      </c>
      <c r="V42" s="32">
        <f t="shared" si="13"/>
        <v>8551217.5836833585</v>
      </c>
      <c r="W42" s="32">
        <f t="shared" si="13"/>
        <v>8383546.6506699612</v>
      </c>
      <c r="X42" s="32">
        <f t="shared" si="13"/>
        <v>8219163.3830097644</v>
      </c>
      <c r="Y42" s="32">
        <f t="shared" si="13"/>
        <v>8058003.3166762395</v>
      </c>
      <c r="Z42" s="32">
        <f t="shared" si="13"/>
        <v>7900003.2516433727</v>
      </c>
      <c r="AA42" s="32">
        <f t="shared" si="13"/>
        <v>7745101.2271013465</v>
      </c>
      <c r="AB42" s="32">
        <f t="shared" si="14"/>
        <v>7593236.4971581819</v>
      </c>
      <c r="AC42" s="32">
        <f t="shared" si="14"/>
        <v>7444349.5070178257</v>
      </c>
      <c r="AD42" s="32">
        <f t="shared" si="14"/>
        <v>7298381.8696253188</v>
      </c>
      <c r="AE42" s="32">
        <f t="shared" si="14"/>
        <v>7155276.3427699218</v>
      </c>
      <c r="AF42" s="32">
        <f t="shared" si="14"/>
        <v>7014976.8066371782</v>
      </c>
      <c r="AG42" s="32">
        <f t="shared" si="14"/>
        <v>6877428.2418011548</v>
      </c>
      <c r="AH42" s="32">
        <f t="shared" si="14"/>
        <v>6742576.7076481907</v>
      </c>
      <c r="AI42" s="32">
        <f t="shared" si="14"/>
        <v>6610369.3212237172</v>
      </c>
      <c r="AJ42" s="32">
        <f t="shared" si="14"/>
        <v>6480754.236493839</v>
      </c>
      <c r="AK42" s="32">
        <f t="shared" si="14"/>
        <v>6353680.6240135683</v>
      </c>
      <c r="AL42" s="32">
        <f t="shared" si="15"/>
        <v>6229098.6509936946</v>
      </c>
      <c r="AM42" s="32">
        <f t="shared" si="15"/>
        <v>6106959.4617585251</v>
      </c>
      <c r="AN42" s="32">
        <f t="shared" si="15"/>
        <v>5987215.158586788</v>
      </c>
      <c r="AO42" s="32">
        <f t="shared" si="15"/>
        <v>5869818.7829282228</v>
      </c>
      <c r="AP42" s="32">
        <f t="shared" si="15"/>
        <v>5754724.2969884546</v>
      </c>
      <c r="AQ42" s="32">
        <f t="shared" si="15"/>
        <v>5641886.565674956</v>
      </c>
      <c r="AR42" s="32">
        <f t="shared" si="15"/>
        <v>5531261.3388970159</v>
      </c>
      <c r="AS42" s="32">
        <f t="shared" si="15"/>
        <v>5422805.2342127599</v>
      </c>
      <c r="AT42" s="32">
        <f t="shared" si="15"/>
        <v>5316475.7198164305</v>
      </c>
      <c r="AU42" s="32">
        <f t="shared" si="15"/>
        <v>5212231.0978592476</v>
      </c>
      <c r="AV42" s="32">
        <f t="shared" si="16"/>
        <v>5110030.4880973008</v>
      </c>
      <c r="AW42" s="32">
        <f t="shared" si="16"/>
        <v>0</v>
      </c>
      <c r="AX42" s="32">
        <f t="shared" si="16"/>
        <v>0</v>
      </c>
      <c r="AY42" s="32">
        <f t="shared" si="16"/>
        <v>0</v>
      </c>
      <c r="AZ42" s="32">
        <f t="shared" si="16"/>
        <v>0</v>
      </c>
      <c r="BA42" s="32">
        <f t="shared" si="16"/>
        <v>0</v>
      </c>
      <c r="BB42" s="32">
        <f t="shared" si="16"/>
        <v>0</v>
      </c>
      <c r="BC42" s="32">
        <f t="shared" si="16"/>
        <v>0</v>
      </c>
      <c r="BD42" s="32">
        <f t="shared" si="16"/>
        <v>0</v>
      </c>
      <c r="BE42" s="32">
        <f t="shared" si="16"/>
        <v>0</v>
      </c>
      <c r="BF42" s="32">
        <f t="shared" si="16"/>
        <v>0</v>
      </c>
    </row>
    <row r="43" spans="3:58" x14ac:dyDescent="0.2">
      <c r="C43" s="8" t="str">
        <v>Jamaica</v>
      </c>
      <c r="D43" s="56" t="str">
        <v>Latin America &amp; Caribbean</v>
      </c>
      <c r="E43" s="39">
        <f t="shared" si="0"/>
        <v>1051694.575</v>
      </c>
      <c r="F43" s="141">
        <f t="shared" si="6"/>
        <v>23433093.26012966</v>
      </c>
      <c r="H43" s="32">
        <f t="shared" ref="H43:Q52" si="17">IFERROR(IF(H$11&lt;=$F$3,$E43/(1+$I$3)^H$11,0),"No value")</f>
        <v>1051694.575</v>
      </c>
      <c r="I43" s="32">
        <f t="shared" si="17"/>
        <v>1031073.112745098</v>
      </c>
      <c r="J43" s="32">
        <f t="shared" si="17"/>
        <v>1010855.992887351</v>
      </c>
      <c r="K43" s="32">
        <f t="shared" si="17"/>
        <v>991035.28714446176</v>
      </c>
      <c r="L43" s="32">
        <f t="shared" si="17"/>
        <v>971603.22269064875</v>
      </c>
      <c r="M43" s="32">
        <f t="shared" si="17"/>
        <v>952552.17910847918</v>
      </c>
      <c r="N43" s="32">
        <f t="shared" si="17"/>
        <v>933874.68540046969</v>
      </c>
      <c r="O43" s="32">
        <f t="shared" si="17"/>
        <v>915563.41705928429</v>
      </c>
      <c r="P43" s="32">
        <f t="shared" si="17"/>
        <v>897611.19319537666</v>
      </c>
      <c r="Q43" s="32">
        <f t="shared" si="17"/>
        <v>880010.97372095753</v>
      </c>
      <c r="R43" s="32">
        <f t="shared" ref="R43:AA52" si="18">IFERROR(IF(R$11&lt;=$F$3,$E43/(1+$I$3)^R$11,0),"No value")</f>
        <v>862755.85658917401</v>
      </c>
      <c r="S43" s="32">
        <f t="shared" si="18"/>
        <v>845839.07508742565</v>
      </c>
      <c r="T43" s="32">
        <f t="shared" si="18"/>
        <v>829253.9951837504</v>
      </c>
      <c r="U43" s="32">
        <f t="shared" si="18"/>
        <v>812994.11292524554</v>
      </c>
      <c r="V43" s="32">
        <f t="shared" si="18"/>
        <v>797053.05188749556</v>
      </c>
      <c r="W43" s="32">
        <f t="shared" si="18"/>
        <v>781424.56067401555</v>
      </c>
      <c r="X43" s="32">
        <f t="shared" si="18"/>
        <v>766102.51046472101</v>
      </c>
      <c r="Y43" s="32">
        <f t="shared" si="18"/>
        <v>751080.89261247148</v>
      </c>
      <c r="Z43" s="32">
        <f t="shared" si="18"/>
        <v>736353.81628673687</v>
      </c>
      <c r="AA43" s="32">
        <f t="shared" si="18"/>
        <v>721915.50616346754</v>
      </c>
      <c r="AB43" s="32">
        <f t="shared" ref="AB43:AK52" si="19">IFERROR(IF(AB$11&lt;=$F$3,$E43/(1+$I$3)^AB$11,0),"No value")</f>
        <v>707760.30016026215</v>
      </c>
      <c r="AC43" s="32">
        <f t="shared" si="19"/>
        <v>693882.64721594332</v>
      </c>
      <c r="AD43" s="32">
        <f t="shared" si="19"/>
        <v>680277.10511366988</v>
      </c>
      <c r="AE43" s="32">
        <f t="shared" si="19"/>
        <v>666938.33834673534</v>
      </c>
      <c r="AF43" s="32">
        <f t="shared" si="19"/>
        <v>653861.11602621106</v>
      </c>
      <c r="AG43" s="32">
        <f t="shared" si="19"/>
        <v>641040.30982961867</v>
      </c>
      <c r="AH43" s="32">
        <f t="shared" si="19"/>
        <v>628470.89198982215</v>
      </c>
      <c r="AI43" s="32">
        <f t="shared" si="19"/>
        <v>616147.93332335516</v>
      </c>
      <c r="AJ43" s="32">
        <f t="shared" si="19"/>
        <v>604066.60129740695</v>
      </c>
      <c r="AK43" s="32">
        <f t="shared" si="19"/>
        <v>592222.15813471284</v>
      </c>
      <c r="AL43" s="32">
        <f t="shared" ref="AL43:AU52" si="20">IFERROR(IF(AL$11&lt;=$F$3,$E43/(1+$I$3)^AL$11,0),"No value")</f>
        <v>580609.95895560074</v>
      </c>
      <c r="AM43" s="32">
        <f t="shared" si="20"/>
        <v>569225.44995647145</v>
      </c>
      <c r="AN43" s="32">
        <f t="shared" si="20"/>
        <v>558064.16662399145</v>
      </c>
      <c r="AO43" s="32">
        <f t="shared" si="20"/>
        <v>547121.73198430531</v>
      </c>
      <c r="AP43" s="32">
        <f t="shared" si="20"/>
        <v>536393.85488657386</v>
      </c>
      <c r="AQ43" s="32">
        <f t="shared" si="20"/>
        <v>525876.32832017052</v>
      </c>
      <c r="AR43" s="32">
        <f t="shared" si="20"/>
        <v>515565.02776487306</v>
      </c>
      <c r="AS43" s="32">
        <f t="shared" si="20"/>
        <v>505455.90957340488</v>
      </c>
      <c r="AT43" s="32">
        <f t="shared" si="20"/>
        <v>495545.00938569102</v>
      </c>
      <c r="AU43" s="32">
        <f t="shared" si="20"/>
        <v>485828.44057420705</v>
      </c>
      <c r="AV43" s="32">
        <f t="shared" ref="AV43:BF52" si="21">IFERROR(IF(AV$11&lt;=$F$3,$E43/(1+$I$3)^AV$11,0),"No value")</f>
        <v>476302.39271981071</v>
      </c>
      <c r="AW43" s="32">
        <f t="shared" si="21"/>
        <v>0</v>
      </c>
      <c r="AX43" s="32">
        <f t="shared" si="21"/>
        <v>0</v>
      </c>
      <c r="AY43" s="32">
        <f t="shared" si="21"/>
        <v>0</v>
      </c>
      <c r="AZ43" s="32">
        <f t="shared" si="21"/>
        <v>0</v>
      </c>
      <c r="BA43" s="32">
        <f t="shared" si="21"/>
        <v>0</v>
      </c>
      <c r="BB43" s="32">
        <f t="shared" si="21"/>
        <v>0</v>
      </c>
      <c r="BC43" s="32">
        <f t="shared" si="21"/>
        <v>0</v>
      </c>
      <c r="BD43" s="32">
        <f t="shared" si="21"/>
        <v>0</v>
      </c>
      <c r="BE43" s="32">
        <f t="shared" si="21"/>
        <v>0</v>
      </c>
      <c r="BF43" s="32">
        <f t="shared" si="21"/>
        <v>0</v>
      </c>
    </row>
    <row r="44" spans="3:58" x14ac:dyDescent="0.2">
      <c r="C44" s="8" t="str">
        <v>Japan</v>
      </c>
      <c r="D44" s="56" t="str">
        <v>East Asia &amp; Pacific</v>
      </c>
      <c r="E44" s="39">
        <f t="shared" si="0"/>
        <v>6151680.0000000009</v>
      </c>
      <c r="F44" s="141">
        <f t="shared" si="6"/>
        <v>137067257.52243656</v>
      </c>
      <c r="H44" s="32">
        <f t="shared" si="17"/>
        <v>6151680.0000000009</v>
      </c>
      <c r="I44" s="32">
        <f t="shared" si="17"/>
        <v>6031058.823529413</v>
      </c>
      <c r="J44" s="32">
        <f t="shared" si="17"/>
        <v>5912802.7681660913</v>
      </c>
      <c r="K44" s="32">
        <f t="shared" si="17"/>
        <v>5796865.4589863643</v>
      </c>
      <c r="L44" s="32">
        <f t="shared" si="17"/>
        <v>5683201.4303787882</v>
      </c>
      <c r="M44" s="32">
        <f t="shared" si="17"/>
        <v>5571766.1082144976</v>
      </c>
      <c r="N44" s="32">
        <f t="shared" si="17"/>
        <v>5462515.7923671547</v>
      </c>
      <c r="O44" s="32">
        <f t="shared" si="17"/>
        <v>5355407.6395756425</v>
      </c>
      <c r="P44" s="32">
        <f t="shared" si="17"/>
        <v>5250399.6466427865</v>
      </c>
      <c r="Q44" s="32">
        <f t="shared" si="17"/>
        <v>5147450.633963516</v>
      </c>
      <c r="R44" s="32">
        <f t="shared" si="18"/>
        <v>5046520.2293759957</v>
      </c>
      <c r="S44" s="32">
        <f t="shared" si="18"/>
        <v>4947568.8523294087</v>
      </c>
      <c r="T44" s="32">
        <f t="shared" si="18"/>
        <v>4850557.6983621651</v>
      </c>
      <c r="U44" s="32">
        <f t="shared" si="18"/>
        <v>4755448.7238844754</v>
      </c>
      <c r="V44" s="32">
        <f t="shared" si="18"/>
        <v>4662204.6312592896</v>
      </c>
      <c r="W44" s="32">
        <f t="shared" si="18"/>
        <v>4570788.8541757753</v>
      </c>
      <c r="X44" s="32">
        <f t="shared" si="18"/>
        <v>4481165.5433095824</v>
      </c>
      <c r="Y44" s="32">
        <f t="shared" si="18"/>
        <v>4393299.5522642964</v>
      </c>
      <c r="Z44" s="32">
        <f t="shared" si="18"/>
        <v>4307156.4237885261</v>
      </c>
      <c r="AA44" s="32">
        <f t="shared" si="18"/>
        <v>4222702.3762632608</v>
      </c>
      <c r="AB44" s="32">
        <f t="shared" si="19"/>
        <v>4139904.2904541772</v>
      </c>
      <c r="AC44" s="32">
        <f t="shared" si="19"/>
        <v>4058729.6965237036</v>
      </c>
      <c r="AD44" s="32">
        <f t="shared" si="19"/>
        <v>3979146.7612977484</v>
      </c>
      <c r="AE44" s="32">
        <f t="shared" si="19"/>
        <v>3901124.2757821069</v>
      </c>
      <c r="AF44" s="32">
        <f t="shared" si="19"/>
        <v>3824631.642923634</v>
      </c>
      <c r="AG44" s="32">
        <f t="shared" si="19"/>
        <v>3749638.865611406</v>
      </c>
      <c r="AH44" s="32">
        <f t="shared" si="19"/>
        <v>3676116.5349131427</v>
      </c>
      <c r="AI44" s="32">
        <f t="shared" si="19"/>
        <v>3604035.8185422975</v>
      </c>
      <c r="AJ44" s="32">
        <f t="shared" si="19"/>
        <v>3533368.4495512713</v>
      </c>
      <c r="AK44" s="32">
        <f t="shared" si="19"/>
        <v>3464086.7152463449</v>
      </c>
      <c r="AL44" s="32">
        <f t="shared" si="20"/>
        <v>3396163.4463199456</v>
      </c>
      <c r="AM44" s="32">
        <f t="shared" si="20"/>
        <v>3329572.0061960258</v>
      </c>
      <c r="AN44" s="32">
        <f t="shared" si="20"/>
        <v>3264286.2805843386</v>
      </c>
      <c r="AO44" s="32">
        <f t="shared" si="20"/>
        <v>3200280.6672395472</v>
      </c>
      <c r="AP44" s="32">
        <f t="shared" si="20"/>
        <v>3137530.065921125</v>
      </c>
      <c r="AQ44" s="32">
        <f t="shared" si="20"/>
        <v>3076009.8685501227</v>
      </c>
      <c r="AR44" s="32">
        <f t="shared" si="20"/>
        <v>3015695.949558944</v>
      </c>
      <c r="AS44" s="32">
        <f t="shared" si="20"/>
        <v>2956564.6564303366</v>
      </c>
      <c r="AT44" s="32">
        <f t="shared" si="20"/>
        <v>2898592.8004218987</v>
      </c>
      <c r="AU44" s="32">
        <f t="shared" si="20"/>
        <v>2841757.6474724505</v>
      </c>
      <c r="AV44" s="32">
        <f t="shared" si="21"/>
        <v>2786036.9092867156</v>
      </c>
      <c r="AW44" s="32">
        <f t="shared" si="21"/>
        <v>0</v>
      </c>
      <c r="AX44" s="32">
        <f t="shared" si="21"/>
        <v>0</v>
      </c>
      <c r="AY44" s="32">
        <f t="shared" si="21"/>
        <v>0</v>
      </c>
      <c r="AZ44" s="32">
        <f t="shared" si="21"/>
        <v>0</v>
      </c>
      <c r="BA44" s="32">
        <f t="shared" si="21"/>
        <v>0</v>
      </c>
      <c r="BB44" s="32">
        <f t="shared" si="21"/>
        <v>0</v>
      </c>
      <c r="BC44" s="32">
        <f t="shared" si="21"/>
        <v>0</v>
      </c>
      <c r="BD44" s="32">
        <f t="shared" si="21"/>
        <v>0</v>
      </c>
      <c r="BE44" s="32">
        <f t="shared" si="21"/>
        <v>0</v>
      </c>
      <c r="BF44" s="32">
        <f t="shared" si="21"/>
        <v>0</v>
      </c>
    </row>
    <row r="45" spans="3:58" x14ac:dyDescent="0.2">
      <c r="C45" s="8" t="str">
        <v>Jordan</v>
      </c>
      <c r="D45" s="56" t="str">
        <v>Middle East &amp; North Africa</v>
      </c>
      <c r="E45" s="39">
        <f t="shared" ref="E45:E74" si="22">INDEX(Input_LandfillFlowTonnes,MATCH(C45,Input_countries,0))</f>
        <v>1214398.56</v>
      </c>
      <c r="F45" s="141">
        <f t="shared" si="6"/>
        <v>27058345.06320161</v>
      </c>
      <c r="H45" s="32">
        <f t="shared" si="17"/>
        <v>1214398.56</v>
      </c>
      <c r="I45" s="32">
        <f t="shared" si="17"/>
        <v>1190586.8235294118</v>
      </c>
      <c r="J45" s="32">
        <f t="shared" si="17"/>
        <v>1167241.9838523646</v>
      </c>
      <c r="K45" s="32">
        <f t="shared" si="17"/>
        <v>1144354.8861297693</v>
      </c>
      <c r="L45" s="32">
        <f t="shared" si="17"/>
        <v>1121916.5550291855</v>
      </c>
      <c r="M45" s="32">
        <f t="shared" si="17"/>
        <v>1099918.1912050839</v>
      </c>
      <c r="N45" s="32">
        <f t="shared" si="17"/>
        <v>1078351.1678481214</v>
      </c>
      <c r="O45" s="32">
        <f t="shared" si="17"/>
        <v>1057207.0273020798</v>
      </c>
      <c r="P45" s="32">
        <f t="shared" si="17"/>
        <v>1036477.4777471371</v>
      </c>
      <c r="Q45" s="32">
        <f t="shared" si="17"/>
        <v>1016154.3899481735</v>
      </c>
      <c r="R45" s="32">
        <f t="shared" si="18"/>
        <v>996229.79406683682</v>
      </c>
      <c r="S45" s="32">
        <f t="shared" si="18"/>
        <v>976695.87653611472</v>
      </c>
      <c r="T45" s="32">
        <f t="shared" si="18"/>
        <v>957544.97699619073</v>
      </c>
      <c r="U45" s="32">
        <f t="shared" si="18"/>
        <v>938769.58529038308</v>
      </c>
      <c r="V45" s="32">
        <f t="shared" si="18"/>
        <v>920362.33851998334</v>
      </c>
      <c r="W45" s="32">
        <f t="shared" si="18"/>
        <v>902316.01815684664</v>
      </c>
      <c r="X45" s="32">
        <f t="shared" si="18"/>
        <v>884623.54721259465</v>
      </c>
      <c r="Y45" s="32">
        <f t="shared" si="18"/>
        <v>867277.98746332806</v>
      </c>
      <c r="Z45" s="32">
        <f t="shared" si="18"/>
        <v>850272.53672875301</v>
      </c>
      <c r="AA45" s="32">
        <f t="shared" si="18"/>
        <v>833600.52620465984</v>
      </c>
      <c r="AB45" s="32">
        <f t="shared" si="19"/>
        <v>817255.41784770566</v>
      </c>
      <c r="AC45" s="32">
        <f t="shared" si="19"/>
        <v>801230.80181147624</v>
      </c>
      <c r="AD45" s="32">
        <f t="shared" si="19"/>
        <v>785520.39393281972</v>
      </c>
      <c r="AE45" s="32">
        <f t="shared" si="19"/>
        <v>770118.03326747054</v>
      </c>
      <c r="AF45" s="32">
        <f t="shared" si="19"/>
        <v>755017.6796739907</v>
      </c>
      <c r="AG45" s="32">
        <f t="shared" si="19"/>
        <v>740213.41144508892</v>
      </c>
      <c r="AH45" s="32">
        <f t="shared" si="19"/>
        <v>725699.42298538121</v>
      </c>
      <c r="AI45" s="32">
        <f t="shared" si="19"/>
        <v>711470.02253468754</v>
      </c>
      <c r="AJ45" s="32">
        <f t="shared" si="19"/>
        <v>697519.62993596809</v>
      </c>
      <c r="AK45" s="32">
        <f t="shared" si="19"/>
        <v>683842.77444702759</v>
      </c>
      <c r="AL45" s="32">
        <f t="shared" si="20"/>
        <v>670434.09259512508</v>
      </c>
      <c r="AM45" s="32">
        <f t="shared" si="20"/>
        <v>657288.32607365213</v>
      </c>
      <c r="AN45" s="32">
        <f t="shared" si="20"/>
        <v>644400.31968005095</v>
      </c>
      <c r="AO45" s="32">
        <f t="shared" si="20"/>
        <v>631765.01929416764</v>
      </c>
      <c r="AP45" s="32">
        <f t="shared" si="20"/>
        <v>619377.46989624284</v>
      </c>
      <c r="AQ45" s="32">
        <f t="shared" si="20"/>
        <v>607232.81362376746</v>
      </c>
      <c r="AR45" s="32">
        <f t="shared" si="20"/>
        <v>595326.28786643874</v>
      </c>
      <c r="AS45" s="32">
        <f t="shared" si="20"/>
        <v>583653.22339846927</v>
      </c>
      <c r="AT45" s="32">
        <f t="shared" si="20"/>
        <v>572209.04254751885</v>
      </c>
      <c r="AU45" s="32">
        <f t="shared" si="20"/>
        <v>560989.25739952852</v>
      </c>
      <c r="AV45" s="32">
        <f t="shared" si="21"/>
        <v>549989.46803875326</v>
      </c>
      <c r="AW45" s="32">
        <f t="shared" si="21"/>
        <v>0</v>
      </c>
      <c r="AX45" s="32">
        <f t="shared" si="21"/>
        <v>0</v>
      </c>
      <c r="AY45" s="32">
        <f t="shared" si="21"/>
        <v>0</v>
      </c>
      <c r="AZ45" s="32">
        <f t="shared" si="21"/>
        <v>0</v>
      </c>
      <c r="BA45" s="32">
        <f t="shared" si="21"/>
        <v>0</v>
      </c>
      <c r="BB45" s="32">
        <f t="shared" si="21"/>
        <v>0</v>
      </c>
      <c r="BC45" s="32">
        <f t="shared" si="21"/>
        <v>0</v>
      </c>
      <c r="BD45" s="32">
        <f t="shared" si="21"/>
        <v>0</v>
      </c>
      <c r="BE45" s="32">
        <f t="shared" si="21"/>
        <v>0</v>
      </c>
      <c r="BF45" s="32">
        <f t="shared" si="21"/>
        <v>0</v>
      </c>
    </row>
    <row r="46" spans="3:58" x14ac:dyDescent="0.2">
      <c r="C46" s="8" t="str">
        <v>Korea, Rep.</v>
      </c>
      <c r="D46" s="56" t="str">
        <v>East Asia &amp; Pacific</v>
      </c>
      <c r="E46" s="39">
        <f t="shared" si="22"/>
        <v>3272444.16</v>
      </c>
      <c r="F46" s="141">
        <f t="shared" si="6"/>
        <v>72914219.596356377</v>
      </c>
      <c r="H46" s="32">
        <f t="shared" si="17"/>
        <v>3272444.16</v>
      </c>
      <c r="I46" s="32">
        <f t="shared" si="17"/>
        <v>3208278.588235294</v>
      </c>
      <c r="J46" s="32">
        <f t="shared" si="17"/>
        <v>3145371.164936563</v>
      </c>
      <c r="K46" s="32">
        <f t="shared" si="17"/>
        <v>3083697.2205260424</v>
      </c>
      <c r="L46" s="32">
        <f t="shared" si="17"/>
        <v>3023232.5691431789</v>
      </c>
      <c r="M46" s="32">
        <f t="shared" si="17"/>
        <v>2963953.4991599792</v>
      </c>
      <c r="N46" s="32">
        <f t="shared" si="17"/>
        <v>2905836.763882332</v>
      </c>
      <c r="O46" s="32">
        <f t="shared" si="17"/>
        <v>2848859.5724336598</v>
      </c>
      <c r="P46" s="32">
        <f t="shared" si="17"/>
        <v>2792999.5808173129</v>
      </c>
      <c r="Q46" s="32">
        <f t="shared" si="17"/>
        <v>2738234.8831542283</v>
      </c>
      <c r="R46" s="32">
        <f t="shared" si="18"/>
        <v>2684544.0030923807</v>
      </c>
      <c r="S46" s="32">
        <f t="shared" si="18"/>
        <v>2631905.8853846877</v>
      </c>
      <c r="T46" s="32">
        <f t="shared" si="18"/>
        <v>2580299.8876320464</v>
      </c>
      <c r="U46" s="32">
        <f t="shared" si="18"/>
        <v>2529705.7721882807</v>
      </c>
      <c r="V46" s="32">
        <f t="shared" si="18"/>
        <v>2480103.6982238046</v>
      </c>
      <c r="W46" s="32">
        <f t="shared" si="18"/>
        <v>2431474.2139449068</v>
      </c>
      <c r="X46" s="32">
        <f t="shared" si="18"/>
        <v>2383798.2489655945</v>
      </c>
      <c r="Y46" s="32">
        <f t="shared" si="18"/>
        <v>2337057.1068290141</v>
      </c>
      <c r="Z46" s="32">
        <f t="shared" si="18"/>
        <v>2291232.4576755045</v>
      </c>
      <c r="AA46" s="32">
        <f t="shared" si="18"/>
        <v>2246306.331054416</v>
      </c>
      <c r="AB46" s="32">
        <f t="shared" si="19"/>
        <v>2202261.1088768784</v>
      </c>
      <c r="AC46" s="32">
        <f t="shared" si="19"/>
        <v>2159079.5185067435</v>
      </c>
      <c r="AD46" s="32">
        <f t="shared" si="19"/>
        <v>2116744.6259870036</v>
      </c>
      <c r="AE46" s="32">
        <f t="shared" si="19"/>
        <v>2075239.8293990232</v>
      </c>
      <c r="AF46" s="32">
        <f t="shared" si="19"/>
        <v>2034548.8523519835</v>
      </c>
      <c r="AG46" s="32">
        <f t="shared" si="19"/>
        <v>1994655.7375999838</v>
      </c>
      <c r="AH46" s="32">
        <f t="shared" si="19"/>
        <v>1955544.8407842978</v>
      </c>
      <c r="AI46" s="32">
        <f t="shared" si="19"/>
        <v>1917200.8242983315</v>
      </c>
      <c r="AJ46" s="32">
        <f t="shared" si="19"/>
        <v>1879608.6512728736</v>
      </c>
      <c r="AK46" s="32">
        <f t="shared" si="19"/>
        <v>1842753.579679288</v>
      </c>
      <c r="AL46" s="32">
        <f t="shared" si="20"/>
        <v>1806621.1565483215</v>
      </c>
      <c r="AM46" s="32">
        <f t="shared" si="20"/>
        <v>1771197.2123022764</v>
      </c>
      <c r="AN46" s="32">
        <f t="shared" si="20"/>
        <v>1736467.8551983098</v>
      </c>
      <c r="AO46" s="32">
        <f t="shared" si="20"/>
        <v>1702419.4658806957</v>
      </c>
      <c r="AP46" s="32">
        <f t="shared" si="20"/>
        <v>1669038.6920398979</v>
      </c>
      <c r="AQ46" s="32">
        <f t="shared" si="20"/>
        <v>1636312.4431763706</v>
      </c>
      <c r="AR46" s="32">
        <f t="shared" si="20"/>
        <v>1604227.8854670301</v>
      </c>
      <c r="AS46" s="32">
        <f t="shared" si="20"/>
        <v>1572772.4367323823</v>
      </c>
      <c r="AT46" s="32">
        <f t="shared" si="20"/>
        <v>1541933.7615023353</v>
      </c>
      <c r="AU46" s="32">
        <f t="shared" si="20"/>
        <v>1511699.7661787607</v>
      </c>
      <c r="AV46" s="32">
        <f t="shared" si="21"/>
        <v>1482058.5942929024</v>
      </c>
      <c r="AW46" s="32">
        <f t="shared" si="21"/>
        <v>0</v>
      </c>
      <c r="AX46" s="32">
        <f t="shared" si="21"/>
        <v>0</v>
      </c>
      <c r="AY46" s="32">
        <f t="shared" si="21"/>
        <v>0</v>
      </c>
      <c r="AZ46" s="32">
        <f t="shared" si="21"/>
        <v>0</v>
      </c>
      <c r="BA46" s="32">
        <f t="shared" si="21"/>
        <v>0</v>
      </c>
      <c r="BB46" s="32">
        <f t="shared" si="21"/>
        <v>0</v>
      </c>
      <c r="BC46" s="32">
        <f t="shared" si="21"/>
        <v>0</v>
      </c>
      <c r="BD46" s="32">
        <f t="shared" si="21"/>
        <v>0</v>
      </c>
      <c r="BE46" s="32">
        <f t="shared" si="21"/>
        <v>0</v>
      </c>
      <c r="BF46" s="32">
        <f t="shared" si="21"/>
        <v>0</v>
      </c>
    </row>
    <row r="47" spans="3:58" x14ac:dyDescent="0.2">
      <c r="C47" s="8" t="str">
        <v>Latvia</v>
      </c>
      <c r="D47" s="56" t="str">
        <v>Europe &amp; Central Asia</v>
      </c>
      <c r="E47" s="39">
        <f t="shared" si="22"/>
        <v>615426.66543750011</v>
      </c>
      <c r="F47" s="141">
        <f t="shared" si="6"/>
        <v>13712489.147305485</v>
      </c>
      <c r="H47" s="32">
        <f t="shared" si="17"/>
        <v>615426.66543750011</v>
      </c>
      <c r="I47" s="32">
        <f t="shared" si="17"/>
        <v>603359.47591911769</v>
      </c>
      <c r="J47" s="32">
        <f t="shared" si="17"/>
        <v>591528.89795991941</v>
      </c>
      <c r="K47" s="32">
        <f t="shared" si="17"/>
        <v>579930.29211756808</v>
      </c>
      <c r="L47" s="32">
        <f t="shared" si="17"/>
        <v>568559.10991918435</v>
      </c>
      <c r="M47" s="32">
        <f t="shared" si="17"/>
        <v>557410.89207763167</v>
      </c>
      <c r="N47" s="32">
        <f t="shared" si="17"/>
        <v>546481.26674277615</v>
      </c>
      <c r="O47" s="32">
        <f t="shared" si="17"/>
        <v>535765.94778703549</v>
      </c>
      <c r="P47" s="32">
        <f t="shared" si="17"/>
        <v>525260.73312454461</v>
      </c>
      <c r="Q47" s="32">
        <f t="shared" si="17"/>
        <v>514961.50306327903</v>
      </c>
      <c r="R47" s="32">
        <f t="shared" si="18"/>
        <v>504864.21868948924</v>
      </c>
      <c r="S47" s="32">
        <f t="shared" si="18"/>
        <v>494964.92028381303</v>
      </c>
      <c r="T47" s="32">
        <f t="shared" si="18"/>
        <v>485259.72576844407</v>
      </c>
      <c r="U47" s="32">
        <f t="shared" si="18"/>
        <v>475744.82918474911</v>
      </c>
      <c r="V47" s="32">
        <f t="shared" si="18"/>
        <v>466416.49920073437</v>
      </c>
      <c r="W47" s="32">
        <f t="shared" si="18"/>
        <v>457271.07764777896</v>
      </c>
      <c r="X47" s="32">
        <f t="shared" si="18"/>
        <v>448304.9780860577</v>
      </c>
      <c r="Y47" s="32">
        <f t="shared" si="18"/>
        <v>439514.68439809576</v>
      </c>
      <c r="Z47" s="32">
        <f t="shared" si="18"/>
        <v>430896.74940989783</v>
      </c>
      <c r="AA47" s="32">
        <f t="shared" si="18"/>
        <v>422447.79353911558</v>
      </c>
      <c r="AB47" s="32">
        <f t="shared" si="19"/>
        <v>414164.50346972106</v>
      </c>
      <c r="AC47" s="32">
        <f t="shared" si="19"/>
        <v>406043.63085266779</v>
      </c>
      <c r="AD47" s="32">
        <f t="shared" si="19"/>
        <v>398081.99103202717</v>
      </c>
      <c r="AE47" s="32">
        <f t="shared" si="19"/>
        <v>390276.46179610514</v>
      </c>
      <c r="AF47" s="32">
        <f t="shared" si="19"/>
        <v>382623.98215304426</v>
      </c>
      <c r="AG47" s="32">
        <f t="shared" si="19"/>
        <v>375121.55113043555</v>
      </c>
      <c r="AH47" s="32">
        <f t="shared" si="19"/>
        <v>367766.22659846616</v>
      </c>
      <c r="AI47" s="32">
        <f t="shared" si="19"/>
        <v>360555.12411614339</v>
      </c>
      <c r="AJ47" s="32">
        <f t="shared" si="19"/>
        <v>353485.41580014047</v>
      </c>
      <c r="AK47" s="32">
        <f t="shared" si="19"/>
        <v>346554.32921582408</v>
      </c>
      <c r="AL47" s="32">
        <f t="shared" si="20"/>
        <v>339759.14629002358</v>
      </c>
      <c r="AM47" s="32">
        <f t="shared" si="20"/>
        <v>333097.20224512124</v>
      </c>
      <c r="AN47" s="32">
        <f t="shared" si="20"/>
        <v>326565.88455404033</v>
      </c>
      <c r="AO47" s="32">
        <f t="shared" si="20"/>
        <v>320162.63191572583</v>
      </c>
      <c r="AP47" s="32">
        <f t="shared" si="20"/>
        <v>313884.93325071159</v>
      </c>
      <c r="AQ47" s="32">
        <f t="shared" si="20"/>
        <v>307730.32671638392</v>
      </c>
      <c r="AR47" s="32">
        <f t="shared" si="20"/>
        <v>301696.3987415529</v>
      </c>
      <c r="AS47" s="32">
        <f t="shared" si="20"/>
        <v>295780.78307995381</v>
      </c>
      <c r="AT47" s="32">
        <f t="shared" si="20"/>
        <v>289981.15988230758</v>
      </c>
      <c r="AU47" s="32">
        <f t="shared" si="20"/>
        <v>284295.2547865762</v>
      </c>
      <c r="AV47" s="32">
        <f t="shared" si="21"/>
        <v>278720.83802605502</v>
      </c>
      <c r="AW47" s="32">
        <f t="shared" si="21"/>
        <v>0</v>
      </c>
      <c r="AX47" s="32">
        <f t="shared" si="21"/>
        <v>0</v>
      </c>
      <c r="AY47" s="32">
        <f t="shared" si="21"/>
        <v>0</v>
      </c>
      <c r="AZ47" s="32">
        <f t="shared" si="21"/>
        <v>0</v>
      </c>
      <c r="BA47" s="32">
        <f t="shared" si="21"/>
        <v>0</v>
      </c>
      <c r="BB47" s="32">
        <f t="shared" si="21"/>
        <v>0</v>
      </c>
      <c r="BC47" s="32">
        <f t="shared" si="21"/>
        <v>0</v>
      </c>
      <c r="BD47" s="32">
        <f t="shared" si="21"/>
        <v>0</v>
      </c>
      <c r="BE47" s="32">
        <f t="shared" si="21"/>
        <v>0</v>
      </c>
      <c r="BF47" s="32">
        <f t="shared" si="21"/>
        <v>0</v>
      </c>
    </row>
    <row r="48" spans="3:58" x14ac:dyDescent="0.2">
      <c r="C48" s="8" t="str">
        <v>Lithuania</v>
      </c>
      <c r="D48" s="56" t="str">
        <v>Europe &amp; Central Asia</v>
      </c>
      <c r="E48" s="39">
        <f t="shared" si="22"/>
        <v>728594.72871249996</v>
      </c>
      <c r="F48" s="141">
        <f t="shared" si="6"/>
        <v>16234017.587053616</v>
      </c>
      <c r="H48" s="32">
        <f t="shared" si="17"/>
        <v>728594.72871249996</v>
      </c>
      <c r="I48" s="32">
        <f t="shared" si="17"/>
        <v>714308.5575612745</v>
      </c>
      <c r="J48" s="32">
        <f t="shared" si="17"/>
        <v>700302.50741301419</v>
      </c>
      <c r="K48" s="32">
        <f t="shared" si="17"/>
        <v>686571.08569903357</v>
      </c>
      <c r="L48" s="32">
        <f t="shared" si="17"/>
        <v>673108.90754807205</v>
      </c>
      <c r="M48" s="32">
        <f t="shared" si="17"/>
        <v>659910.69367458043</v>
      </c>
      <c r="N48" s="32">
        <f t="shared" si="17"/>
        <v>646971.26830841217</v>
      </c>
      <c r="O48" s="32">
        <f t="shared" si="17"/>
        <v>634285.55716511013</v>
      </c>
      <c r="P48" s="32">
        <f t="shared" si="17"/>
        <v>621848.58545599028</v>
      </c>
      <c r="Q48" s="32">
        <f t="shared" si="17"/>
        <v>609655.4759372453</v>
      </c>
      <c r="R48" s="32">
        <f t="shared" si="18"/>
        <v>597701.44699729932</v>
      </c>
      <c r="S48" s="32">
        <f t="shared" si="18"/>
        <v>585981.81078166608</v>
      </c>
      <c r="T48" s="32">
        <f t="shared" si="18"/>
        <v>574491.97135457455</v>
      </c>
      <c r="U48" s="32">
        <f t="shared" si="18"/>
        <v>563227.42289664177</v>
      </c>
      <c r="V48" s="32">
        <f t="shared" si="18"/>
        <v>552183.74793788395</v>
      </c>
      <c r="W48" s="32">
        <f t="shared" si="18"/>
        <v>541356.61562537658</v>
      </c>
      <c r="X48" s="32">
        <f t="shared" si="18"/>
        <v>530741.78002487891</v>
      </c>
      <c r="Y48" s="32">
        <f t="shared" si="18"/>
        <v>520335.07845576364</v>
      </c>
      <c r="Z48" s="32">
        <f t="shared" si="18"/>
        <v>510132.42985859187</v>
      </c>
      <c r="AA48" s="32">
        <f t="shared" si="18"/>
        <v>500129.83319469792</v>
      </c>
      <c r="AB48" s="32">
        <f t="shared" si="19"/>
        <v>490323.36587715475</v>
      </c>
      <c r="AC48" s="32">
        <f t="shared" si="19"/>
        <v>480709.18223250471</v>
      </c>
      <c r="AD48" s="32">
        <f t="shared" si="19"/>
        <v>471283.51199265162</v>
      </c>
      <c r="AE48" s="32">
        <f t="shared" si="19"/>
        <v>462042.65881632525</v>
      </c>
      <c r="AF48" s="32">
        <f t="shared" si="19"/>
        <v>452982.99883953453</v>
      </c>
      <c r="AG48" s="32">
        <f t="shared" si="19"/>
        <v>444100.97925444558</v>
      </c>
      <c r="AH48" s="32">
        <f t="shared" si="19"/>
        <v>435393.11691612308</v>
      </c>
      <c r="AI48" s="32">
        <f t="shared" si="19"/>
        <v>426855.99697659136</v>
      </c>
      <c r="AJ48" s="32">
        <f t="shared" si="19"/>
        <v>418486.27154567768</v>
      </c>
      <c r="AK48" s="32">
        <f t="shared" si="19"/>
        <v>410280.65837811545</v>
      </c>
      <c r="AL48" s="32">
        <f t="shared" si="20"/>
        <v>402235.93958638766</v>
      </c>
      <c r="AM48" s="32">
        <f t="shared" si="20"/>
        <v>394348.96037881152</v>
      </c>
      <c r="AN48" s="32">
        <f t="shared" si="20"/>
        <v>386616.62782236416</v>
      </c>
      <c r="AO48" s="32">
        <f t="shared" si="20"/>
        <v>379035.90962976875</v>
      </c>
      <c r="AP48" s="32">
        <f t="shared" si="20"/>
        <v>371603.83297036157</v>
      </c>
      <c r="AQ48" s="32">
        <f t="shared" si="20"/>
        <v>364317.48330427607</v>
      </c>
      <c r="AR48" s="32">
        <f t="shared" si="20"/>
        <v>357174.00323948637</v>
      </c>
      <c r="AS48" s="32">
        <f t="shared" si="20"/>
        <v>350170.59141126106</v>
      </c>
      <c r="AT48" s="32">
        <f t="shared" si="20"/>
        <v>343304.50138358923</v>
      </c>
      <c r="AU48" s="32">
        <f t="shared" si="20"/>
        <v>336573.04057214648</v>
      </c>
      <c r="AV48" s="32">
        <f t="shared" si="21"/>
        <v>329973.56918837881</v>
      </c>
      <c r="AW48" s="32">
        <f t="shared" si="21"/>
        <v>0</v>
      </c>
      <c r="AX48" s="32">
        <f t="shared" si="21"/>
        <v>0</v>
      </c>
      <c r="AY48" s="32">
        <f t="shared" si="21"/>
        <v>0</v>
      </c>
      <c r="AZ48" s="32">
        <f t="shared" si="21"/>
        <v>0</v>
      </c>
      <c r="BA48" s="32">
        <f t="shared" si="21"/>
        <v>0</v>
      </c>
      <c r="BB48" s="32">
        <f t="shared" si="21"/>
        <v>0</v>
      </c>
      <c r="BC48" s="32">
        <f t="shared" si="21"/>
        <v>0</v>
      </c>
      <c r="BD48" s="32">
        <f t="shared" si="21"/>
        <v>0</v>
      </c>
      <c r="BE48" s="32">
        <f t="shared" si="21"/>
        <v>0</v>
      </c>
      <c r="BF48" s="32">
        <f t="shared" si="21"/>
        <v>0</v>
      </c>
    </row>
    <row r="49" spans="3:58" x14ac:dyDescent="0.2">
      <c r="C49" s="8" t="str">
        <v>Malaysia</v>
      </c>
      <c r="D49" s="56" t="str">
        <v>East Asia &amp; Pacific</v>
      </c>
      <c r="E49" s="39">
        <f t="shared" si="22"/>
        <v>9282619.7750000004</v>
      </c>
      <c r="F49" s="141">
        <f t="shared" si="6"/>
        <v>206828579.37714353</v>
      </c>
      <c r="H49" s="32">
        <f t="shared" si="17"/>
        <v>9282619.7750000004</v>
      </c>
      <c r="I49" s="32">
        <f t="shared" si="17"/>
        <v>9100607.6225490198</v>
      </c>
      <c r="J49" s="32">
        <f t="shared" si="17"/>
        <v>8922164.3358323723</v>
      </c>
      <c r="K49" s="32">
        <f t="shared" si="17"/>
        <v>8747219.9370905627</v>
      </c>
      <c r="L49" s="32">
        <f t="shared" si="17"/>
        <v>8575705.8206770215</v>
      </c>
      <c r="M49" s="32">
        <f t="shared" si="17"/>
        <v>8407554.7261539418</v>
      </c>
      <c r="N49" s="32">
        <f t="shared" si="17"/>
        <v>8242700.711915629</v>
      </c>
      <c r="O49" s="32">
        <f t="shared" si="17"/>
        <v>8081079.12932905</v>
      </c>
      <c r="P49" s="32">
        <f t="shared" si="17"/>
        <v>7922626.5973814204</v>
      </c>
      <c r="Q49" s="32">
        <f t="shared" si="17"/>
        <v>7767280.9778249217</v>
      </c>
      <c r="R49" s="32">
        <f t="shared" si="18"/>
        <v>7614981.3508087471</v>
      </c>
      <c r="S49" s="32">
        <f t="shared" si="18"/>
        <v>7465667.9909889689</v>
      </c>
      <c r="T49" s="32">
        <f t="shared" si="18"/>
        <v>7319282.3441068307</v>
      </c>
      <c r="U49" s="32">
        <f t="shared" si="18"/>
        <v>7175767.0040263049</v>
      </c>
      <c r="V49" s="32">
        <f t="shared" si="18"/>
        <v>7035065.6902218675</v>
      </c>
      <c r="W49" s="32">
        <f t="shared" si="18"/>
        <v>6897123.2257077154</v>
      </c>
      <c r="X49" s="32">
        <f t="shared" si="18"/>
        <v>6761885.5153997196</v>
      </c>
      <c r="Y49" s="32">
        <f t="shared" si="18"/>
        <v>6629299.5249016853</v>
      </c>
      <c r="Z49" s="32">
        <f t="shared" si="18"/>
        <v>6499313.2597075356</v>
      </c>
      <c r="AA49" s="32">
        <f t="shared" si="18"/>
        <v>6371875.7448113095</v>
      </c>
      <c r="AB49" s="32">
        <f t="shared" si="19"/>
        <v>6246937.0047169691</v>
      </c>
      <c r="AC49" s="32">
        <f t="shared" si="19"/>
        <v>6124448.0438401662</v>
      </c>
      <c r="AD49" s="32">
        <f t="shared" si="19"/>
        <v>6004360.8272942808</v>
      </c>
      <c r="AE49" s="32">
        <f t="shared" si="19"/>
        <v>5886628.2620532168</v>
      </c>
      <c r="AF49" s="32">
        <f t="shared" si="19"/>
        <v>5771204.1784835458</v>
      </c>
      <c r="AG49" s="32">
        <f t="shared" si="19"/>
        <v>5658043.3122387705</v>
      </c>
      <c r="AH49" s="32">
        <f t="shared" si="19"/>
        <v>5547101.2865085984</v>
      </c>
      <c r="AI49" s="32">
        <f t="shared" si="19"/>
        <v>5438334.5946162734</v>
      </c>
      <c r="AJ49" s="32">
        <f t="shared" si="19"/>
        <v>5331700.5829571299</v>
      </c>
      <c r="AK49" s="32">
        <f t="shared" si="19"/>
        <v>5227157.434271697</v>
      </c>
      <c r="AL49" s="32">
        <f t="shared" si="20"/>
        <v>5124664.151246761</v>
      </c>
      <c r="AM49" s="32">
        <f t="shared" si="20"/>
        <v>5024180.540438002</v>
      </c>
      <c r="AN49" s="32">
        <f t="shared" si="20"/>
        <v>4925667.1965078441</v>
      </c>
      <c r="AO49" s="32">
        <f t="shared" si="20"/>
        <v>4829085.4867723957</v>
      </c>
      <c r="AP49" s="32">
        <f t="shared" si="20"/>
        <v>4734397.5360513693</v>
      </c>
      <c r="AQ49" s="32">
        <f t="shared" si="20"/>
        <v>4641566.2118150676</v>
      </c>
      <c r="AR49" s="32">
        <f t="shared" si="20"/>
        <v>4550555.1096226154</v>
      </c>
      <c r="AS49" s="32">
        <f t="shared" si="20"/>
        <v>4461328.5388457011</v>
      </c>
      <c r="AT49" s="32">
        <f t="shared" si="20"/>
        <v>4373851.5086722551</v>
      </c>
      <c r="AU49" s="32">
        <f t="shared" si="20"/>
        <v>4288089.7143845661</v>
      </c>
      <c r="AV49" s="32">
        <f t="shared" si="21"/>
        <v>4204009.5239064358</v>
      </c>
      <c r="AW49" s="32">
        <f t="shared" si="21"/>
        <v>0</v>
      </c>
      <c r="AX49" s="32">
        <f t="shared" si="21"/>
        <v>0</v>
      </c>
      <c r="AY49" s="32">
        <f t="shared" si="21"/>
        <v>0</v>
      </c>
      <c r="AZ49" s="32">
        <f t="shared" si="21"/>
        <v>0</v>
      </c>
      <c r="BA49" s="32">
        <f t="shared" si="21"/>
        <v>0</v>
      </c>
      <c r="BB49" s="32">
        <f t="shared" si="21"/>
        <v>0</v>
      </c>
      <c r="BC49" s="32">
        <f t="shared" si="21"/>
        <v>0</v>
      </c>
      <c r="BD49" s="32">
        <f t="shared" si="21"/>
        <v>0</v>
      </c>
      <c r="BE49" s="32">
        <f t="shared" si="21"/>
        <v>0</v>
      </c>
      <c r="BF49" s="32">
        <f t="shared" si="21"/>
        <v>0</v>
      </c>
    </row>
    <row r="50" spans="3:58" x14ac:dyDescent="0.2">
      <c r="C50" s="8" t="str">
        <v>Mauritius</v>
      </c>
      <c r="D50" s="56" t="str">
        <v>Sub-Saharan Africa</v>
      </c>
      <c r="E50" s="39">
        <f t="shared" si="22"/>
        <v>363540</v>
      </c>
      <c r="F50" s="141">
        <f t="shared" si="6"/>
        <v>8100133.7520330315</v>
      </c>
      <c r="H50" s="32">
        <f t="shared" si="17"/>
        <v>363540</v>
      </c>
      <c r="I50" s="32">
        <f t="shared" si="17"/>
        <v>356411.76470588235</v>
      </c>
      <c r="J50" s="32">
        <f t="shared" si="17"/>
        <v>349423.29873125721</v>
      </c>
      <c r="K50" s="32">
        <f t="shared" si="17"/>
        <v>342571.8615012326</v>
      </c>
      <c r="L50" s="32">
        <f t="shared" si="17"/>
        <v>335854.766177679</v>
      </c>
      <c r="M50" s="32">
        <f t="shared" si="17"/>
        <v>329269.37860556762</v>
      </c>
      <c r="N50" s="32">
        <f t="shared" si="17"/>
        <v>322813.11627996824</v>
      </c>
      <c r="O50" s="32">
        <f t="shared" si="17"/>
        <v>316483.44733330229</v>
      </c>
      <c r="P50" s="32">
        <f t="shared" si="17"/>
        <v>310277.88954245317</v>
      </c>
      <c r="Q50" s="32">
        <f t="shared" si="17"/>
        <v>304194.00935534626</v>
      </c>
      <c r="R50" s="32">
        <f t="shared" si="18"/>
        <v>298229.42093661398</v>
      </c>
      <c r="S50" s="32">
        <f t="shared" si="18"/>
        <v>292381.7852319745</v>
      </c>
      <c r="T50" s="32">
        <f t="shared" si="18"/>
        <v>286648.80905095534</v>
      </c>
      <c r="U50" s="32">
        <f t="shared" si="18"/>
        <v>281028.24416760332</v>
      </c>
      <c r="V50" s="32">
        <f t="shared" si="18"/>
        <v>275517.88643882674</v>
      </c>
      <c r="W50" s="32">
        <f t="shared" si="18"/>
        <v>270115.57494002633</v>
      </c>
      <c r="X50" s="32">
        <f t="shared" si="18"/>
        <v>264819.19111767277</v>
      </c>
      <c r="Y50" s="32">
        <f t="shared" si="18"/>
        <v>259626.65795850274</v>
      </c>
      <c r="Z50" s="32">
        <f t="shared" si="18"/>
        <v>254535.93917500271</v>
      </c>
      <c r="AA50" s="32">
        <f t="shared" si="18"/>
        <v>249545.03840686541</v>
      </c>
      <c r="AB50" s="32">
        <f t="shared" si="19"/>
        <v>244651.9984381033</v>
      </c>
      <c r="AC50" s="32">
        <f t="shared" si="19"/>
        <v>239854.90042951307</v>
      </c>
      <c r="AD50" s="32">
        <f t="shared" si="19"/>
        <v>235151.86316618926</v>
      </c>
      <c r="AE50" s="32">
        <f t="shared" si="19"/>
        <v>230541.04231979343</v>
      </c>
      <c r="AF50" s="32">
        <f t="shared" si="19"/>
        <v>226020.62972528767</v>
      </c>
      <c r="AG50" s="32">
        <f t="shared" si="19"/>
        <v>221588.85267185068</v>
      </c>
      <c r="AH50" s="32">
        <f t="shared" si="19"/>
        <v>217243.97320769669</v>
      </c>
      <c r="AI50" s="32">
        <f t="shared" si="19"/>
        <v>212984.28745852623</v>
      </c>
      <c r="AJ50" s="32">
        <f t="shared" si="19"/>
        <v>208808.12495933939</v>
      </c>
      <c r="AK50" s="32">
        <f t="shared" si="19"/>
        <v>204713.84799935238</v>
      </c>
      <c r="AL50" s="32">
        <f t="shared" si="20"/>
        <v>200699.8509797572</v>
      </c>
      <c r="AM50" s="32">
        <f t="shared" si="20"/>
        <v>196764.55978407574</v>
      </c>
      <c r="AN50" s="32">
        <f t="shared" si="20"/>
        <v>192906.43116085854</v>
      </c>
      <c r="AO50" s="32">
        <f t="shared" si="20"/>
        <v>189123.95211848876</v>
      </c>
      <c r="AP50" s="32">
        <f t="shared" si="20"/>
        <v>185415.63933185174</v>
      </c>
      <c r="AQ50" s="32">
        <f t="shared" si="20"/>
        <v>181780.03856063896</v>
      </c>
      <c r="AR50" s="32">
        <f t="shared" si="20"/>
        <v>178215.72407905781</v>
      </c>
      <c r="AS50" s="32">
        <f t="shared" si="20"/>
        <v>174721.29811672331</v>
      </c>
      <c r="AT50" s="32">
        <f t="shared" si="20"/>
        <v>171295.39031051303</v>
      </c>
      <c r="AU50" s="32">
        <f t="shared" si="20"/>
        <v>167936.6571671697</v>
      </c>
      <c r="AV50" s="32">
        <f t="shared" si="21"/>
        <v>164643.78153644086</v>
      </c>
      <c r="AW50" s="32">
        <f t="shared" si="21"/>
        <v>0</v>
      </c>
      <c r="AX50" s="32">
        <f t="shared" si="21"/>
        <v>0</v>
      </c>
      <c r="AY50" s="32">
        <f t="shared" si="21"/>
        <v>0</v>
      </c>
      <c r="AZ50" s="32">
        <f t="shared" si="21"/>
        <v>0</v>
      </c>
      <c r="BA50" s="32">
        <f t="shared" si="21"/>
        <v>0</v>
      </c>
      <c r="BB50" s="32">
        <f t="shared" si="21"/>
        <v>0</v>
      </c>
      <c r="BC50" s="32">
        <f t="shared" si="21"/>
        <v>0</v>
      </c>
      <c r="BD50" s="32">
        <f t="shared" si="21"/>
        <v>0</v>
      </c>
      <c r="BE50" s="32">
        <f t="shared" si="21"/>
        <v>0</v>
      </c>
      <c r="BF50" s="32">
        <f t="shared" si="21"/>
        <v>0</v>
      </c>
    </row>
    <row r="51" spans="3:58" x14ac:dyDescent="0.2">
      <c r="C51" s="8" t="str">
        <v>Mexico</v>
      </c>
      <c r="D51" s="56" t="str">
        <v>Latin America &amp; Caribbean</v>
      </c>
      <c r="E51" s="39">
        <f t="shared" si="22"/>
        <v>38232000</v>
      </c>
      <c r="F51" s="141">
        <f t="shared" si="6"/>
        <v>851857604.68649101</v>
      </c>
      <c r="H51" s="32">
        <f t="shared" si="17"/>
        <v>38232000</v>
      </c>
      <c r="I51" s="32">
        <f t="shared" si="17"/>
        <v>37482352.941176467</v>
      </c>
      <c r="J51" s="32">
        <f t="shared" si="17"/>
        <v>36747404.844290659</v>
      </c>
      <c r="K51" s="32">
        <f t="shared" si="17"/>
        <v>36026867.49440261</v>
      </c>
      <c r="L51" s="32">
        <f t="shared" si="17"/>
        <v>35320458.327845693</v>
      </c>
      <c r="M51" s="32">
        <f t="shared" si="17"/>
        <v>34627900.321417347</v>
      </c>
      <c r="N51" s="32">
        <f t="shared" si="17"/>
        <v>33948921.883742489</v>
      </c>
      <c r="O51" s="32">
        <f t="shared" si="17"/>
        <v>33283256.748767156</v>
      </c>
      <c r="P51" s="32">
        <f t="shared" si="17"/>
        <v>32630643.871340346</v>
      </c>
      <c r="Q51" s="32">
        <f t="shared" si="17"/>
        <v>31990827.324843477</v>
      </c>
      <c r="R51" s="32">
        <f t="shared" si="18"/>
        <v>31363556.200826935</v>
      </c>
      <c r="S51" s="32">
        <f t="shared" si="18"/>
        <v>30748584.510614648</v>
      </c>
      <c r="T51" s="32">
        <f t="shared" si="18"/>
        <v>30145671.088837888</v>
      </c>
      <c r="U51" s="32">
        <f t="shared" si="18"/>
        <v>29554579.498860676</v>
      </c>
      <c r="V51" s="32">
        <f t="shared" si="18"/>
        <v>28975077.940059483</v>
      </c>
      <c r="W51" s="32">
        <f t="shared" si="18"/>
        <v>28406939.15692107</v>
      </c>
      <c r="X51" s="32">
        <f t="shared" si="18"/>
        <v>27849940.349922612</v>
      </c>
      <c r="Y51" s="32">
        <f t="shared" si="18"/>
        <v>27303863.088159423</v>
      </c>
      <c r="Z51" s="32">
        <f t="shared" si="18"/>
        <v>26768493.223685712</v>
      </c>
      <c r="AA51" s="32">
        <f t="shared" si="18"/>
        <v>26243620.807535011</v>
      </c>
      <c r="AB51" s="32">
        <f t="shared" si="19"/>
        <v>25729040.007387262</v>
      </c>
      <c r="AC51" s="32">
        <f t="shared" si="19"/>
        <v>25224549.026850261</v>
      </c>
      <c r="AD51" s="32">
        <f t="shared" si="19"/>
        <v>24729950.026323784</v>
      </c>
      <c r="AE51" s="32">
        <f t="shared" si="19"/>
        <v>24245049.04541548</v>
      </c>
      <c r="AF51" s="32">
        <f t="shared" si="19"/>
        <v>23769655.92687792</v>
      </c>
      <c r="AG51" s="32">
        <f t="shared" si="19"/>
        <v>23303584.242037173</v>
      </c>
      <c r="AH51" s="32">
        <f t="shared" si="19"/>
        <v>22846651.217683502</v>
      </c>
      <c r="AI51" s="32">
        <f t="shared" si="19"/>
        <v>22398677.664395593</v>
      </c>
      <c r="AJ51" s="32">
        <f t="shared" si="19"/>
        <v>21959487.906270187</v>
      </c>
      <c r="AK51" s="32">
        <f t="shared" si="19"/>
        <v>21528909.712029599</v>
      </c>
      <c r="AL51" s="32">
        <f t="shared" si="20"/>
        <v>21106774.227479994</v>
      </c>
      <c r="AM51" s="32">
        <f t="shared" si="20"/>
        <v>20692915.909294117</v>
      </c>
      <c r="AN51" s="32">
        <f t="shared" si="20"/>
        <v>20287172.460092269</v>
      </c>
      <c r="AO51" s="32">
        <f t="shared" si="20"/>
        <v>19889384.764796339</v>
      </c>
      <c r="AP51" s="32">
        <f t="shared" si="20"/>
        <v>19499396.828231707</v>
      </c>
      <c r="AQ51" s="32">
        <f t="shared" si="20"/>
        <v>19117055.713952657</v>
      </c>
      <c r="AR51" s="32">
        <f t="shared" si="20"/>
        <v>18742211.484267309</v>
      </c>
      <c r="AS51" s="32">
        <f t="shared" si="20"/>
        <v>18374717.141438536</v>
      </c>
      <c r="AT51" s="32">
        <f t="shared" si="20"/>
        <v>18014428.570037778</v>
      </c>
      <c r="AU51" s="32">
        <f t="shared" si="20"/>
        <v>17661204.480429202</v>
      </c>
      <c r="AV51" s="32">
        <f t="shared" si="21"/>
        <v>17314906.353361961</v>
      </c>
      <c r="AW51" s="32">
        <f t="shared" si="21"/>
        <v>0</v>
      </c>
      <c r="AX51" s="32">
        <f t="shared" si="21"/>
        <v>0</v>
      </c>
      <c r="AY51" s="32">
        <f t="shared" si="21"/>
        <v>0</v>
      </c>
      <c r="AZ51" s="32">
        <f t="shared" si="21"/>
        <v>0</v>
      </c>
      <c r="BA51" s="32">
        <f t="shared" si="21"/>
        <v>0</v>
      </c>
      <c r="BB51" s="32">
        <f t="shared" si="21"/>
        <v>0</v>
      </c>
      <c r="BC51" s="32">
        <f t="shared" si="21"/>
        <v>0</v>
      </c>
      <c r="BD51" s="32">
        <f t="shared" si="21"/>
        <v>0</v>
      </c>
      <c r="BE51" s="32">
        <f t="shared" si="21"/>
        <v>0</v>
      </c>
      <c r="BF51" s="32">
        <f t="shared" si="21"/>
        <v>0</v>
      </c>
    </row>
    <row r="52" spans="3:58" x14ac:dyDescent="0.2">
      <c r="C52" s="8" t="str">
        <v>Netherlands</v>
      </c>
      <c r="D52" s="56" t="str">
        <v>Europe &amp; Central Asia</v>
      </c>
      <c r="E52" s="88">
        <f t="shared" si="22"/>
        <v>124327.84256</v>
      </c>
      <c r="F52" s="141">
        <f t="shared" si="6"/>
        <v>2770182.521421866</v>
      </c>
      <c r="H52" s="178">
        <f t="shared" si="17"/>
        <v>124327.84256</v>
      </c>
      <c r="I52" s="32">
        <f t="shared" si="17"/>
        <v>121890.0417254902</v>
      </c>
      <c r="J52" s="32">
        <f t="shared" si="17"/>
        <v>119500.04090734334</v>
      </c>
      <c r="K52" s="32">
        <f t="shared" si="17"/>
        <v>117156.90285033661</v>
      </c>
      <c r="L52" s="32">
        <f t="shared" si="17"/>
        <v>114859.7086768006</v>
      </c>
      <c r="M52" s="32">
        <f t="shared" si="17"/>
        <v>112607.55752627509</v>
      </c>
      <c r="N52" s="32">
        <f t="shared" si="17"/>
        <v>110399.56620223048</v>
      </c>
      <c r="O52" s="32">
        <f t="shared" si="17"/>
        <v>108234.86882571617</v>
      </c>
      <c r="P52" s="32">
        <f t="shared" si="17"/>
        <v>106112.61649580016</v>
      </c>
      <c r="Q52" s="32">
        <f t="shared" si="17"/>
        <v>104031.97695666683</v>
      </c>
      <c r="R52" s="32">
        <f t="shared" si="18"/>
        <v>101992.13427124197</v>
      </c>
      <c r="S52" s="32">
        <f t="shared" si="18"/>
        <v>99992.288501217641</v>
      </c>
      <c r="T52" s="32">
        <f t="shared" si="18"/>
        <v>98031.655393350622</v>
      </c>
      <c r="U52" s="32">
        <f t="shared" si="18"/>
        <v>96109.466071912379</v>
      </c>
      <c r="V52" s="32">
        <f t="shared" si="18"/>
        <v>94224.966737168987</v>
      </c>
      <c r="W52" s="32">
        <f t="shared" si="18"/>
        <v>92377.418369773543</v>
      </c>
      <c r="X52" s="32">
        <f t="shared" si="18"/>
        <v>90566.096440954439</v>
      </c>
      <c r="Y52" s="32">
        <f t="shared" si="18"/>
        <v>88790.290628386691</v>
      </c>
      <c r="Z52" s="32">
        <f t="shared" si="18"/>
        <v>87049.304537634031</v>
      </c>
      <c r="AA52" s="32">
        <f t="shared" si="18"/>
        <v>85342.455429052963</v>
      </c>
      <c r="AB52" s="32">
        <f t="shared" si="19"/>
        <v>83669.073950051927</v>
      </c>
      <c r="AC52" s="32">
        <f t="shared" si="19"/>
        <v>82028.503872599933</v>
      </c>
      <c r="AD52" s="32">
        <f t="shared" si="19"/>
        <v>80420.101835882277</v>
      </c>
      <c r="AE52" s="32">
        <f t="shared" si="19"/>
        <v>78843.237094002252</v>
      </c>
      <c r="AF52" s="32">
        <f t="shared" si="19"/>
        <v>77297.291268629648</v>
      </c>
      <c r="AG52" s="32">
        <f t="shared" si="19"/>
        <v>75781.658106499657</v>
      </c>
      <c r="AH52" s="32">
        <f t="shared" si="19"/>
        <v>74295.743241666321</v>
      </c>
      <c r="AI52" s="32">
        <f t="shared" si="19"/>
        <v>72838.963962417984</v>
      </c>
      <c r="AJ52" s="32">
        <f t="shared" si="19"/>
        <v>71410.748982762714</v>
      </c>
      <c r="AK52" s="32">
        <f t="shared" si="19"/>
        <v>70010.538218394824</v>
      </c>
      <c r="AL52" s="32">
        <f t="shared" si="20"/>
        <v>68637.782567053742</v>
      </c>
      <c r="AM52" s="32">
        <f t="shared" si="20"/>
        <v>67291.943693189955</v>
      </c>
      <c r="AN52" s="32">
        <f t="shared" si="20"/>
        <v>65972.49381685289</v>
      </c>
      <c r="AO52" s="32">
        <f t="shared" si="20"/>
        <v>64678.915506718513</v>
      </c>
      <c r="AP52" s="32">
        <f t="shared" si="20"/>
        <v>63410.701477175018</v>
      </c>
      <c r="AQ52" s="32">
        <f t="shared" si="20"/>
        <v>62167.35438938727</v>
      </c>
      <c r="AR52" s="32">
        <f t="shared" si="20"/>
        <v>60948.386656262039</v>
      </c>
      <c r="AS52" s="32">
        <f t="shared" si="20"/>
        <v>59753.320251237281</v>
      </c>
      <c r="AT52" s="32">
        <f t="shared" si="20"/>
        <v>58581.686520820862</v>
      </c>
      <c r="AU52" s="32">
        <f t="shared" si="20"/>
        <v>57433.026000804784</v>
      </c>
      <c r="AV52" s="32">
        <f t="shared" si="21"/>
        <v>56306.888236083112</v>
      </c>
      <c r="AW52" s="32">
        <f t="shared" si="21"/>
        <v>0</v>
      </c>
      <c r="AX52" s="32">
        <f t="shared" si="21"/>
        <v>0</v>
      </c>
      <c r="AY52" s="32">
        <f t="shared" si="21"/>
        <v>0</v>
      </c>
      <c r="AZ52" s="32">
        <f t="shared" si="21"/>
        <v>0</v>
      </c>
      <c r="BA52" s="32">
        <f t="shared" si="21"/>
        <v>0</v>
      </c>
      <c r="BB52" s="32">
        <f t="shared" si="21"/>
        <v>0</v>
      </c>
      <c r="BC52" s="32">
        <f t="shared" si="21"/>
        <v>0</v>
      </c>
      <c r="BD52" s="32">
        <f t="shared" si="21"/>
        <v>0</v>
      </c>
      <c r="BE52" s="32">
        <f t="shared" si="21"/>
        <v>0</v>
      </c>
      <c r="BF52" s="32">
        <f t="shared" si="21"/>
        <v>0</v>
      </c>
    </row>
    <row r="53" spans="3:58" x14ac:dyDescent="0.2">
      <c r="C53" s="8" t="str">
        <v>New Zealand</v>
      </c>
      <c r="D53" s="56" t="str">
        <v>East Asia &amp; Pacific</v>
      </c>
      <c r="E53" s="39">
        <f t="shared" si="22"/>
        <v>3405000</v>
      </c>
      <c r="F53" s="141">
        <f t="shared" si="6"/>
        <v>75867732.369677275</v>
      </c>
      <c r="H53" s="32">
        <f t="shared" ref="H53:Q62" si="23">IFERROR(IF(H$11&lt;=$F$3,$E53/(1+$I$3)^H$11,0),"No value")</f>
        <v>3405000</v>
      </c>
      <c r="I53" s="32">
        <f t="shared" si="23"/>
        <v>3338235.2941176472</v>
      </c>
      <c r="J53" s="32">
        <f t="shared" si="23"/>
        <v>3272779.7001153403</v>
      </c>
      <c r="K53" s="32">
        <f t="shared" si="23"/>
        <v>3208607.5491326866</v>
      </c>
      <c r="L53" s="32">
        <f t="shared" si="23"/>
        <v>3145693.6756202811</v>
      </c>
      <c r="M53" s="32">
        <f t="shared" si="23"/>
        <v>3084013.4074708638</v>
      </c>
      <c r="N53" s="32">
        <f t="shared" si="23"/>
        <v>3023542.5563439839</v>
      </c>
      <c r="O53" s="32">
        <f t="shared" si="23"/>
        <v>2964257.408180377</v>
      </c>
      <c r="P53" s="32">
        <f t="shared" si="23"/>
        <v>2906134.71390233</v>
      </c>
      <c r="Q53" s="32">
        <f t="shared" si="23"/>
        <v>2849151.680296402</v>
      </c>
      <c r="R53" s="32">
        <f t="shared" ref="R53:AA62" si="24">IFERROR(IF(R$11&lt;=$F$3,$E53/(1+$I$3)^R$11,0),"No value")</f>
        <v>2793285.9610749036</v>
      </c>
      <c r="S53" s="32">
        <f t="shared" si="24"/>
        <v>2738515.6481126514</v>
      </c>
      <c r="T53" s="32">
        <f t="shared" si="24"/>
        <v>2684819.26285554</v>
      </c>
      <c r="U53" s="32">
        <f t="shared" si="24"/>
        <v>2632175.7478975882</v>
      </c>
      <c r="V53" s="32">
        <f t="shared" si="24"/>
        <v>2580564.4587231255</v>
      </c>
      <c r="W53" s="32">
        <f t="shared" si="24"/>
        <v>2529965.1556109083</v>
      </c>
      <c r="X53" s="32">
        <f t="shared" si="24"/>
        <v>2480357.9956969684</v>
      </c>
      <c r="Y53" s="32">
        <f t="shared" si="24"/>
        <v>2431723.5251931059</v>
      </c>
      <c r="Z53" s="32">
        <f t="shared" si="24"/>
        <v>2384042.6717579472</v>
      </c>
      <c r="AA53" s="32">
        <f t="shared" si="24"/>
        <v>2337296.7370175957</v>
      </c>
      <c r="AB53" s="32">
        <f t="shared" ref="AB53:AK62" si="25">IFERROR(IF(AB$11&lt;=$F$3,$E53/(1+$I$3)^AB$11,0),"No value")</f>
        <v>2291467.3892329368</v>
      </c>
      <c r="AC53" s="32">
        <f t="shared" si="25"/>
        <v>2246536.6561107221</v>
      </c>
      <c r="AD53" s="32">
        <f t="shared" si="25"/>
        <v>2202486.9177556098</v>
      </c>
      <c r="AE53" s="32">
        <f t="shared" si="25"/>
        <v>2159300.8997604023</v>
      </c>
      <c r="AF53" s="32">
        <f t="shared" si="25"/>
        <v>2116961.6664317669</v>
      </c>
      <c r="AG53" s="32">
        <f t="shared" si="25"/>
        <v>2075452.6141487912</v>
      </c>
      <c r="AH53" s="32">
        <f t="shared" si="25"/>
        <v>2034757.4648517556</v>
      </c>
      <c r="AI53" s="32">
        <f t="shared" si="25"/>
        <v>1994860.2596585844</v>
      </c>
      <c r="AJ53" s="32">
        <f t="shared" si="25"/>
        <v>1955745.3526064549</v>
      </c>
      <c r="AK53" s="32">
        <f t="shared" si="25"/>
        <v>1917397.4045161325</v>
      </c>
      <c r="AL53" s="32">
        <f t="shared" ref="AL53:AU62" si="26">IFERROR(IF(AL$11&lt;=$F$3,$E53/(1+$I$3)^AL$11,0),"No value")</f>
        <v>1879801.3769766004</v>
      </c>
      <c r="AM53" s="32">
        <f t="shared" si="26"/>
        <v>1842942.5264476479</v>
      </c>
      <c r="AN53" s="32">
        <f t="shared" si="26"/>
        <v>1806806.3984780859</v>
      </c>
      <c r="AO53" s="32">
        <f t="shared" si="26"/>
        <v>1771378.822037339</v>
      </c>
      <c r="AP53" s="32">
        <f t="shared" si="26"/>
        <v>1736645.9039581756</v>
      </c>
      <c r="AQ53" s="32">
        <f t="shared" si="26"/>
        <v>1702594.0234884075</v>
      </c>
      <c r="AR53" s="32">
        <f t="shared" si="26"/>
        <v>1669209.8269494192</v>
      </c>
      <c r="AS53" s="32">
        <f t="shared" si="26"/>
        <v>1636480.2224994302</v>
      </c>
      <c r="AT53" s="32">
        <f t="shared" si="26"/>
        <v>1604392.3749994412</v>
      </c>
      <c r="AU53" s="32">
        <f t="shared" si="26"/>
        <v>1572933.7009798449</v>
      </c>
      <c r="AV53" s="32">
        <f t="shared" ref="AV53:BF62" si="27">IFERROR(IF(AV$11&lt;=$F$3,$E53/(1+$I$3)^AV$11,0),"No value")</f>
        <v>1542091.8637057301</v>
      </c>
      <c r="AW53" s="32">
        <f t="shared" si="27"/>
        <v>0</v>
      </c>
      <c r="AX53" s="32">
        <f t="shared" si="27"/>
        <v>0</v>
      </c>
      <c r="AY53" s="32">
        <f t="shared" si="27"/>
        <v>0</v>
      </c>
      <c r="AZ53" s="32">
        <f t="shared" si="27"/>
        <v>0</v>
      </c>
      <c r="BA53" s="32">
        <f t="shared" si="27"/>
        <v>0</v>
      </c>
      <c r="BB53" s="32">
        <f t="shared" si="27"/>
        <v>0</v>
      </c>
      <c r="BC53" s="32">
        <f t="shared" si="27"/>
        <v>0</v>
      </c>
      <c r="BD53" s="32">
        <f t="shared" si="27"/>
        <v>0</v>
      </c>
      <c r="BE53" s="32">
        <f t="shared" si="27"/>
        <v>0</v>
      </c>
      <c r="BF53" s="32">
        <f t="shared" si="27"/>
        <v>0</v>
      </c>
    </row>
    <row r="54" spans="3:58" x14ac:dyDescent="0.2">
      <c r="C54" s="8" t="str">
        <v>Norway</v>
      </c>
      <c r="D54" s="56" t="str">
        <v>Europe &amp; Central Asia</v>
      </c>
      <c r="E54" s="39">
        <f t="shared" si="22"/>
        <v>58929.534949999994</v>
      </c>
      <c r="F54" s="141">
        <f t="shared" si="6"/>
        <v>1313025.0179900567</v>
      </c>
      <c r="H54" s="32">
        <f t="shared" si="23"/>
        <v>58929.534949999994</v>
      </c>
      <c r="I54" s="32">
        <f t="shared" si="23"/>
        <v>57774.053872549011</v>
      </c>
      <c r="J54" s="32">
        <f t="shared" si="23"/>
        <v>56641.229286812762</v>
      </c>
      <c r="K54" s="32">
        <f t="shared" si="23"/>
        <v>55530.616947855648</v>
      </c>
      <c r="L54" s="32">
        <f t="shared" si="23"/>
        <v>54441.781321427108</v>
      </c>
      <c r="M54" s="32">
        <f t="shared" si="23"/>
        <v>53374.295413163825</v>
      </c>
      <c r="N54" s="32">
        <f t="shared" si="23"/>
        <v>52327.740601141006</v>
      </c>
      <c r="O54" s="32">
        <f t="shared" si="23"/>
        <v>51301.706471706879</v>
      </c>
      <c r="P54" s="32">
        <f t="shared" si="23"/>
        <v>50295.790658536149</v>
      </c>
      <c r="Q54" s="32">
        <f t="shared" si="23"/>
        <v>49309.598684839366</v>
      </c>
      <c r="R54" s="32">
        <f t="shared" si="24"/>
        <v>48342.74380866604</v>
      </c>
      <c r="S54" s="32">
        <f t="shared" si="24"/>
        <v>47394.846871241221</v>
      </c>
      <c r="T54" s="32">
        <f t="shared" si="24"/>
        <v>46465.5361482757</v>
      </c>
      <c r="U54" s="32">
        <f t="shared" si="24"/>
        <v>45554.447204191871</v>
      </c>
      <c r="V54" s="32">
        <f t="shared" si="24"/>
        <v>44661.222749207707</v>
      </c>
      <c r="W54" s="32">
        <f t="shared" si="24"/>
        <v>43785.51249922326</v>
      </c>
      <c r="X54" s="32">
        <f t="shared" si="24"/>
        <v>42926.973038454162</v>
      </c>
      <c r="Y54" s="32">
        <f t="shared" si="24"/>
        <v>42085.267684758983</v>
      </c>
      <c r="Z54" s="32">
        <f t="shared" si="24"/>
        <v>41260.066357606847</v>
      </c>
      <c r="AA54" s="32">
        <f t="shared" si="24"/>
        <v>40451.04544863417</v>
      </c>
      <c r="AB54" s="32">
        <f t="shared" si="25"/>
        <v>39657.887694739373</v>
      </c>
      <c r="AC54" s="32">
        <f t="shared" si="25"/>
        <v>38880.282053666058</v>
      </c>
      <c r="AD54" s="32">
        <f t="shared" si="25"/>
        <v>38117.923582025542</v>
      </c>
      <c r="AE54" s="32">
        <f t="shared" si="25"/>
        <v>37370.513315711323</v>
      </c>
      <c r="AF54" s="32">
        <f t="shared" si="25"/>
        <v>36637.758152658163</v>
      </c>
      <c r="AG54" s="32">
        <f t="shared" si="25"/>
        <v>35919.370737900157</v>
      </c>
      <c r="AH54" s="32">
        <f t="shared" si="25"/>
        <v>35215.069350882506</v>
      </c>
      <c r="AI54" s="32">
        <f t="shared" si="25"/>
        <v>34524.577794982855</v>
      </c>
      <c r="AJ54" s="32">
        <f t="shared" si="25"/>
        <v>33847.62528919887</v>
      </c>
      <c r="AK54" s="32">
        <f t="shared" si="25"/>
        <v>33183.946361959679</v>
      </c>
      <c r="AL54" s="32">
        <f t="shared" si="26"/>
        <v>32533.280747019293</v>
      </c>
      <c r="AM54" s="32">
        <f t="shared" si="26"/>
        <v>31895.373281391468</v>
      </c>
      <c r="AN54" s="32">
        <f t="shared" si="26"/>
        <v>31269.973805285746</v>
      </c>
      <c r="AO54" s="32">
        <f t="shared" si="26"/>
        <v>30656.837064005635</v>
      </c>
      <c r="AP54" s="32">
        <f t="shared" si="26"/>
        <v>30055.72261177023</v>
      </c>
      <c r="AQ54" s="32">
        <f t="shared" si="26"/>
        <v>29466.394717421797</v>
      </c>
      <c r="AR54" s="32">
        <f t="shared" si="26"/>
        <v>28888.622271982156</v>
      </c>
      <c r="AS54" s="32">
        <f t="shared" si="26"/>
        <v>28322.178698021715</v>
      </c>
      <c r="AT54" s="32">
        <f t="shared" si="26"/>
        <v>27766.841860805602</v>
      </c>
      <c r="AU54" s="32">
        <f t="shared" si="26"/>
        <v>27222.393981181973</v>
      </c>
      <c r="AV54" s="32">
        <f t="shared" si="27"/>
        <v>26688.621550178399</v>
      </c>
      <c r="AW54" s="32">
        <f t="shared" si="27"/>
        <v>0</v>
      </c>
      <c r="AX54" s="32">
        <f t="shared" si="27"/>
        <v>0</v>
      </c>
      <c r="AY54" s="32">
        <f t="shared" si="27"/>
        <v>0</v>
      </c>
      <c r="AZ54" s="32">
        <f t="shared" si="27"/>
        <v>0</v>
      </c>
      <c r="BA54" s="32">
        <f t="shared" si="27"/>
        <v>0</v>
      </c>
      <c r="BB54" s="32">
        <f t="shared" si="27"/>
        <v>0</v>
      </c>
      <c r="BC54" s="32">
        <f t="shared" si="27"/>
        <v>0</v>
      </c>
      <c r="BD54" s="32">
        <f t="shared" si="27"/>
        <v>0</v>
      </c>
      <c r="BE54" s="32">
        <f t="shared" si="27"/>
        <v>0</v>
      </c>
      <c r="BF54" s="32">
        <f t="shared" si="27"/>
        <v>0</v>
      </c>
    </row>
    <row r="55" spans="3:58" x14ac:dyDescent="0.2">
      <c r="C55" s="8" t="str">
        <v>Panama</v>
      </c>
      <c r="D55" s="56" t="str">
        <v>Latin America &amp; Caribbean</v>
      </c>
      <c r="E55" s="39">
        <f t="shared" si="22"/>
        <v>513819.51303500001</v>
      </c>
      <c r="F55" s="141">
        <f t="shared" si="6"/>
        <v>11448552.511382462</v>
      </c>
      <c r="H55" s="32">
        <f t="shared" si="23"/>
        <v>513819.51303500001</v>
      </c>
      <c r="I55" s="32">
        <f t="shared" si="23"/>
        <v>503744.62062254903</v>
      </c>
      <c r="J55" s="32">
        <f t="shared" si="23"/>
        <v>493867.27512014611</v>
      </c>
      <c r="K55" s="32">
        <f t="shared" si="23"/>
        <v>484183.60305896681</v>
      </c>
      <c r="L55" s="32">
        <f t="shared" si="23"/>
        <v>474689.80692055565</v>
      </c>
      <c r="M55" s="32">
        <f t="shared" si="23"/>
        <v>465382.16364760359</v>
      </c>
      <c r="N55" s="32">
        <f t="shared" si="23"/>
        <v>456257.02318392508</v>
      </c>
      <c r="O55" s="32">
        <f t="shared" si="23"/>
        <v>447310.80704306386</v>
      </c>
      <c r="P55" s="32">
        <f t="shared" si="23"/>
        <v>438540.00690496457</v>
      </c>
      <c r="Q55" s="32">
        <f t="shared" si="23"/>
        <v>429941.18324016134</v>
      </c>
      <c r="R55" s="32">
        <f t="shared" si="24"/>
        <v>421510.96396094246</v>
      </c>
      <c r="S55" s="32">
        <f t="shared" si="24"/>
        <v>413246.04309896327</v>
      </c>
      <c r="T55" s="32">
        <f t="shared" si="24"/>
        <v>405143.17950878746</v>
      </c>
      <c r="U55" s="32">
        <f t="shared" si="24"/>
        <v>397199.19559685048</v>
      </c>
      <c r="V55" s="32">
        <f t="shared" si="24"/>
        <v>389410.97607534355</v>
      </c>
      <c r="W55" s="32">
        <f t="shared" si="24"/>
        <v>381775.46674053301</v>
      </c>
      <c r="X55" s="32">
        <f t="shared" si="24"/>
        <v>374289.67327503231</v>
      </c>
      <c r="Y55" s="32">
        <f t="shared" si="24"/>
        <v>366950.66007356101</v>
      </c>
      <c r="Z55" s="32">
        <f t="shared" si="24"/>
        <v>359755.54909172654</v>
      </c>
      <c r="AA55" s="32">
        <f t="shared" si="24"/>
        <v>352701.51871737896</v>
      </c>
      <c r="AB55" s="32">
        <f t="shared" si="25"/>
        <v>345785.80266409699</v>
      </c>
      <c r="AC55" s="32">
        <f t="shared" si="25"/>
        <v>339005.68888636964</v>
      </c>
      <c r="AD55" s="32">
        <f t="shared" si="25"/>
        <v>332358.51851604867</v>
      </c>
      <c r="AE55" s="32">
        <f t="shared" si="25"/>
        <v>325841.68481965561</v>
      </c>
      <c r="AF55" s="32">
        <f t="shared" si="25"/>
        <v>319452.63217613293</v>
      </c>
      <c r="AG55" s="32">
        <f t="shared" si="25"/>
        <v>313188.85507464013</v>
      </c>
      <c r="AH55" s="32">
        <f t="shared" si="25"/>
        <v>307047.89713200007</v>
      </c>
      <c r="AI55" s="32">
        <f t="shared" si="25"/>
        <v>301027.35012941191</v>
      </c>
      <c r="AJ55" s="32">
        <f t="shared" si="25"/>
        <v>295124.85306805081</v>
      </c>
      <c r="AK55" s="32">
        <f t="shared" si="25"/>
        <v>289338.09124318714</v>
      </c>
      <c r="AL55" s="32">
        <f t="shared" si="26"/>
        <v>283664.79533645796</v>
      </c>
      <c r="AM55" s="32">
        <f t="shared" si="26"/>
        <v>278102.74052593921</v>
      </c>
      <c r="AN55" s="32">
        <f t="shared" si="26"/>
        <v>272649.74561366584</v>
      </c>
      <c r="AO55" s="32">
        <f t="shared" si="26"/>
        <v>267303.67217026063</v>
      </c>
      <c r="AP55" s="32">
        <f t="shared" si="26"/>
        <v>262062.42369633395</v>
      </c>
      <c r="AQ55" s="32">
        <f t="shared" si="26"/>
        <v>256923.94480032742</v>
      </c>
      <c r="AR55" s="32">
        <f t="shared" si="26"/>
        <v>251886.22039247787</v>
      </c>
      <c r="AS55" s="32">
        <f t="shared" si="26"/>
        <v>246947.27489458612</v>
      </c>
      <c r="AT55" s="32">
        <f t="shared" si="26"/>
        <v>242105.17146528049</v>
      </c>
      <c r="AU55" s="32">
        <f t="shared" si="26"/>
        <v>237358.01124047115</v>
      </c>
      <c r="AV55" s="32">
        <f t="shared" si="27"/>
        <v>232703.93258869715</v>
      </c>
      <c r="AW55" s="32">
        <f t="shared" si="27"/>
        <v>0</v>
      </c>
      <c r="AX55" s="32">
        <f t="shared" si="27"/>
        <v>0</v>
      </c>
      <c r="AY55" s="32">
        <f t="shared" si="27"/>
        <v>0</v>
      </c>
      <c r="AZ55" s="32">
        <f t="shared" si="27"/>
        <v>0</v>
      </c>
      <c r="BA55" s="32">
        <f t="shared" si="27"/>
        <v>0</v>
      </c>
      <c r="BB55" s="32">
        <f t="shared" si="27"/>
        <v>0</v>
      </c>
      <c r="BC55" s="32">
        <f t="shared" si="27"/>
        <v>0</v>
      </c>
      <c r="BD55" s="32">
        <f t="shared" si="27"/>
        <v>0</v>
      </c>
      <c r="BE55" s="32">
        <f t="shared" si="27"/>
        <v>0</v>
      </c>
      <c r="BF55" s="32">
        <f t="shared" si="27"/>
        <v>0</v>
      </c>
    </row>
    <row r="56" spans="3:58" x14ac:dyDescent="0.2">
      <c r="C56" s="8" t="str">
        <v>Peru</v>
      </c>
      <c r="D56" s="56" t="str">
        <v>Latin America &amp; Caribbean</v>
      </c>
      <c r="E56" s="39">
        <f t="shared" si="22"/>
        <v>1301975.594054</v>
      </c>
      <c r="F56" s="141">
        <f t="shared" si="6"/>
        <v>29009672.811025094</v>
      </c>
      <c r="H56" s="32">
        <f t="shared" si="23"/>
        <v>1301975.594054</v>
      </c>
      <c r="I56" s="32">
        <f t="shared" si="23"/>
        <v>1276446.660837255</v>
      </c>
      <c r="J56" s="32">
        <f t="shared" si="23"/>
        <v>1251418.2949384851</v>
      </c>
      <c r="K56" s="32">
        <f t="shared" si="23"/>
        <v>1226880.6813122404</v>
      </c>
      <c r="L56" s="32">
        <f t="shared" si="23"/>
        <v>1202824.1973649415</v>
      </c>
      <c r="M56" s="32">
        <f t="shared" si="23"/>
        <v>1179239.4091813152</v>
      </c>
      <c r="N56" s="32">
        <f t="shared" si="23"/>
        <v>1156117.0678248189</v>
      </c>
      <c r="O56" s="32">
        <f t="shared" si="23"/>
        <v>1133448.105710607</v>
      </c>
      <c r="P56" s="32">
        <f t="shared" si="23"/>
        <v>1111223.6330496145</v>
      </c>
      <c r="Q56" s="32">
        <f t="shared" si="23"/>
        <v>1089434.9343623673</v>
      </c>
      <c r="R56" s="32">
        <f t="shared" si="24"/>
        <v>1068073.4650611442</v>
      </c>
      <c r="S56" s="32">
        <f t="shared" si="24"/>
        <v>1047130.8480991612</v>
      </c>
      <c r="T56" s="32">
        <f t="shared" si="24"/>
        <v>1026598.870685452</v>
      </c>
      <c r="U56" s="32">
        <f t="shared" si="24"/>
        <v>1006469.4810641687</v>
      </c>
      <c r="V56" s="32">
        <f t="shared" si="24"/>
        <v>986734.78535702801</v>
      </c>
      <c r="W56" s="32">
        <f t="shared" si="24"/>
        <v>967387.0444676748</v>
      </c>
      <c r="X56" s="32">
        <f t="shared" si="24"/>
        <v>948418.67104673979</v>
      </c>
      <c r="Y56" s="32">
        <f t="shared" si="24"/>
        <v>929822.22651641152</v>
      </c>
      <c r="Z56" s="32">
        <f t="shared" si="24"/>
        <v>911590.41815334477</v>
      </c>
      <c r="AA56" s="32">
        <f t="shared" si="24"/>
        <v>893716.0962287694</v>
      </c>
      <c r="AB56" s="32">
        <f t="shared" si="25"/>
        <v>876192.25120467576</v>
      </c>
      <c r="AC56" s="32">
        <f t="shared" si="25"/>
        <v>859012.01098497631</v>
      </c>
      <c r="AD56" s="32">
        <f t="shared" si="25"/>
        <v>842168.63822056493</v>
      </c>
      <c r="AE56" s="32">
        <f t="shared" si="25"/>
        <v>825655.52766722068</v>
      </c>
      <c r="AF56" s="32">
        <f t="shared" si="25"/>
        <v>809466.20359531441</v>
      </c>
      <c r="AG56" s="32">
        <f t="shared" si="25"/>
        <v>793594.31725030823</v>
      </c>
      <c r="AH56" s="32">
        <f t="shared" si="25"/>
        <v>778033.64436304721</v>
      </c>
      <c r="AI56" s="32">
        <f t="shared" si="25"/>
        <v>762778.08270886994</v>
      </c>
      <c r="AJ56" s="32">
        <f t="shared" si="25"/>
        <v>747821.64971457818</v>
      </c>
      <c r="AK56" s="32">
        <f t="shared" si="25"/>
        <v>733158.48011233169</v>
      </c>
      <c r="AL56" s="32">
        <f t="shared" si="26"/>
        <v>718782.82363954082</v>
      </c>
      <c r="AM56" s="32">
        <f t="shared" si="26"/>
        <v>704689.04278386373</v>
      </c>
      <c r="AN56" s="32">
        <f t="shared" si="26"/>
        <v>690871.61057241529</v>
      </c>
      <c r="AO56" s="32">
        <f t="shared" si="26"/>
        <v>677325.10840432858</v>
      </c>
      <c r="AP56" s="32">
        <f t="shared" si="26"/>
        <v>664044.2239258124</v>
      </c>
      <c r="AQ56" s="32">
        <f t="shared" si="26"/>
        <v>651023.74894687498</v>
      </c>
      <c r="AR56" s="32">
        <f t="shared" si="26"/>
        <v>638258.57739889703</v>
      </c>
      <c r="AS56" s="32">
        <f t="shared" si="26"/>
        <v>625743.70333225199</v>
      </c>
      <c r="AT56" s="32">
        <f t="shared" si="26"/>
        <v>613474.21895318816</v>
      </c>
      <c r="AU56" s="32">
        <f t="shared" si="26"/>
        <v>601445.31269920419</v>
      </c>
      <c r="AV56" s="32">
        <f t="shared" si="27"/>
        <v>589652.26735216088</v>
      </c>
      <c r="AW56" s="32">
        <f t="shared" si="27"/>
        <v>0</v>
      </c>
      <c r="AX56" s="32">
        <f t="shared" si="27"/>
        <v>0</v>
      </c>
      <c r="AY56" s="32">
        <f t="shared" si="27"/>
        <v>0</v>
      </c>
      <c r="AZ56" s="32">
        <f t="shared" si="27"/>
        <v>0</v>
      </c>
      <c r="BA56" s="32">
        <f t="shared" si="27"/>
        <v>0</v>
      </c>
      <c r="BB56" s="32">
        <f t="shared" si="27"/>
        <v>0</v>
      </c>
      <c r="BC56" s="32">
        <f t="shared" si="27"/>
        <v>0</v>
      </c>
      <c r="BD56" s="32">
        <f t="shared" si="27"/>
        <v>0</v>
      </c>
      <c r="BE56" s="32">
        <f t="shared" si="27"/>
        <v>0</v>
      </c>
      <c r="BF56" s="32">
        <f t="shared" si="27"/>
        <v>0</v>
      </c>
    </row>
    <row r="57" spans="3:58" x14ac:dyDescent="0.2">
      <c r="C57" s="8" t="str">
        <v>Philippines</v>
      </c>
      <c r="D57" s="56" t="str">
        <v>East Asia &amp; Pacific</v>
      </c>
      <c r="E57" s="39">
        <f t="shared" si="22"/>
        <v>10534984.488</v>
      </c>
      <c r="F57" s="141">
        <f t="shared" si="6"/>
        <v>234732858.63561982</v>
      </c>
      <c r="H57" s="32">
        <f t="shared" si="23"/>
        <v>10534984.488</v>
      </c>
      <c r="I57" s="32">
        <f t="shared" si="23"/>
        <v>10328416.164705882</v>
      </c>
      <c r="J57" s="32">
        <f t="shared" si="23"/>
        <v>10125898.200692041</v>
      </c>
      <c r="K57" s="32">
        <f t="shared" si="23"/>
        <v>9927351.1771490611</v>
      </c>
      <c r="L57" s="32">
        <f t="shared" si="23"/>
        <v>9732697.2324990798</v>
      </c>
      <c r="M57" s="32">
        <f t="shared" si="23"/>
        <v>9541860.0318618417</v>
      </c>
      <c r="N57" s="32">
        <f t="shared" si="23"/>
        <v>9354764.737119453</v>
      </c>
      <c r="O57" s="32">
        <f t="shared" si="23"/>
        <v>9171337.9775680918</v>
      </c>
      <c r="P57" s="32">
        <f t="shared" si="23"/>
        <v>8991507.8211451881</v>
      </c>
      <c r="Q57" s="32">
        <f t="shared" si="23"/>
        <v>8815203.7462207731</v>
      </c>
      <c r="R57" s="32">
        <f t="shared" si="24"/>
        <v>8642356.613941934</v>
      </c>
      <c r="S57" s="32">
        <f t="shared" si="24"/>
        <v>8472898.6411195435</v>
      </c>
      <c r="T57" s="32">
        <f t="shared" si="24"/>
        <v>8306763.3736466104</v>
      </c>
      <c r="U57" s="32">
        <f t="shared" si="24"/>
        <v>8143885.660437854</v>
      </c>
      <c r="V57" s="32">
        <f t="shared" si="24"/>
        <v>7984201.6278802482</v>
      </c>
      <c r="W57" s="32">
        <f t="shared" si="24"/>
        <v>7827648.6547845593</v>
      </c>
      <c r="X57" s="32">
        <f t="shared" si="24"/>
        <v>7674165.347827998</v>
      </c>
      <c r="Y57" s="32">
        <f t="shared" si="24"/>
        <v>7523691.5174784288</v>
      </c>
      <c r="Z57" s="32">
        <f t="shared" si="24"/>
        <v>7376168.1543906173</v>
      </c>
      <c r="AA57" s="32">
        <f t="shared" si="24"/>
        <v>7231537.4062653109</v>
      </c>
      <c r="AB57" s="32">
        <f t="shared" si="25"/>
        <v>7089742.5551620694</v>
      </c>
      <c r="AC57" s="32">
        <f t="shared" si="25"/>
        <v>6950727.9952569306</v>
      </c>
      <c r="AD57" s="32">
        <f t="shared" si="25"/>
        <v>6814439.2110362062</v>
      </c>
      <c r="AE57" s="32">
        <f t="shared" si="25"/>
        <v>6680822.7559178509</v>
      </c>
      <c r="AF57" s="32">
        <f t="shared" si="25"/>
        <v>6549826.2312920103</v>
      </c>
      <c r="AG57" s="32">
        <f t="shared" si="25"/>
        <v>6421398.2659725593</v>
      </c>
      <c r="AH57" s="32">
        <f t="shared" si="25"/>
        <v>6295488.4960515276</v>
      </c>
      <c r="AI57" s="32">
        <f t="shared" si="25"/>
        <v>6172047.545148558</v>
      </c>
      <c r="AJ57" s="32">
        <f t="shared" si="25"/>
        <v>6051027.0050476044</v>
      </c>
      <c r="AK57" s="32">
        <f t="shared" si="25"/>
        <v>5932379.4167133383</v>
      </c>
      <c r="AL57" s="32">
        <f t="shared" si="26"/>
        <v>5816058.2516797427</v>
      </c>
      <c r="AM57" s="32">
        <f t="shared" si="26"/>
        <v>5702017.893803671</v>
      </c>
      <c r="AN57" s="32">
        <f t="shared" si="26"/>
        <v>5590213.6213761466</v>
      </c>
      <c r="AO57" s="32">
        <f t="shared" si="26"/>
        <v>5480601.5895844577</v>
      </c>
      <c r="AP57" s="32">
        <f t="shared" si="26"/>
        <v>5373138.8133180961</v>
      </c>
      <c r="AQ57" s="32">
        <f t="shared" si="26"/>
        <v>5267783.1503118593</v>
      </c>
      <c r="AR57" s="32">
        <f t="shared" si="26"/>
        <v>5164493.2846194701</v>
      </c>
      <c r="AS57" s="32">
        <f t="shared" si="26"/>
        <v>5063228.7104112441</v>
      </c>
      <c r="AT57" s="32">
        <f t="shared" si="26"/>
        <v>4963949.7160894545</v>
      </c>
      <c r="AU57" s="32">
        <f t="shared" si="26"/>
        <v>4866617.3687151531</v>
      </c>
      <c r="AV57" s="32">
        <f t="shared" si="27"/>
        <v>4771193.4987403452</v>
      </c>
      <c r="AW57" s="32">
        <f t="shared" si="27"/>
        <v>0</v>
      </c>
      <c r="AX57" s="32">
        <f t="shared" si="27"/>
        <v>0</v>
      </c>
      <c r="AY57" s="32">
        <f t="shared" si="27"/>
        <v>0</v>
      </c>
      <c r="AZ57" s="32">
        <f t="shared" si="27"/>
        <v>0</v>
      </c>
      <c r="BA57" s="32">
        <f t="shared" si="27"/>
        <v>0</v>
      </c>
      <c r="BB57" s="32">
        <f t="shared" si="27"/>
        <v>0</v>
      </c>
      <c r="BC57" s="32">
        <f t="shared" si="27"/>
        <v>0</v>
      </c>
      <c r="BD57" s="32">
        <f t="shared" si="27"/>
        <v>0</v>
      </c>
      <c r="BE57" s="32">
        <f t="shared" si="27"/>
        <v>0</v>
      </c>
      <c r="BF57" s="32">
        <f t="shared" si="27"/>
        <v>0</v>
      </c>
    </row>
    <row r="58" spans="3:58" x14ac:dyDescent="0.2">
      <c r="C58" s="8" t="str">
        <v>Poland</v>
      </c>
      <c r="D58" s="56" t="str">
        <v>Europe &amp; Central Asia</v>
      </c>
      <c r="E58" s="39">
        <f t="shared" si="22"/>
        <v>5646785.0738000004</v>
      </c>
      <c r="F58" s="141">
        <f t="shared" si="6"/>
        <v>125817556.16098286</v>
      </c>
      <c r="H58" s="32">
        <f t="shared" si="23"/>
        <v>5646785.0738000004</v>
      </c>
      <c r="I58" s="32">
        <f t="shared" si="23"/>
        <v>5536063.7978431378</v>
      </c>
      <c r="J58" s="32">
        <f t="shared" si="23"/>
        <v>5427513.5272971941</v>
      </c>
      <c r="K58" s="32">
        <f t="shared" si="23"/>
        <v>5321091.6934286216</v>
      </c>
      <c r="L58" s="32">
        <f t="shared" si="23"/>
        <v>5216756.5621849233</v>
      </c>
      <c r="M58" s="32">
        <f t="shared" si="23"/>
        <v>5114467.2178283557</v>
      </c>
      <c r="N58" s="32">
        <f t="shared" si="23"/>
        <v>5014183.5468905447</v>
      </c>
      <c r="O58" s="32">
        <f t="shared" si="23"/>
        <v>4915866.2224417115</v>
      </c>
      <c r="P58" s="32">
        <f t="shared" si="23"/>
        <v>4819476.6886683442</v>
      </c>
      <c r="Q58" s="32">
        <f t="shared" si="23"/>
        <v>4724977.1457532784</v>
      </c>
      <c r="R58" s="32">
        <f t="shared" si="24"/>
        <v>4632330.5350522334</v>
      </c>
      <c r="S58" s="32">
        <f t="shared" si="24"/>
        <v>4541500.524561014</v>
      </c>
      <c r="T58" s="32">
        <f t="shared" si="24"/>
        <v>4452451.4946676604</v>
      </c>
      <c r="U58" s="32">
        <f t="shared" si="24"/>
        <v>4365148.5241839811</v>
      </c>
      <c r="V58" s="32">
        <f t="shared" si="24"/>
        <v>4279557.3766509611</v>
      </c>
      <c r="W58" s="32">
        <f t="shared" si="24"/>
        <v>4195644.4869127078</v>
      </c>
      <c r="X58" s="32">
        <f t="shared" si="24"/>
        <v>4113376.9479536349</v>
      </c>
      <c r="Y58" s="32">
        <f t="shared" si="24"/>
        <v>4032722.4979937593</v>
      </c>
      <c r="Z58" s="32">
        <f t="shared" si="24"/>
        <v>3953649.5078370194</v>
      </c>
      <c r="AA58" s="32">
        <f t="shared" si="24"/>
        <v>3876126.9684676663</v>
      </c>
      <c r="AB58" s="32">
        <f t="shared" si="25"/>
        <v>3800124.4788898686</v>
      </c>
      <c r="AC58" s="32">
        <f t="shared" si="25"/>
        <v>3725612.2342057535</v>
      </c>
      <c r="AD58" s="32">
        <f t="shared" si="25"/>
        <v>3652561.0139272092</v>
      </c>
      <c r="AE58" s="32">
        <f t="shared" si="25"/>
        <v>3580942.1705168723</v>
      </c>
      <c r="AF58" s="32">
        <f t="shared" si="25"/>
        <v>3510727.6181537965</v>
      </c>
      <c r="AG58" s="32">
        <f t="shared" si="25"/>
        <v>3441889.821719408</v>
      </c>
      <c r="AH58" s="32">
        <f t="shared" si="25"/>
        <v>3374401.7859994196</v>
      </c>
      <c r="AI58" s="32">
        <f t="shared" si="25"/>
        <v>3308237.0450974707</v>
      </c>
      <c r="AJ58" s="32">
        <f t="shared" si="25"/>
        <v>3243369.6520563429</v>
      </c>
      <c r="AK58" s="32">
        <f t="shared" si="25"/>
        <v>3179774.1686826898</v>
      </c>
      <c r="AL58" s="32">
        <f t="shared" si="26"/>
        <v>3117425.6555712642</v>
      </c>
      <c r="AM58" s="32">
        <f t="shared" si="26"/>
        <v>3056299.6623247694</v>
      </c>
      <c r="AN58" s="32">
        <f t="shared" si="26"/>
        <v>2996372.2179654599</v>
      </c>
      <c r="AO58" s="32">
        <f t="shared" si="26"/>
        <v>2937619.821534764</v>
      </c>
      <c r="AP58" s="32">
        <f t="shared" si="26"/>
        <v>2880019.4328772202</v>
      </c>
      <c r="AQ58" s="32">
        <f t="shared" si="26"/>
        <v>2823548.463605118</v>
      </c>
      <c r="AR58" s="32">
        <f t="shared" si="26"/>
        <v>2768184.7682403116</v>
      </c>
      <c r="AS58" s="32">
        <f t="shared" si="26"/>
        <v>2713906.635529717</v>
      </c>
      <c r="AT58" s="32">
        <f t="shared" si="26"/>
        <v>2660692.779931095</v>
      </c>
      <c r="AU58" s="32">
        <f t="shared" si="26"/>
        <v>2608522.3332657805</v>
      </c>
      <c r="AV58" s="32">
        <f t="shared" si="27"/>
        <v>2557374.836535078</v>
      </c>
      <c r="AW58" s="32">
        <f t="shared" si="27"/>
        <v>0</v>
      </c>
      <c r="AX58" s="32">
        <f t="shared" si="27"/>
        <v>0</v>
      </c>
      <c r="AY58" s="32">
        <f t="shared" si="27"/>
        <v>0</v>
      </c>
      <c r="AZ58" s="32">
        <f t="shared" si="27"/>
        <v>0</v>
      </c>
      <c r="BA58" s="32">
        <f t="shared" si="27"/>
        <v>0</v>
      </c>
      <c r="BB58" s="32">
        <f t="shared" si="27"/>
        <v>0</v>
      </c>
      <c r="BC58" s="32">
        <f t="shared" si="27"/>
        <v>0</v>
      </c>
      <c r="BD58" s="32">
        <f t="shared" si="27"/>
        <v>0</v>
      </c>
      <c r="BE58" s="32">
        <f t="shared" si="27"/>
        <v>0</v>
      </c>
      <c r="BF58" s="32">
        <f t="shared" si="27"/>
        <v>0</v>
      </c>
    </row>
    <row r="59" spans="3:58" x14ac:dyDescent="0.2">
      <c r="C59" s="8" t="str">
        <v>Portugal</v>
      </c>
      <c r="D59" s="56" t="str">
        <v>Europe &amp; Central Asia</v>
      </c>
      <c r="E59" s="39">
        <f t="shared" si="22"/>
        <v>2579842.9266999997</v>
      </c>
      <c r="F59" s="141">
        <f t="shared" si="6"/>
        <v>57482182.883606613</v>
      </c>
      <c r="H59" s="32">
        <f t="shared" si="23"/>
        <v>2579842.9266999997</v>
      </c>
      <c r="I59" s="32">
        <f t="shared" si="23"/>
        <v>2529257.7712745094</v>
      </c>
      <c r="J59" s="32">
        <f t="shared" si="23"/>
        <v>2479664.4816416758</v>
      </c>
      <c r="K59" s="32">
        <f t="shared" si="23"/>
        <v>2431043.6094526239</v>
      </c>
      <c r="L59" s="32">
        <f t="shared" si="23"/>
        <v>2383376.0876986505</v>
      </c>
      <c r="M59" s="32">
        <f t="shared" si="23"/>
        <v>2336643.2232339713</v>
      </c>
      <c r="N59" s="32">
        <f t="shared" si="23"/>
        <v>2290826.6894450695</v>
      </c>
      <c r="O59" s="32">
        <f t="shared" si="23"/>
        <v>2245908.5190637941</v>
      </c>
      <c r="P59" s="32">
        <f t="shared" si="23"/>
        <v>2201871.0971213668</v>
      </c>
      <c r="Q59" s="32">
        <f t="shared" si="23"/>
        <v>2158697.1540405555</v>
      </c>
      <c r="R59" s="32">
        <f t="shared" si="24"/>
        <v>2116369.7588632898</v>
      </c>
      <c r="S59" s="32">
        <f t="shared" si="24"/>
        <v>2074872.3126110686</v>
      </c>
      <c r="T59" s="32">
        <f t="shared" si="24"/>
        <v>2034188.5417755572</v>
      </c>
      <c r="U59" s="32">
        <f t="shared" si="24"/>
        <v>1994302.4919368208</v>
      </c>
      <c r="V59" s="32">
        <f t="shared" si="24"/>
        <v>1955198.5215066869</v>
      </c>
      <c r="W59" s="32">
        <f t="shared" si="24"/>
        <v>1916861.2955947916</v>
      </c>
      <c r="X59" s="32">
        <f t="shared" si="24"/>
        <v>1879275.7799948934</v>
      </c>
      <c r="Y59" s="32">
        <f t="shared" si="24"/>
        <v>1842427.235289111</v>
      </c>
      <c r="Z59" s="32">
        <f t="shared" si="24"/>
        <v>1806301.2110677562</v>
      </c>
      <c r="AA59" s="32">
        <f t="shared" si="24"/>
        <v>1770883.5402625061</v>
      </c>
      <c r="AB59" s="32">
        <f t="shared" si="25"/>
        <v>1736160.3335906921</v>
      </c>
      <c r="AC59" s="32">
        <f t="shared" si="25"/>
        <v>1702117.9741085218</v>
      </c>
      <c r="AD59" s="32">
        <f t="shared" si="25"/>
        <v>1668743.1118710998</v>
      </c>
      <c r="AE59" s="32">
        <f t="shared" si="25"/>
        <v>1636022.6586971569</v>
      </c>
      <c r="AF59" s="32">
        <f t="shared" si="25"/>
        <v>1603943.7830364283</v>
      </c>
      <c r="AG59" s="32">
        <f t="shared" si="25"/>
        <v>1572493.9049376748</v>
      </c>
      <c r="AH59" s="32">
        <f t="shared" si="25"/>
        <v>1541660.6911153672</v>
      </c>
      <c r="AI59" s="32">
        <f t="shared" si="25"/>
        <v>1511432.0501131054</v>
      </c>
      <c r="AJ59" s="32">
        <f t="shared" si="25"/>
        <v>1481796.1275618677</v>
      </c>
      <c r="AK59" s="32">
        <f t="shared" si="25"/>
        <v>1452741.3015312431</v>
      </c>
      <c r="AL59" s="32">
        <f t="shared" si="26"/>
        <v>1424256.1779718068</v>
      </c>
      <c r="AM59" s="32">
        <f t="shared" si="26"/>
        <v>1396329.5862468698</v>
      </c>
      <c r="AN59" s="32">
        <f t="shared" si="26"/>
        <v>1368950.5747518328</v>
      </c>
      <c r="AO59" s="32">
        <f t="shared" si="26"/>
        <v>1342108.4066194438</v>
      </c>
      <c r="AP59" s="32">
        <f t="shared" si="26"/>
        <v>1315792.5555092588</v>
      </c>
      <c r="AQ59" s="32">
        <f t="shared" si="26"/>
        <v>1289992.7014796655</v>
      </c>
      <c r="AR59" s="32">
        <f t="shared" si="26"/>
        <v>1264698.7269408486</v>
      </c>
      <c r="AS59" s="32">
        <f t="shared" si="26"/>
        <v>1239900.7126871063</v>
      </c>
      <c r="AT59" s="32">
        <f t="shared" si="26"/>
        <v>1215588.9340069669</v>
      </c>
      <c r="AU59" s="32">
        <f t="shared" si="26"/>
        <v>1191753.8568695758</v>
      </c>
      <c r="AV59" s="32">
        <f t="shared" si="27"/>
        <v>1168386.1341858583</v>
      </c>
      <c r="AW59" s="32">
        <f t="shared" si="27"/>
        <v>0</v>
      </c>
      <c r="AX59" s="32">
        <f t="shared" si="27"/>
        <v>0</v>
      </c>
      <c r="AY59" s="32">
        <f t="shared" si="27"/>
        <v>0</v>
      </c>
      <c r="AZ59" s="32">
        <f t="shared" si="27"/>
        <v>0</v>
      </c>
      <c r="BA59" s="32">
        <f t="shared" si="27"/>
        <v>0</v>
      </c>
      <c r="BB59" s="32">
        <f t="shared" si="27"/>
        <v>0</v>
      </c>
      <c r="BC59" s="32">
        <f t="shared" si="27"/>
        <v>0</v>
      </c>
      <c r="BD59" s="32">
        <f t="shared" si="27"/>
        <v>0</v>
      </c>
      <c r="BE59" s="32">
        <f t="shared" si="27"/>
        <v>0</v>
      </c>
      <c r="BF59" s="32">
        <f t="shared" si="27"/>
        <v>0</v>
      </c>
    </row>
    <row r="60" spans="3:58" x14ac:dyDescent="0.2">
      <c r="C60" s="8" t="str">
        <v>Romania</v>
      </c>
      <c r="D60" s="56" t="str">
        <v>Europe &amp; Central Asia</v>
      </c>
      <c r="E60" s="39">
        <f t="shared" si="22"/>
        <v>4579758.4624999994</v>
      </c>
      <c r="F60" s="141">
        <f t="shared" si="6"/>
        <v>102042845.62429212</v>
      </c>
      <c r="H60" s="32">
        <f t="shared" si="23"/>
        <v>4579758.4624999994</v>
      </c>
      <c r="I60" s="32">
        <f t="shared" si="23"/>
        <v>4489959.2769607836</v>
      </c>
      <c r="J60" s="32">
        <f t="shared" si="23"/>
        <v>4401920.8597654747</v>
      </c>
      <c r="K60" s="32">
        <f t="shared" si="23"/>
        <v>4315608.6860445831</v>
      </c>
      <c r="L60" s="32">
        <f t="shared" si="23"/>
        <v>4230988.907886846</v>
      </c>
      <c r="M60" s="32">
        <f t="shared" si="23"/>
        <v>4148028.3410655349</v>
      </c>
      <c r="N60" s="32">
        <f t="shared" si="23"/>
        <v>4066694.452025034</v>
      </c>
      <c r="O60" s="32">
        <f t="shared" si="23"/>
        <v>3986955.3451225832</v>
      </c>
      <c r="P60" s="32">
        <f t="shared" si="23"/>
        <v>3908779.7501201793</v>
      </c>
      <c r="Q60" s="32">
        <f t="shared" si="23"/>
        <v>3832137.0099217445</v>
      </c>
      <c r="R60" s="32">
        <f t="shared" si="24"/>
        <v>3756997.0685507297</v>
      </c>
      <c r="S60" s="32">
        <f t="shared" si="24"/>
        <v>3683330.459363461</v>
      </c>
      <c r="T60" s="32">
        <f t="shared" si="24"/>
        <v>3611108.2934935889</v>
      </c>
      <c r="U60" s="32">
        <f t="shared" si="24"/>
        <v>3540302.2485231264</v>
      </c>
      <c r="V60" s="32">
        <f t="shared" si="24"/>
        <v>3470884.5573756136</v>
      </c>
      <c r="W60" s="32">
        <f t="shared" si="24"/>
        <v>3402827.9974270733</v>
      </c>
      <c r="X60" s="32">
        <f t="shared" si="24"/>
        <v>3336105.8798304633</v>
      </c>
      <c r="Y60" s="32">
        <f t="shared" si="24"/>
        <v>3270692.0390494736</v>
      </c>
      <c r="Z60" s="32">
        <f t="shared" si="24"/>
        <v>3206560.8225975237</v>
      </c>
      <c r="AA60" s="32">
        <f t="shared" si="24"/>
        <v>3143687.0809779642</v>
      </c>
      <c r="AB60" s="32">
        <f t="shared" si="25"/>
        <v>3082046.1578215333</v>
      </c>
      <c r="AC60" s="32">
        <f t="shared" si="25"/>
        <v>3021613.8802171899</v>
      </c>
      <c r="AD60" s="32">
        <f t="shared" si="25"/>
        <v>2962366.5492325388</v>
      </c>
      <c r="AE60" s="32">
        <f t="shared" si="25"/>
        <v>2904280.9306201367</v>
      </c>
      <c r="AF60" s="32">
        <f t="shared" si="25"/>
        <v>2847334.2457060162</v>
      </c>
      <c r="AG60" s="32">
        <f t="shared" si="25"/>
        <v>2791504.1624568789</v>
      </c>
      <c r="AH60" s="32">
        <f t="shared" si="25"/>
        <v>2736768.78672243</v>
      </c>
      <c r="AI60" s="32">
        <f t="shared" si="25"/>
        <v>2683106.6536494414</v>
      </c>
      <c r="AJ60" s="32">
        <f t="shared" si="25"/>
        <v>2630496.7192641576</v>
      </c>
      <c r="AK60" s="32">
        <f t="shared" si="25"/>
        <v>2578918.3522197627</v>
      </c>
      <c r="AL60" s="32">
        <f t="shared" si="26"/>
        <v>2528351.3257056498</v>
      </c>
      <c r="AM60" s="32">
        <f t="shared" si="26"/>
        <v>2478775.8095153435</v>
      </c>
      <c r="AN60" s="32">
        <f t="shared" si="26"/>
        <v>2430172.362269944</v>
      </c>
      <c r="AO60" s="32">
        <f t="shared" si="26"/>
        <v>2382521.9237940628</v>
      </c>
      <c r="AP60" s="32">
        <f t="shared" si="26"/>
        <v>2335805.807641238</v>
      </c>
      <c r="AQ60" s="32">
        <f t="shared" si="26"/>
        <v>2290005.6937659197</v>
      </c>
      <c r="AR60" s="32">
        <f t="shared" si="26"/>
        <v>2245103.6213391372</v>
      </c>
      <c r="AS60" s="32">
        <f t="shared" si="26"/>
        <v>2201081.981705036</v>
      </c>
      <c r="AT60" s="32">
        <f t="shared" si="26"/>
        <v>2157923.5114755253</v>
      </c>
      <c r="AU60" s="32">
        <f t="shared" si="26"/>
        <v>2115611.2857603198</v>
      </c>
      <c r="AV60" s="32">
        <f t="shared" si="27"/>
        <v>2074128.7115297248</v>
      </c>
      <c r="AW60" s="32">
        <f t="shared" si="27"/>
        <v>0</v>
      </c>
      <c r="AX60" s="32">
        <f t="shared" si="27"/>
        <v>0</v>
      </c>
      <c r="AY60" s="32">
        <f t="shared" si="27"/>
        <v>0</v>
      </c>
      <c r="AZ60" s="32">
        <f t="shared" si="27"/>
        <v>0</v>
      </c>
      <c r="BA60" s="32">
        <f t="shared" si="27"/>
        <v>0</v>
      </c>
      <c r="BB60" s="32">
        <f t="shared" si="27"/>
        <v>0</v>
      </c>
      <c r="BC60" s="32">
        <f t="shared" si="27"/>
        <v>0</v>
      </c>
      <c r="BD60" s="32">
        <f t="shared" si="27"/>
        <v>0</v>
      </c>
      <c r="BE60" s="32">
        <f t="shared" si="27"/>
        <v>0</v>
      </c>
      <c r="BF60" s="32">
        <f t="shared" si="27"/>
        <v>0</v>
      </c>
    </row>
    <row r="61" spans="3:58" x14ac:dyDescent="0.2">
      <c r="C61" s="8" t="str">
        <v>Russian Federation</v>
      </c>
      <c r="D61" s="56" t="str">
        <v>Europe &amp; Central Asia</v>
      </c>
      <c r="E61" s="39">
        <f t="shared" si="22"/>
        <v>300000</v>
      </c>
      <c r="F61" s="141">
        <f t="shared" si="6"/>
        <v>6684381.7065794952</v>
      </c>
      <c r="H61" s="32">
        <f t="shared" si="23"/>
        <v>300000</v>
      </c>
      <c r="I61" s="32">
        <f t="shared" si="23"/>
        <v>294117.64705882355</v>
      </c>
      <c r="J61" s="32">
        <f t="shared" si="23"/>
        <v>288350.63437139563</v>
      </c>
      <c r="K61" s="32">
        <f t="shared" si="23"/>
        <v>282696.70036411338</v>
      </c>
      <c r="L61" s="32">
        <f t="shared" si="23"/>
        <v>277153.62780795427</v>
      </c>
      <c r="M61" s="32">
        <f t="shared" si="23"/>
        <v>271719.24294897477</v>
      </c>
      <c r="N61" s="32">
        <f t="shared" si="23"/>
        <v>266391.4146558576</v>
      </c>
      <c r="O61" s="32">
        <f t="shared" si="23"/>
        <v>261168.05358417417</v>
      </c>
      <c r="P61" s="32">
        <f t="shared" si="23"/>
        <v>256047.11135703349</v>
      </c>
      <c r="Q61" s="32">
        <f t="shared" si="23"/>
        <v>251026.57976179753</v>
      </c>
      <c r="R61" s="32">
        <f t="shared" si="24"/>
        <v>246104.48996254659</v>
      </c>
      <c r="S61" s="32">
        <f t="shared" si="24"/>
        <v>241278.91172798691</v>
      </c>
      <c r="T61" s="32">
        <f t="shared" si="24"/>
        <v>236547.95267449692</v>
      </c>
      <c r="U61" s="32">
        <f t="shared" si="24"/>
        <v>231909.7575240166</v>
      </c>
      <c r="V61" s="32">
        <f t="shared" si="24"/>
        <v>227362.50737648684</v>
      </c>
      <c r="W61" s="32">
        <f t="shared" si="24"/>
        <v>222904.41899655579</v>
      </c>
      <c r="X61" s="32">
        <f t="shared" si="24"/>
        <v>218533.74411427035</v>
      </c>
      <c r="Y61" s="32">
        <f t="shared" si="24"/>
        <v>214248.7687394807</v>
      </c>
      <c r="Z61" s="32">
        <f t="shared" si="24"/>
        <v>210047.812489687</v>
      </c>
      <c r="AA61" s="32">
        <f t="shared" si="24"/>
        <v>205929.22793106569</v>
      </c>
      <c r="AB61" s="32">
        <f t="shared" si="25"/>
        <v>201891.39993241732</v>
      </c>
      <c r="AC61" s="32">
        <f t="shared" si="25"/>
        <v>197932.7450317817</v>
      </c>
      <c r="AD61" s="32">
        <f t="shared" si="25"/>
        <v>194051.71081547224</v>
      </c>
      <c r="AE61" s="32">
        <f t="shared" si="25"/>
        <v>190246.77530928655</v>
      </c>
      <c r="AF61" s="32">
        <f t="shared" si="25"/>
        <v>186516.44638165348</v>
      </c>
      <c r="AG61" s="32">
        <f t="shared" si="25"/>
        <v>182859.2611584838</v>
      </c>
      <c r="AH61" s="32">
        <f t="shared" si="25"/>
        <v>179273.78544949391</v>
      </c>
      <c r="AI61" s="32">
        <f t="shared" si="25"/>
        <v>175758.61318577838</v>
      </c>
      <c r="AJ61" s="32">
        <f t="shared" si="25"/>
        <v>172312.36586841012</v>
      </c>
      <c r="AK61" s="32">
        <f t="shared" si="25"/>
        <v>168933.69202785307</v>
      </c>
      <c r="AL61" s="32">
        <f t="shared" si="26"/>
        <v>165621.26669397359</v>
      </c>
      <c r="AM61" s="32">
        <f t="shared" si="26"/>
        <v>162373.79087644475</v>
      </c>
      <c r="AN61" s="32">
        <f t="shared" si="26"/>
        <v>159189.99105533794</v>
      </c>
      <c r="AO61" s="32">
        <f t="shared" si="26"/>
        <v>156068.61868170387</v>
      </c>
      <c r="AP61" s="32">
        <f t="shared" si="26"/>
        <v>153008.44968794499</v>
      </c>
      <c r="AQ61" s="32">
        <f t="shared" si="26"/>
        <v>150008.28400778919</v>
      </c>
      <c r="AR61" s="32">
        <f t="shared" si="26"/>
        <v>147066.9451056757</v>
      </c>
      <c r="AS61" s="32">
        <f t="shared" si="26"/>
        <v>144183.27951536831</v>
      </c>
      <c r="AT61" s="32">
        <f t="shared" si="26"/>
        <v>141356.15638761598</v>
      </c>
      <c r="AU61" s="32">
        <f t="shared" si="26"/>
        <v>138584.46704668237</v>
      </c>
      <c r="AV61" s="32">
        <f t="shared" si="27"/>
        <v>135867.12455557092</v>
      </c>
      <c r="AW61" s="32">
        <f t="shared" si="27"/>
        <v>0</v>
      </c>
      <c r="AX61" s="32">
        <f t="shared" si="27"/>
        <v>0</v>
      </c>
      <c r="AY61" s="32">
        <f t="shared" si="27"/>
        <v>0</v>
      </c>
      <c r="AZ61" s="32">
        <f t="shared" si="27"/>
        <v>0</v>
      </c>
      <c r="BA61" s="32">
        <f t="shared" si="27"/>
        <v>0</v>
      </c>
      <c r="BB61" s="32">
        <f t="shared" si="27"/>
        <v>0</v>
      </c>
      <c r="BC61" s="32">
        <f t="shared" si="27"/>
        <v>0</v>
      </c>
      <c r="BD61" s="32">
        <f t="shared" si="27"/>
        <v>0</v>
      </c>
      <c r="BE61" s="32">
        <f t="shared" si="27"/>
        <v>0</v>
      </c>
      <c r="BF61" s="32">
        <f t="shared" si="27"/>
        <v>0</v>
      </c>
    </row>
    <row r="62" spans="3:58" x14ac:dyDescent="0.2">
      <c r="C62" s="8" t="str">
        <v>Slovak Republic</v>
      </c>
      <c r="D62" s="56" t="str">
        <v>Europe &amp; Central Asia</v>
      </c>
      <c r="E62" s="39">
        <f t="shared" si="22"/>
        <v>1707887.3410499997</v>
      </c>
      <c r="F62" s="141">
        <f t="shared" si="6"/>
        <v>38053902.998044372</v>
      </c>
      <c r="H62" s="32">
        <f t="shared" si="23"/>
        <v>1707887.3410499997</v>
      </c>
      <c r="I62" s="32">
        <f t="shared" si="23"/>
        <v>1674399.353970588</v>
      </c>
      <c r="J62" s="32">
        <f t="shared" si="23"/>
        <v>1641567.9940888118</v>
      </c>
      <c r="K62" s="32">
        <f t="shared" si="23"/>
        <v>1609380.3863615801</v>
      </c>
      <c r="L62" s="32">
        <f t="shared" si="23"/>
        <v>1577823.9081976276</v>
      </c>
      <c r="M62" s="32">
        <f t="shared" si="23"/>
        <v>1546886.184507478</v>
      </c>
      <c r="N62" s="32">
        <f t="shared" si="23"/>
        <v>1516555.0828504686</v>
      </c>
      <c r="O62" s="32">
        <f t="shared" si="23"/>
        <v>1486818.7086769303</v>
      </c>
      <c r="P62" s="32">
        <f t="shared" si="23"/>
        <v>1457665.4006636569</v>
      </c>
      <c r="Q62" s="32">
        <f t="shared" si="23"/>
        <v>1429083.7261408402</v>
      </c>
      <c r="R62" s="32">
        <f t="shared" si="24"/>
        <v>1401062.4766086668</v>
      </c>
      <c r="S62" s="32">
        <f t="shared" si="24"/>
        <v>1373590.6633418305</v>
      </c>
      <c r="T62" s="32">
        <f t="shared" si="24"/>
        <v>1346657.5130802258</v>
      </c>
      <c r="U62" s="32">
        <f t="shared" si="24"/>
        <v>1320252.463804143</v>
      </c>
      <c r="V62" s="32">
        <f t="shared" si="24"/>
        <v>1294365.1605922969</v>
      </c>
      <c r="W62" s="32">
        <f t="shared" si="24"/>
        <v>1268985.4515610756</v>
      </c>
      <c r="X62" s="32">
        <f t="shared" si="24"/>
        <v>1244103.3838834073</v>
      </c>
      <c r="Y62" s="32">
        <f t="shared" si="24"/>
        <v>1219709.1998856934</v>
      </c>
      <c r="Z62" s="32">
        <f t="shared" si="24"/>
        <v>1195793.3332212681</v>
      </c>
      <c r="AA62" s="32">
        <f t="shared" si="24"/>
        <v>1172346.4051188903</v>
      </c>
      <c r="AB62" s="32">
        <f t="shared" si="25"/>
        <v>1149359.2207047944</v>
      </c>
      <c r="AC62" s="32">
        <f t="shared" si="25"/>
        <v>1126822.7653968574</v>
      </c>
      <c r="AD62" s="32">
        <f t="shared" si="25"/>
        <v>1104728.2013694679</v>
      </c>
      <c r="AE62" s="32">
        <f t="shared" si="25"/>
        <v>1083066.8640877139</v>
      </c>
      <c r="AF62" s="32">
        <f t="shared" si="25"/>
        <v>1061830.2589095233</v>
      </c>
      <c r="AG62" s="32">
        <f t="shared" si="25"/>
        <v>1041010.0577544346</v>
      </c>
      <c r="AH62" s="32">
        <f t="shared" si="25"/>
        <v>1020598.0958376809</v>
      </c>
      <c r="AI62" s="32">
        <f t="shared" si="25"/>
        <v>1000586.3684683148</v>
      </c>
      <c r="AJ62" s="32">
        <f t="shared" si="25"/>
        <v>980967.02791011229</v>
      </c>
      <c r="AK62" s="32">
        <f t="shared" si="25"/>
        <v>961732.38030403177</v>
      </c>
      <c r="AL62" s="32">
        <f t="shared" si="26"/>
        <v>942874.88265101146</v>
      </c>
      <c r="AM62" s="32">
        <f t="shared" si="26"/>
        <v>924387.13985393301</v>
      </c>
      <c r="AN62" s="32">
        <f t="shared" si="26"/>
        <v>906261.90181758127</v>
      </c>
      <c r="AO62" s="32">
        <f t="shared" si="26"/>
        <v>888492.06060547172</v>
      </c>
      <c r="AP62" s="32">
        <f t="shared" si="26"/>
        <v>871070.64765242336</v>
      </c>
      <c r="AQ62" s="32">
        <f t="shared" si="26"/>
        <v>853990.83103178767</v>
      </c>
      <c r="AR62" s="32">
        <f t="shared" si="26"/>
        <v>837245.91277626238</v>
      </c>
      <c r="AS62" s="32">
        <f t="shared" si="26"/>
        <v>820829.32625123754</v>
      </c>
      <c r="AT62" s="32">
        <f t="shared" si="26"/>
        <v>804734.63357964461</v>
      </c>
      <c r="AU62" s="32">
        <f t="shared" si="26"/>
        <v>788955.52311729896</v>
      </c>
      <c r="AV62" s="32">
        <f t="shared" si="27"/>
        <v>773485.80697774386</v>
      </c>
      <c r="AW62" s="32">
        <f t="shared" si="27"/>
        <v>0</v>
      </c>
      <c r="AX62" s="32">
        <f t="shared" si="27"/>
        <v>0</v>
      </c>
      <c r="AY62" s="32">
        <f t="shared" si="27"/>
        <v>0</v>
      </c>
      <c r="AZ62" s="32">
        <f t="shared" si="27"/>
        <v>0</v>
      </c>
      <c r="BA62" s="32">
        <f t="shared" si="27"/>
        <v>0</v>
      </c>
      <c r="BB62" s="32">
        <f t="shared" si="27"/>
        <v>0</v>
      </c>
      <c r="BC62" s="32">
        <f t="shared" si="27"/>
        <v>0</v>
      </c>
      <c r="BD62" s="32">
        <f t="shared" si="27"/>
        <v>0</v>
      </c>
      <c r="BE62" s="32">
        <f t="shared" si="27"/>
        <v>0</v>
      </c>
      <c r="BF62" s="32">
        <f t="shared" si="27"/>
        <v>0</v>
      </c>
    </row>
    <row r="63" spans="3:58" x14ac:dyDescent="0.2">
      <c r="C63" s="8" t="str">
        <v>Slovenia</v>
      </c>
      <c r="D63" s="56" t="str">
        <v>Europe &amp; Central Asia</v>
      </c>
      <c r="E63" s="39">
        <f t="shared" si="22"/>
        <v>303385.22542500001</v>
      </c>
      <c r="F63" s="141">
        <f t="shared" si="6"/>
        <v>6759808.8362578852</v>
      </c>
      <c r="H63" s="32">
        <f t="shared" ref="H63:Q74" si="28">IFERROR(IF(H$11&lt;=$F$3,$E63/(1+$I$3)^H$11,0),"No value")</f>
        <v>303385.22542500001</v>
      </c>
      <c r="I63" s="32">
        <f t="shared" si="28"/>
        <v>297436.49551470589</v>
      </c>
      <c r="J63" s="32">
        <f t="shared" si="28"/>
        <v>291604.40736735874</v>
      </c>
      <c r="K63" s="32">
        <f t="shared" si="28"/>
        <v>285886.67388956738</v>
      </c>
      <c r="L63" s="32">
        <f t="shared" si="28"/>
        <v>280281.05283290922</v>
      </c>
      <c r="M63" s="32">
        <f t="shared" si="28"/>
        <v>274785.34591461683</v>
      </c>
      <c r="N63" s="32">
        <f t="shared" si="28"/>
        <v>269397.39795550669</v>
      </c>
      <c r="O63" s="32">
        <f t="shared" si="28"/>
        <v>264115.09603481053</v>
      </c>
      <c r="P63" s="32">
        <f t="shared" si="28"/>
        <v>258936.36866157895</v>
      </c>
      <c r="Q63" s="32">
        <f t="shared" si="28"/>
        <v>253859.18496233231</v>
      </c>
      <c r="R63" s="32">
        <f t="shared" ref="R63:AA74" si="29">IFERROR(IF(R$11&lt;=$F$3,$E63/(1+$I$3)^R$11,0),"No value")</f>
        <v>248881.55388463949</v>
      </c>
      <c r="S63" s="32">
        <f t="shared" si="29"/>
        <v>244001.52341631328</v>
      </c>
      <c r="T63" s="32">
        <f t="shared" si="29"/>
        <v>239217.17981991495</v>
      </c>
      <c r="U63" s="32">
        <f t="shared" si="29"/>
        <v>234526.64688226956</v>
      </c>
      <c r="V63" s="32">
        <f t="shared" si="29"/>
        <v>229928.08517869562</v>
      </c>
      <c r="W63" s="32">
        <f t="shared" si="29"/>
        <v>225419.69135166245</v>
      </c>
      <c r="X63" s="32">
        <f t="shared" si="29"/>
        <v>220999.6974035906</v>
      </c>
      <c r="Y63" s="32">
        <f t="shared" si="29"/>
        <v>216666.37000352016</v>
      </c>
      <c r="Z63" s="32">
        <f t="shared" si="29"/>
        <v>212418.00980737273</v>
      </c>
      <c r="AA63" s="32">
        <f t="shared" si="29"/>
        <v>208252.95079154189</v>
      </c>
      <c r="AB63" s="32">
        <f t="shared" ref="AB63:AK74" si="30">IFERROR(IF(AB$11&lt;=$F$3,$E63/(1+$I$3)^AB$11,0),"No value")</f>
        <v>204169.55959955088</v>
      </c>
      <c r="AC63" s="32">
        <f t="shared" si="30"/>
        <v>200166.23490152048</v>
      </c>
      <c r="AD63" s="32">
        <f t="shared" si="30"/>
        <v>196241.40676619654</v>
      </c>
      <c r="AE63" s="32">
        <f t="shared" si="30"/>
        <v>192393.53604529076</v>
      </c>
      <c r="AF63" s="32">
        <f t="shared" si="30"/>
        <v>188621.11376989289</v>
      </c>
      <c r="AG63" s="32">
        <f t="shared" si="30"/>
        <v>184922.66055871852</v>
      </c>
      <c r="AH63" s="32">
        <f t="shared" si="30"/>
        <v>181296.72603795931</v>
      </c>
      <c r="AI63" s="32">
        <f t="shared" si="30"/>
        <v>177741.88827250915</v>
      </c>
      <c r="AJ63" s="32">
        <f t="shared" si="30"/>
        <v>174256.75320834227</v>
      </c>
      <c r="AK63" s="32">
        <f t="shared" si="30"/>
        <v>170839.95412582578</v>
      </c>
      <c r="AL63" s="32">
        <f t="shared" ref="AL63:AU74" si="31">IFERROR(IF(AL$11&lt;=$F$3,$E63/(1+$I$3)^AL$11,0),"No value")</f>
        <v>167490.15110375077</v>
      </c>
      <c r="AM63" s="32">
        <f t="shared" si="31"/>
        <v>164206.03049387332</v>
      </c>
      <c r="AN63" s="32">
        <f t="shared" si="31"/>
        <v>160986.30440575813</v>
      </c>
      <c r="AO63" s="32">
        <f t="shared" si="31"/>
        <v>157829.71020172365</v>
      </c>
      <c r="AP63" s="32">
        <f t="shared" si="31"/>
        <v>154735.01000168987</v>
      </c>
      <c r="AQ63" s="32">
        <f t="shared" si="31"/>
        <v>151700.99019773517</v>
      </c>
      <c r="AR63" s="32">
        <f t="shared" si="31"/>
        <v>148726.46097817173</v>
      </c>
      <c r="AS63" s="32">
        <f t="shared" si="31"/>
        <v>145810.25586095266</v>
      </c>
      <c r="AT63" s="32">
        <f t="shared" si="31"/>
        <v>142951.23123622808</v>
      </c>
      <c r="AU63" s="32">
        <f t="shared" si="31"/>
        <v>140148.26591787074</v>
      </c>
      <c r="AV63" s="32">
        <f t="shared" ref="AV63:BF74" si="32">IFERROR(IF(AV$11&lt;=$F$3,$E63/(1+$I$3)^AV$11,0),"No value")</f>
        <v>137400.2607037948</v>
      </c>
      <c r="AW63" s="32">
        <f t="shared" si="32"/>
        <v>0</v>
      </c>
      <c r="AX63" s="32">
        <f t="shared" si="32"/>
        <v>0</v>
      </c>
      <c r="AY63" s="32">
        <f t="shared" si="32"/>
        <v>0</v>
      </c>
      <c r="AZ63" s="32">
        <f t="shared" si="32"/>
        <v>0</v>
      </c>
      <c r="BA63" s="32">
        <f t="shared" si="32"/>
        <v>0</v>
      </c>
      <c r="BB63" s="32">
        <f t="shared" si="32"/>
        <v>0</v>
      </c>
      <c r="BC63" s="32">
        <f t="shared" si="32"/>
        <v>0</v>
      </c>
      <c r="BD63" s="32">
        <f t="shared" si="32"/>
        <v>0</v>
      </c>
      <c r="BE63" s="32">
        <f t="shared" si="32"/>
        <v>0</v>
      </c>
      <c r="BF63" s="32">
        <f t="shared" si="32"/>
        <v>0</v>
      </c>
    </row>
    <row r="64" spans="3:58" x14ac:dyDescent="0.2">
      <c r="C64" s="8" t="str">
        <v>South Africa</v>
      </c>
      <c r="D64" s="56" t="str">
        <v>Sub-Saharan Africa</v>
      </c>
      <c r="E64" s="39">
        <f t="shared" si="22"/>
        <v>13289207.039999999</v>
      </c>
      <c r="F64" s="141">
        <f t="shared" si="6"/>
        <v>296100441.44374478</v>
      </c>
      <c r="H64" s="32">
        <f t="shared" si="28"/>
        <v>13289207.039999999</v>
      </c>
      <c r="I64" s="32">
        <f t="shared" si="28"/>
        <v>13028634.352941176</v>
      </c>
      <c r="J64" s="32">
        <f t="shared" si="28"/>
        <v>12773170.934256054</v>
      </c>
      <c r="K64" s="32">
        <f t="shared" si="28"/>
        <v>12522716.602211818</v>
      </c>
      <c r="L64" s="32">
        <f t="shared" si="28"/>
        <v>12277173.139423352</v>
      </c>
      <c r="M64" s="32">
        <f t="shared" si="28"/>
        <v>12036444.254336618</v>
      </c>
      <c r="N64" s="32">
        <f t="shared" si="28"/>
        <v>11800435.543467272</v>
      </c>
      <c r="O64" s="32">
        <f t="shared" si="28"/>
        <v>11569054.454379681</v>
      </c>
      <c r="P64" s="32">
        <f t="shared" si="28"/>
        <v>11342210.249391844</v>
      </c>
      <c r="Q64" s="32">
        <f t="shared" si="28"/>
        <v>11119813.969992004</v>
      </c>
      <c r="R64" s="32">
        <f t="shared" si="29"/>
        <v>10901778.401952945</v>
      </c>
      <c r="S64" s="32">
        <f t="shared" si="29"/>
        <v>10688018.04113034</v>
      </c>
      <c r="T64" s="32">
        <f t="shared" si="29"/>
        <v>10478449.059931703</v>
      </c>
      <c r="U64" s="32">
        <f t="shared" si="29"/>
        <v>10272989.274442848</v>
      </c>
      <c r="V64" s="32">
        <f t="shared" si="29"/>
        <v>10071558.112198869</v>
      </c>
      <c r="W64" s="32">
        <f t="shared" si="29"/>
        <v>9874076.5805871282</v>
      </c>
      <c r="X64" s="32">
        <f t="shared" si="29"/>
        <v>9680467.2358697318</v>
      </c>
      <c r="Y64" s="32">
        <f t="shared" si="29"/>
        <v>9490654.1528134625</v>
      </c>
      <c r="Z64" s="32">
        <f t="shared" si="29"/>
        <v>9304562.8949151598</v>
      </c>
      <c r="AA64" s="32">
        <f t="shared" si="29"/>
        <v>9122120.4852109421</v>
      </c>
      <c r="AB64" s="32">
        <f t="shared" si="30"/>
        <v>8943255.377657786</v>
      </c>
      <c r="AC64" s="32">
        <f t="shared" si="30"/>
        <v>8767897.42907626</v>
      </c>
      <c r="AD64" s="32">
        <f t="shared" si="30"/>
        <v>8595977.8716433924</v>
      </c>
      <c r="AE64" s="32">
        <f t="shared" si="30"/>
        <v>8427429.2859248966</v>
      </c>
      <c r="AF64" s="32">
        <f t="shared" si="30"/>
        <v>8262185.5744361719</v>
      </c>
      <c r="AG64" s="32">
        <f t="shared" si="30"/>
        <v>8100181.9357217373</v>
      </c>
      <c r="AH64" s="32">
        <f t="shared" si="30"/>
        <v>7941354.8389428789</v>
      </c>
      <c r="AI64" s="32">
        <f t="shared" si="30"/>
        <v>7785641.9989636084</v>
      </c>
      <c r="AJ64" s="32">
        <f t="shared" si="30"/>
        <v>7632982.3519251049</v>
      </c>
      <c r="AK64" s="32">
        <f t="shared" si="30"/>
        <v>7483316.0312991235</v>
      </c>
      <c r="AL64" s="32">
        <f t="shared" si="31"/>
        <v>7336584.3444109047</v>
      </c>
      <c r="AM64" s="32">
        <f t="shared" si="31"/>
        <v>7192729.7494224571</v>
      </c>
      <c r="AN64" s="32">
        <f t="shared" si="31"/>
        <v>7051695.8327671131</v>
      </c>
      <c r="AO64" s="32">
        <f t="shared" si="31"/>
        <v>6913427.2870265814</v>
      </c>
      <c r="AP64" s="32">
        <f t="shared" si="31"/>
        <v>6777869.8892417466</v>
      </c>
      <c r="AQ64" s="32">
        <f t="shared" si="31"/>
        <v>6644970.4796487717</v>
      </c>
      <c r="AR64" s="32">
        <f t="shared" si="31"/>
        <v>6514676.9408321297</v>
      </c>
      <c r="AS64" s="32">
        <f t="shared" si="31"/>
        <v>6386938.1772864005</v>
      </c>
      <c r="AT64" s="32">
        <f t="shared" si="31"/>
        <v>6261704.0953788236</v>
      </c>
      <c r="AU64" s="32">
        <f t="shared" si="31"/>
        <v>6138925.5837047314</v>
      </c>
      <c r="AV64" s="32">
        <f t="shared" si="32"/>
        <v>6018554.4938281663</v>
      </c>
      <c r="AW64" s="32">
        <f t="shared" si="32"/>
        <v>0</v>
      </c>
      <c r="AX64" s="32">
        <f t="shared" si="32"/>
        <v>0</v>
      </c>
      <c r="AY64" s="32">
        <f t="shared" si="32"/>
        <v>0</v>
      </c>
      <c r="AZ64" s="32">
        <f t="shared" si="32"/>
        <v>0</v>
      </c>
      <c r="BA64" s="32">
        <f t="shared" si="32"/>
        <v>0</v>
      </c>
      <c r="BB64" s="32">
        <f t="shared" si="32"/>
        <v>0</v>
      </c>
      <c r="BC64" s="32">
        <f t="shared" si="32"/>
        <v>0</v>
      </c>
      <c r="BD64" s="32">
        <f t="shared" si="32"/>
        <v>0</v>
      </c>
      <c r="BE64" s="32">
        <f t="shared" si="32"/>
        <v>0</v>
      </c>
      <c r="BF64" s="32">
        <f t="shared" si="32"/>
        <v>0</v>
      </c>
    </row>
    <row r="65" spans="3:58" x14ac:dyDescent="0.2">
      <c r="C65" s="8" t="str">
        <v>Spain</v>
      </c>
      <c r="D65" s="56" t="str">
        <v>Europe &amp; Central Asia</v>
      </c>
      <c r="E65" s="39">
        <f t="shared" si="22"/>
        <v>12344869.093200002</v>
      </c>
      <c r="F65" s="141">
        <f t="shared" si="6"/>
        <v>275059390.45568234</v>
      </c>
      <c r="H65" s="32">
        <f t="shared" si="28"/>
        <v>12344869.093200002</v>
      </c>
      <c r="I65" s="32">
        <f t="shared" si="28"/>
        <v>12102812.836470589</v>
      </c>
      <c r="J65" s="32">
        <f t="shared" si="28"/>
        <v>11865502.780853519</v>
      </c>
      <c r="K65" s="32">
        <f t="shared" si="28"/>
        <v>11632845.863581883</v>
      </c>
      <c r="L65" s="32">
        <f t="shared" si="28"/>
        <v>11404750.846648904</v>
      </c>
      <c r="M65" s="32">
        <f t="shared" si="28"/>
        <v>11181128.281028338</v>
      </c>
      <c r="N65" s="32">
        <f t="shared" si="28"/>
        <v>10961890.471596409</v>
      </c>
      <c r="O65" s="32">
        <f t="shared" si="28"/>
        <v>10746951.442741578</v>
      </c>
      <c r="P65" s="32">
        <f t="shared" si="28"/>
        <v>10536226.904648606</v>
      </c>
      <c r="Q65" s="32">
        <f t="shared" si="28"/>
        <v>10329634.220243732</v>
      </c>
      <c r="R65" s="32">
        <f t="shared" si="29"/>
        <v>10127092.372787971</v>
      </c>
      <c r="S65" s="32">
        <f t="shared" si="29"/>
        <v>9928521.9341058563</v>
      </c>
      <c r="T65" s="32">
        <f t="shared" si="29"/>
        <v>9733845.0334371123</v>
      </c>
      <c r="U65" s="32">
        <f t="shared" si="29"/>
        <v>9542985.3268991299</v>
      </c>
      <c r="V65" s="32">
        <f t="shared" si="29"/>
        <v>9355867.9675481655</v>
      </c>
      <c r="W65" s="32">
        <f t="shared" si="29"/>
        <v>9172419.5760276169</v>
      </c>
      <c r="X65" s="32">
        <f t="shared" si="29"/>
        <v>8992568.2117917798</v>
      </c>
      <c r="Y65" s="32">
        <f t="shared" si="29"/>
        <v>8816243.3448939007</v>
      </c>
      <c r="Z65" s="32">
        <f t="shared" si="29"/>
        <v>8643375.828327354</v>
      </c>
      <c r="AA65" s="32">
        <f t="shared" si="29"/>
        <v>8473897.8709091712</v>
      </c>
      <c r="AB65" s="32">
        <f t="shared" si="30"/>
        <v>8307743.0106952647</v>
      </c>
      <c r="AC65" s="32">
        <f t="shared" si="30"/>
        <v>8144846.0889169276</v>
      </c>
      <c r="AD65" s="32">
        <f t="shared" si="30"/>
        <v>7985143.2244283594</v>
      </c>
      <c r="AE65" s="32">
        <f t="shared" si="30"/>
        <v>7828571.7886552559</v>
      </c>
      <c r="AF65" s="32">
        <f t="shared" si="30"/>
        <v>7675070.3810345642</v>
      </c>
      <c r="AG65" s="32">
        <f t="shared" si="30"/>
        <v>7524578.8049358474</v>
      </c>
      <c r="AH65" s="32">
        <f t="shared" si="30"/>
        <v>7377038.0440547513</v>
      </c>
      <c r="AI65" s="32">
        <f t="shared" si="30"/>
        <v>7232390.2392693656</v>
      </c>
      <c r="AJ65" s="32">
        <f t="shared" si="30"/>
        <v>7090578.665950357</v>
      </c>
      <c r="AK65" s="32">
        <f t="shared" si="30"/>
        <v>6951547.7117160372</v>
      </c>
      <c r="AL65" s="32">
        <f t="shared" si="31"/>
        <v>6815242.8546235655</v>
      </c>
      <c r="AM65" s="32">
        <f t="shared" si="31"/>
        <v>6681610.6417878103</v>
      </c>
      <c r="AN65" s="32">
        <f t="shared" si="31"/>
        <v>6550598.6684194207</v>
      </c>
      <c r="AO65" s="32">
        <f t="shared" si="31"/>
        <v>6422155.5572739411</v>
      </c>
      <c r="AP65" s="32">
        <f t="shared" si="31"/>
        <v>6296230.9385038652</v>
      </c>
      <c r="AQ65" s="32">
        <f t="shared" si="31"/>
        <v>6172775.4299057499</v>
      </c>
      <c r="AR65" s="32">
        <f t="shared" si="31"/>
        <v>6051740.6175546572</v>
      </c>
      <c r="AS65" s="32">
        <f t="shared" si="31"/>
        <v>5933079.0368182901</v>
      </c>
      <c r="AT65" s="32">
        <f t="shared" si="31"/>
        <v>5816744.1537434217</v>
      </c>
      <c r="AU65" s="32">
        <f t="shared" si="31"/>
        <v>5702690.3468072778</v>
      </c>
      <c r="AV65" s="32">
        <f t="shared" si="32"/>
        <v>5590872.8890267415</v>
      </c>
      <c r="AW65" s="32">
        <f t="shared" si="32"/>
        <v>0</v>
      </c>
      <c r="AX65" s="32">
        <f t="shared" si="32"/>
        <v>0</v>
      </c>
      <c r="AY65" s="32">
        <f t="shared" si="32"/>
        <v>0</v>
      </c>
      <c r="AZ65" s="32">
        <f t="shared" si="32"/>
        <v>0</v>
      </c>
      <c r="BA65" s="32">
        <f t="shared" si="32"/>
        <v>0</v>
      </c>
      <c r="BB65" s="32">
        <f t="shared" si="32"/>
        <v>0</v>
      </c>
      <c r="BC65" s="32">
        <f t="shared" si="32"/>
        <v>0</v>
      </c>
      <c r="BD65" s="32">
        <f t="shared" si="32"/>
        <v>0</v>
      </c>
      <c r="BE65" s="32">
        <f t="shared" si="32"/>
        <v>0</v>
      </c>
      <c r="BF65" s="32">
        <f t="shared" si="32"/>
        <v>0</v>
      </c>
    </row>
    <row r="66" spans="3:58" x14ac:dyDescent="0.2">
      <c r="C66" s="8" t="str">
        <v>Sri Lanka</v>
      </c>
      <c r="D66" s="56" t="str">
        <v>South Asia</v>
      </c>
      <c r="E66" s="39">
        <f t="shared" si="22"/>
        <v>289481.5</v>
      </c>
      <c r="F66" s="141">
        <f t="shared" si="6"/>
        <v>6450016.1433106428</v>
      </c>
      <c r="H66" s="32">
        <f t="shared" si="28"/>
        <v>289481.5</v>
      </c>
      <c r="I66" s="32">
        <f t="shared" si="28"/>
        <v>283805.39215686271</v>
      </c>
      <c r="J66" s="32">
        <f t="shared" si="28"/>
        <v>278240.58054594387</v>
      </c>
      <c r="K66" s="32">
        <f t="shared" si="28"/>
        <v>272784.88288818026</v>
      </c>
      <c r="L66" s="32">
        <f t="shared" si="28"/>
        <v>267436.15969429439</v>
      </c>
      <c r="M66" s="32">
        <f t="shared" si="28"/>
        <v>262192.31342577882</v>
      </c>
      <c r="N66" s="32">
        <f t="shared" si="28"/>
        <v>257051.28767233214</v>
      </c>
      <c r="O66" s="32">
        <f t="shared" si="28"/>
        <v>252011.06634542372</v>
      </c>
      <c r="P66" s="32">
        <f t="shared" si="28"/>
        <v>247069.67288767028</v>
      </c>
      <c r="Q66" s="32">
        <f t="shared" si="28"/>
        <v>242225.16949771598</v>
      </c>
      <c r="R66" s="32">
        <f t="shared" si="29"/>
        <v>237475.65637030976</v>
      </c>
      <c r="S66" s="32">
        <f t="shared" si="29"/>
        <v>232819.27095128412</v>
      </c>
      <c r="T66" s="32">
        <f t="shared" si="29"/>
        <v>228254.18720714125</v>
      </c>
      <c r="U66" s="32">
        <f t="shared" si="29"/>
        <v>223778.61490896204</v>
      </c>
      <c r="V66" s="32">
        <f t="shared" si="29"/>
        <v>219390.79893035491</v>
      </c>
      <c r="W66" s="32">
        <f t="shared" si="29"/>
        <v>215089.01855917156</v>
      </c>
      <c r="X66" s="32">
        <f t="shared" si="29"/>
        <v>210871.58682271716</v>
      </c>
      <c r="Y66" s="32">
        <f t="shared" si="29"/>
        <v>206736.84982619327</v>
      </c>
      <c r="Z66" s="32">
        <f t="shared" si="29"/>
        <v>202683.18610411108</v>
      </c>
      <c r="AA66" s="32">
        <f t="shared" si="29"/>
        <v>198709.00598442263</v>
      </c>
      <c r="AB66" s="32">
        <f t="shared" si="30"/>
        <v>194812.75096512021</v>
      </c>
      <c r="AC66" s="32">
        <f t="shared" si="30"/>
        <v>190992.89310305906</v>
      </c>
      <c r="AD66" s="32">
        <f t="shared" si="30"/>
        <v>187247.93441476376</v>
      </c>
      <c r="AE66" s="32">
        <f t="shared" si="30"/>
        <v>183576.40628898412</v>
      </c>
      <c r="AF66" s="32">
        <f t="shared" si="30"/>
        <v>179976.86891076874</v>
      </c>
      <c r="AG66" s="32">
        <f t="shared" si="30"/>
        <v>176447.91069683208</v>
      </c>
      <c r="AH66" s="32">
        <f t="shared" si="30"/>
        <v>172988.14774199223</v>
      </c>
      <c r="AI66" s="32">
        <f t="shared" si="30"/>
        <v>169596.22327646299</v>
      </c>
      <c r="AJ66" s="32">
        <f t="shared" si="30"/>
        <v>166270.80713378722</v>
      </c>
      <c r="AK66" s="32">
        <f t="shared" si="30"/>
        <v>163010.59522920317</v>
      </c>
      <c r="AL66" s="32">
        <f t="shared" si="31"/>
        <v>159814.30904823839</v>
      </c>
      <c r="AM66" s="32">
        <f t="shared" si="31"/>
        <v>156680.69514533179</v>
      </c>
      <c r="AN66" s="32">
        <f t="shared" si="31"/>
        <v>153608.52465228605</v>
      </c>
      <c r="AO66" s="32">
        <f t="shared" si="31"/>
        <v>150596.59279635886</v>
      </c>
      <c r="AP66" s="32">
        <f t="shared" si="31"/>
        <v>147643.71842780281</v>
      </c>
      <c r="AQ66" s="32">
        <f t="shared" si="31"/>
        <v>144748.74355666942</v>
      </c>
      <c r="AR66" s="32">
        <f t="shared" si="31"/>
        <v>141910.53289869553</v>
      </c>
      <c r="AS66" s="32">
        <f t="shared" si="31"/>
        <v>139127.97343009364</v>
      </c>
      <c r="AT66" s="32">
        <f t="shared" si="31"/>
        <v>136399.97395107217</v>
      </c>
      <c r="AU66" s="32">
        <f t="shared" si="31"/>
        <v>133725.46465791395</v>
      </c>
      <c r="AV66" s="32">
        <f t="shared" si="32"/>
        <v>131103.39672344501</v>
      </c>
      <c r="AW66" s="32">
        <f t="shared" si="32"/>
        <v>0</v>
      </c>
      <c r="AX66" s="32">
        <f t="shared" si="32"/>
        <v>0</v>
      </c>
      <c r="AY66" s="32">
        <f t="shared" si="32"/>
        <v>0</v>
      </c>
      <c r="AZ66" s="32">
        <f t="shared" si="32"/>
        <v>0</v>
      </c>
      <c r="BA66" s="32">
        <f t="shared" si="32"/>
        <v>0</v>
      </c>
      <c r="BB66" s="32">
        <f t="shared" si="32"/>
        <v>0</v>
      </c>
      <c r="BC66" s="32">
        <f t="shared" si="32"/>
        <v>0</v>
      </c>
      <c r="BD66" s="32">
        <f t="shared" si="32"/>
        <v>0</v>
      </c>
      <c r="BE66" s="32">
        <f t="shared" si="32"/>
        <v>0</v>
      </c>
      <c r="BF66" s="32">
        <f t="shared" si="32"/>
        <v>0</v>
      </c>
    </row>
    <row r="67" spans="3:58" x14ac:dyDescent="0.2">
      <c r="C67" s="8" t="str">
        <v>Sweden</v>
      </c>
      <c r="D67" s="56" t="str">
        <v>Europe &amp; Central Asia</v>
      </c>
      <c r="E67" s="39">
        <f t="shared" si="22"/>
        <v>36945.347999999998</v>
      </c>
      <c r="F67" s="141">
        <f t="shared" si="6"/>
        <v>823189.36104804452</v>
      </c>
      <c r="H67" s="32">
        <f t="shared" si="28"/>
        <v>36945.347999999998</v>
      </c>
      <c r="I67" s="32">
        <f t="shared" si="28"/>
        <v>36220.9294117647</v>
      </c>
      <c r="J67" s="32">
        <f t="shared" si="28"/>
        <v>35510.715109573241</v>
      </c>
      <c r="K67" s="32">
        <f t="shared" si="28"/>
        <v>34814.426578012979</v>
      </c>
      <c r="L67" s="32">
        <f t="shared" si="28"/>
        <v>34131.790762757824</v>
      </c>
      <c r="M67" s="32">
        <f t="shared" si="28"/>
        <v>33462.53996348806</v>
      </c>
      <c r="N67" s="32">
        <f t="shared" si="28"/>
        <v>32806.411728909865</v>
      </c>
      <c r="O67" s="32">
        <f t="shared" si="28"/>
        <v>32163.148753833204</v>
      </c>
      <c r="P67" s="32">
        <f t="shared" si="28"/>
        <v>31532.498778267847</v>
      </c>
      <c r="Q67" s="32">
        <f t="shared" si="28"/>
        <v>30914.214488497888</v>
      </c>
      <c r="R67" s="32">
        <f t="shared" si="29"/>
        <v>30308.053420095966</v>
      </c>
      <c r="S67" s="32">
        <f t="shared" si="29"/>
        <v>29713.77786283919</v>
      </c>
      <c r="T67" s="32">
        <f t="shared" si="29"/>
        <v>29131.154767489395</v>
      </c>
      <c r="U67" s="32">
        <f t="shared" si="29"/>
        <v>28559.955654401372</v>
      </c>
      <c r="V67" s="32">
        <f t="shared" si="29"/>
        <v>27999.956523922909</v>
      </c>
      <c r="W67" s="32">
        <f t="shared" si="29"/>
        <v>27450.937768551881</v>
      </c>
      <c r="X67" s="32">
        <f t="shared" si="29"/>
        <v>26912.684086815563</v>
      </c>
      <c r="Y67" s="32">
        <f t="shared" si="29"/>
        <v>26384.984398838787</v>
      </c>
      <c r="Z67" s="32">
        <f t="shared" si="29"/>
        <v>25867.631763567439</v>
      </c>
      <c r="AA67" s="32">
        <f t="shared" si="29"/>
        <v>25360.42329761514</v>
      </c>
      <c r="AB67" s="32">
        <f t="shared" si="30"/>
        <v>24863.160095701114</v>
      </c>
      <c r="AC67" s="32">
        <f t="shared" si="30"/>
        <v>24375.647152648151</v>
      </c>
      <c r="AD67" s="32">
        <f t="shared" si="30"/>
        <v>23897.693286909951</v>
      </c>
      <c r="AE67" s="32">
        <f t="shared" si="30"/>
        <v>23429.111065597997</v>
      </c>
      <c r="AF67" s="32">
        <f t="shared" si="30"/>
        <v>22969.716730978427</v>
      </c>
      <c r="AG67" s="32">
        <f t="shared" si="30"/>
        <v>22519.330128410224</v>
      </c>
      <c r="AH67" s="32">
        <f t="shared" si="30"/>
        <v>22077.774635696293</v>
      </c>
      <c r="AI67" s="32">
        <f t="shared" si="30"/>
        <v>21644.877093819901</v>
      </c>
      <c r="AJ67" s="32">
        <f t="shared" si="30"/>
        <v>21220.467739039112</v>
      </c>
      <c r="AK67" s="32">
        <f t="shared" si="30"/>
        <v>20804.380136312859</v>
      </c>
      <c r="AL67" s="32">
        <f t="shared" si="31"/>
        <v>20396.451114032214</v>
      </c>
      <c r="AM67" s="32">
        <f t="shared" si="31"/>
        <v>19996.520700031586</v>
      </c>
      <c r="AN67" s="32">
        <f t="shared" si="31"/>
        <v>19604.432058854491</v>
      </c>
      <c r="AO67" s="32">
        <f t="shared" si="31"/>
        <v>19220.031430249499</v>
      </c>
      <c r="AP67" s="32">
        <f t="shared" si="31"/>
        <v>18843.168068872063</v>
      </c>
      <c r="AQ67" s="32">
        <f t="shared" si="31"/>
        <v>18473.694185168686</v>
      </c>
      <c r="AR67" s="32">
        <f t="shared" si="31"/>
        <v>18111.464887420283</v>
      </c>
      <c r="AS67" s="32">
        <f t="shared" si="31"/>
        <v>17756.338124921844</v>
      </c>
      <c r="AT67" s="32">
        <f t="shared" si="31"/>
        <v>17408.174632276317</v>
      </c>
      <c r="AU67" s="32">
        <f t="shared" si="31"/>
        <v>17066.837874780707</v>
      </c>
      <c r="AV67" s="32">
        <f t="shared" si="32"/>
        <v>16732.193994883044</v>
      </c>
      <c r="AW67" s="32">
        <f t="shared" si="32"/>
        <v>0</v>
      </c>
      <c r="AX67" s="32">
        <f t="shared" si="32"/>
        <v>0</v>
      </c>
      <c r="AY67" s="32">
        <f t="shared" si="32"/>
        <v>0</v>
      </c>
      <c r="AZ67" s="32">
        <f t="shared" si="32"/>
        <v>0</v>
      </c>
      <c r="BA67" s="32">
        <f t="shared" si="32"/>
        <v>0</v>
      </c>
      <c r="BB67" s="32">
        <f t="shared" si="32"/>
        <v>0</v>
      </c>
      <c r="BC67" s="32">
        <f t="shared" si="32"/>
        <v>0</v>
      </c>
      <c r="BD67" s="32">
        <f t="shared" si="32"/>
        <v>0</v>
      </c>
      <c r="BE67" s="32">
        <f t="shared" si="32"/>
        <v>0</v>
      </c>
      <c r="BF67" s="32">
        <f t="shared" si="32"/>
        <v>0</v>
      </c>
    </row>
    <row r="68" spans="3:58" x14ac:dyDescent="0.2">
      <c r="C68" s="8" t="str">
        <v>Thailand</v>
      </c>
      <c r="D68" s="56" t="str">
        <v>East Asia &amp; Pacific</v>
      </c>
      <c r="E68" s="39">
        <f t="shared" si="22"/>
        <v>7250408.8200000003</v>
      </c>
      <c r="F68" s="141">
        <f t="shared" si="6"/>
        <v>161548333.60543543</v>
      </c>
      <c r="H68" s="32">
        <f t="shared" si="28"/>
        <v>7250408.8200000003</v>
      </c>
      <c r="I68" s="32">
        <f t="shared" si="28"/>
        <v>7108243.9411764704</v>
      </c>
      <c r="J68" s="32">
        <f t="shared" si="28"/>
        <v>6968866.6089965403</v>
      </c>
      <c r="K68" s="32">
        <f t="shared" si="28"/>
        <v>6832222.165682883</v>
      </c>
      <c r="L68" s="32">
        <f t="shared" si="28"/>
        <v>6698257.0251792967</v>
      </c>
      <c r="M68" s="32">
        <f t="shared" si="28"/>
        <v>6566918.6521365652</v>
      </c>
      <c r="N68" s="32">
        <f t="shared" si="28"/>
        <v>6438155.5413103579</v>
      </c>
      <c r="O68" s="32">
        <f t="shared" si="28"/>
        <v>6311917.1973630972</v>
      </c>
      <c r="P68" s="32">
        <f t="shared" si="28"/>
        <v>6188154.1150618596</v>
      </c>
      <c r="Q68" s="32">
        <f t="shared" si="28"/>
        <v>6066817.7598645678</v>
      </c>
      <c r="R68" s="32">
        <f t="shared" si="29"/>
        <v>5947860.5488868309</v>
      </c>
      <c r="S68" s="32">
        <f t="shared" si="29"/>
        <v>5831235.8322419925</v>
      </c>
      <c r="T68" s="32">
        <f t="shared" si="29"/>
        <v>5716897.87474705</v>
      </c>
      <c r="U68" s="32">
        <f t="shared" si="29"/>
        <v>5604801.8379873047</v>
      </c>
      <c r="V68" s="32">
        <f t="shared" si="29"/>
        <v>5494903.7627326511</v>
      </c>
      <c r="W68" s="32">
        <f t="shared" si="29"/>
        <v>5387160.5516986791</v>
      </c>
      <c r="X68" s="32">
        <f t="shared" si="29"/>
        <v>5281529.9526457628</v>
      </c>
      <c r="Y68" s="32">
        <f t="shared" si="29"/>
        <v>5177970.541809571</v>
      </c>
      <c r="Z68" s="32">
        <f t="shared" si="29"/>
        <v>5076441.7076564431</v>
      </c>
      <c r="AA68" s="32">
        <f t="shared" si="29"/>
        <v>4976903.6349572968</v>
      </c>
      <c r="AB68" s="32">
        <f t="shared" si="30"/>
        <v>4879317.2891738201</v>
      </c>
      <c r="AC68" s="32">
        <f t="shared" si="30"/>
        <v>4783644.401150804</v>
      </c>
      <c r="AD68" s="32">
        <f t="shared" si="30"/>
        <v>4689847.4521086318</v>
      </c>
      <c r="AE68" s="32">
        <f t="shared" si="30"/>
        <v>4597889.6589300316</v>
      </c>
      <c r="AF68" s="32">
        <f t="shared" si="30"/>
        <v>4507734.9597353246</v>
      </c>
      <c r="AG68" s="32">
        <f t="shared" si="30"/>
        <v>4419347.9997405149</v>
      </c>
      <c r="AH68" s="32">
        <f t="shared" si="30"/>
        <v>4332694.117392661</v>
      </c>
      <c r="AI68" s="32">
        <f t="shared" si="30"/>
        <v>4247739.3307771189</v>
      </c>
      <c r="AJ68" s="32">
        <f t="shared" si="30"/>
        <v>4164450.3242912926</v>
      </c>
      <c r="AK68" s="32">
        <f t="shared" si="30"/>
        <v>4082794.435579699</v>
      </c>
      <c r="AL68" s="32">
        <f t="shared" si="31"/>
        <v>4002739.6427251948</v>
      </c>
      <c r="AM68" s="32">
        <f t="shared" si="31"/>
        <v>3924254.5516913687</v>
      </c>
      <c r="AN68" s="32">
        <f t="shared" si="31"/>
        <v>3847308.3840111447</v>
      </c>
      <c r="AO68" s="32">
        <f t="shared" si="31"/>
        <v>3771870.9647168084</v>
      </c>
      <c r="AP68" s="32">
        <f t="shared" si="31"/>
        <v>3697912.7105066753</v>
      </c>
      <c r="AQ68" s="32">
        <f t="shared" si="31"/>
        <v>3625404.6181437992</v>
      </c>
      <c r="AR68" s="32">
        <f t="shared" si="31"/>
        <v>3554318.2530821566</v>
      </c>
      <c r="AS68" s="32">
        <f t="shared" si="31"/>
        <v>3484625.7383158393</v>
      </c>
      <c r="AT68" s="32">
        <f t="shared" si="31"/>
        <v>3416299.743446901</v>
      </c>
      <c r="AU68" s="32">
        <f t="shared" si="31"/>
        <v>3349313.4739675513</v>
      </c>
      <c r="AV68" s="32">
        <f t="shared" si="32"/>
        <v>3283640.6607525004</v>
      </c>
      <c r="AW68" s="32">
        <f t="shared" si="32"/>
        <v>0</v>
      </c>
      <c r="AX68" s="32">
        <f t="shared" si="32"/>
        <v>0</v>
      </c>
      <c r="AY68" s="32">
        <f t="shared" si="32"/>
        <v>0</v>
      </c>
      <c r="AZ68" s="32">
        <f t="shared" si="32"/>
        <v>0</v>
      </c>
      <c r="BA68" s="32">
        <f t="shared" si="32"/>
        <v>0</v>
      </c>
      <c r="BB68" s="32">
        <f t="shared" si="32"/>
        <v>0</v>
      </c>
      <c r="BC68" s="32">
        <f t="shared" si="32"/>
        <v>0</v>
      </c>
      <c r="BD68" s="32">
        <f t="shared" si="32"/>
        <v>0</v>
      </c>
      <c r="BE68" s="32">
        <f t="shared" si="32"/>
        <v>0</v>
      </c>
      <c r="BF68" s="32">
        <f t="shared" si="32"/>
        <v>0</v>
      </c>
    </row>
    <row r="69" spans="3:58" x14ac:dyDescent="0.2">
      <c r="C69" s="8" t="str">
        <v>Ukraine</v>
      </c>
      <c r="D69" s="56" t="str">
        <v>Europe &amp; Central Asia</v>
      </c>
      <c r="E69" s="39">
        <f t="shared" si="22"/>
        <v>14338172.9175</v>
      </c>
      <c r="F69" s="141">
        <f t="shared" si="6"/>
        <v>319472735.85170186</v>
      </c>
      <c r="H69" s="32">
        <f t="shared" si="28"/>
        <v>14338172.9175</v>
      </c>
      <c r="I69" s="32">
        <f t="shared" si="28"/>
        <v>14057032.272058824</v>
      </c>
      <c r="J69" s="32">
        <f t="shared" si="28"/>
        <v>13781404.188292965</v>
      </c>
      <c r="K69" s="32">
        <f t="shared" si="28"/>
        <v>13511180.576757809</v>
      </c>
      <c r="L69" s="32">
        <f t="shared" si="28"/>
        <v>13246255.467409616</v>
      </c>
      <c r="M69" s="32">
        <f t="shared" si="28"/>
        <v>12986524.968048643</v>
      </c>
      <c r="N69" s="32">
        <f t="shared" si="28"/>
        <v>12731887.223577101</v>
      </c>
      <c r="O69" s="32">
        <f t="shared" si="28"/>
        <v>12482242.376055984</v>
      </c>
      <c r="P69" s="32">
        <f t="shared" si="28"/>
        <v>12237492.525545081</v>
      </c>
      <c r="Q69" s="32">
        <f t="shared" si="28"/>
        <v>11997541.691710863</v>
      </c>
      <c r="R69" s="32">
        <f t="shared" si="29"/>
        <v>11762295.77618712</v>
      </c>
      <c r="S69" s="32">
        <f t="shared" si="29"/>
        <v>11531662.52567365</v>
      </c>
      <c r="T69" s="32">
        <f t="shared" si="29"/>
        <v>11305551.495758478</v>
      </c>
      <c r="U69" s="32">
        <f t="shared" si="29"/>
        <v>11083874.015449489</v>
      </c>
      <c r="V69" s="32">
        <f t="shared" si="29"/>
        <v>10866543.152401458</v>
      </c>
      <c r="W69" s="32">
        <f t="shared" si="29"/>
        <v>10653473.678824963</v>
      </c>
      <c r="X69" s="32">
        <f t="shared" si="29"/>
        <v>10444582.038063686</v>
      </c>
      <c r="Y69" s="32">
        <f t="shared" si="29"/>
        <v>10239786.311827144</v>
      </c>
      <c r="Z69" s="32">
        <f t="shared" si="29"/>
        <v>10039006.188065829</v>
      </c>
      <c r="AA69" s="32">
        <f t="shared" si="29"/>
        <v>9842162.9294763021</v>
      </c>
      <c r="AB69" s="32">
        <f t="shared" si="30"/>
        <v>9649179.3426238243</v>
      </c>
      <c r="AC69" s="32">
        <f t="shared" si="30"/>
        <v>9459979.7476704177</v>
      </c>
      <c r="AD69" s="32">
        <f t="shared" si="30"/>
        <v>9274489.9486964867</v>
      </c>
      <c r="AE69" s="32">
        <f t="shared" si="30"/>
        <v>9092637.2046044003</v>
      </c>
      <c r="AF69" s="32">
        <f t="shared" si="30"/>
        <v>8914350.2005925495</v>
      </c>
      <c r="AG69" s="32">
        <f t="shared" si="30"/>
        <v>8739559.0201887731</v>
      </c>
      <c r="AH69" s="32">
        <f t="shared" si="30"/>
        <v>8568195.1178321298</v>
      </c>
      <c r="AI69" s="32">
        <f t="shared" si="30"/>
        <v>8400191.2919922862</v>
      </c>
      <c r="AJ69" s="32">
        <f t="shared" si="30"/>
        <v>8235481.6588159651</v>
      </c>
      <c r="AK69" s="32">
        <f t="shared" si="30"/>
        <v>8074001.626290163</v>
      </c>
      <c r="AL69" s="32">
        <f t="shared" si="31"/>
        <v>7915687.8689119238</v>
      </c>
      <c r="AM69" s="32">
        <f t="shared" si="31"/>
        <v>7760478.3028548295</v>
      </c>
      <c r="AN69" s="32">
        <f t="shared" si="31"/>
        <v>7608312.0616223803</v>
      </c>
      <c r="AO69" s="32">
        <f t="shared" si="31"/>
        <v>7459129.4721788028</v>
      </c>
      <c r="AP69" s="32">
        <f t="shared" si="31"/>
        <v>7312872.0315478472</v>
      </c>
      <c r="AQ69" s="32">
        <f t="shared" si="31"/>
        <v>7169482.3838704387</v>
      </c>
      <c r="AR69" s="32">
        <f t="shared" si="31"/>
        <v>7028904.2979121953</v>
      </c>
      <c r="AS69" s="32">
        <f t="shared" si="31"/>
        <v>6891082.6450119549</v>
      </c>
      <c r="AT69" s="32">
        <f t="shared" si="31"/>
        <v>6755963.3774627</v>
      </c>
      <c r="AU69" s="32">
        <f t="shared" si="31"/>
        <v>6623493.5073163752</v>
      </c>
      <c r="AV69" s="32">
        <f t="shared" si="32"/>
        <v>6493621.0856042877</v>
      </c>
      <c r="AW69" s="32">
        <f t="shared" si="32"/>
        <v>0</v>
      </c>
      <c r="AX69" s="32">
        <f t="shared" si="32"/>
        <v>0</v>
      </c>
      <c r="AY69" s="32">
        <f t="shared" si="32"/>
        <v>0</v>
      </c>
      <c r="AZ69" s="32">
        <f t="shared" si="32"/>
        <v>0</v>
      </c>
      <c r="BA69" s="32">
        <f t="shared" si="32"/>
        <v>0</v>
      </c>
      <c r="BB69" s="32">
        <f t="shared" si="32"/>
        <v>0</v>
      </c>
      <c r="BC69" s="32">
        <f t="shared" si="32"/>
        <v>0</v>
      </c>
      <c r="BD69" s="32">
        <f t="shared" si="32"/>
        <v>0</v>
      </c>
      <c r="BE69" s="32">
        <f t="shared" si="32"/>
        <v>0</v>
      </c>
      <c r="BF69" s="32">
        <f t="shared" si="32"/>
        <v>0</v>
      </c>
    </row>
    <row r="70" spans="3:58" x14ac:dyDescent="0.2">
      <c r="C70" s="8" t="str">
        <v>United Kingdom</v>
      </c>
      <c r="D70" s="56" t="str">
        <v>Europe &amp; Central Asia</v>
      </c>
      <c r="E70" s="39">
        <f t="shared" si="22"/>
        <v>7735864.5959999999</v>
      </c>
      <c r="F70" s="141">
        <f t="shared" si="6"/>
        <v>172364905.96692795</v>
      </c>
      <c r="H70" s="32">
        <f t="shared" si="28"/>
        <v>7735864.5959999999</v>
      </c>
      <c r="I70" s="32">
        <f t="shared" si="28"/>
        <v>7584180.9764705878</v>
      </c>
      <c r="J70" s="32">
        <f t="shared" si="28"/>
        <v>7435471.5455593998</v>
      </c>
      <c r="K70" s="32">
        <f t="shared" si="28"/>
        <v>7289677.9858425492</v>
      </c>
      <c r="L70" s="32">
        <f t="shared" si="28"/>
        <v>7146743.1233750479</v>
      </c>
      <c r="M70" s="32">
        <f t="shared" si="28"/>
        <v>7006610.9052696554</v>
      </c>
      <c r="N70" s="32">
        <f t="shared" si="28"/>
        <v>6869226.3777153473</v>
      </c>
      <c r="O70" s="32">
        <f t="shared" si="28"/>
        <v>6734535.6644268129</v>
      </c>
      <c r="P70" s="32">
        <f t="shared" si="28"/>
        <v>6602485.9455164829</v>
      </c>
      <c r="Q70" s="32">
        <f t="shared" si="28"/>
        <v>6473025.4367808653</v>
      </c>
      <c r="R70" s="32">
        <f t="shared" si="29"/>
        <v>6346103.369393005</v>
      </c>
      <c r="S70" s="32">
        <f t="shared" si="29"/>
        <v>6221669.9699931433</v>
      </c>
      <c r="T70" s="32">
        <f t="shared" si="29"/>
        <v>6099676.4411697472</v>
      </c>
      <c r="U70" s="32">
        <f t="shared" si="29"/>
        <v>5980074.9423232824</v>
      </c>
      <c r="V70" s="32">
        <f t="shared" si="29"/>
        <v>5862818.5709051779</v>
      </c>
      <c r="W70" s="32">
        <f t="shared" si="29"/>
        <v>5747861.3440246861</v>
      </c>
      <c r="X70" s="32">
        <f t="shared" si="29"/>
        <v>5635158.1804163577</v>
      </c>
      <c r="Y70" s="32">
        <f t="shared" si="29"/>
        <v>5524664.8827611348</v>
      </c>
      <c r="Z70" s="32">
        <f t="shared" si="29"/>
        <v>5416338.1203540545</v>
      </c>
      <c r="AA70" s="32">
        <f t="shared" si="29"/>
        <v>5310135.4121118179</v>
      </c>
      <c r="AB70" s="32">
        <f t="shared" si="30"/>
        <v>5206015.1099135466</v>
      </c>
      <c r="AC70" s="32">
        <f t="shared" si="30"/>
        <v>5103936.3822681829</v>
      </c>
      <c r="AD70" s="32">
        <f t="shared" si="30"/>
        <v>5003859.1983021405</v>
      </c>
      <c r="AE70" s="32">
        <f t="shared" si="30"/>
        <v>4905744.3120609224</v>
      </c>
      <c r="AF70" s="32">
        <f t="shared" si="30"/>
        <v>4809553.2471185513</v>
      </c>
      <c r="AG70" s="32">
        <f t="shared" si="30"/>
        <v>4715248.2814887753</v>
      </c>
      <c r="AH70" s="32">
        <f t="shared" si="30"/>
        <v>4622792.432832133</v>
      </c>
      <c r="AI70" s="32">
        <f t="shared" si="30"/>
        <v>4532149.4439530717</v>
      </c>
      <c r="AJ70" s="32">
        <f t="shared" si="30"/>
        <v>4443283.7685814425</v>
      </c>
      <c r="AK70" s="32">
        <f t="shared" si="30"/>
        <v>4356160.5574327875</v>
      </c>
      <c r="AL70" s="32">
        <f t="shared" si="31"/>
        <v>4270745.6445419481</v>
      </c>
      <c r="AM70" s="32">
        <f t="shared" si="31"/>
        <v>4187005.5338646555</v>
      </c>
      <c r="AN70" s="32">
        <f t="shared" si="31"/>
        <v>4104907.3861418185</v>
      </c>
      <c r="AO70" s="32">
        <f t="shared" si="31"/>
        <v>4024419.0060213902</v>
      </c>
      <c r="AP70" s="32">
        <f t="shared" si="31"/>
        <v>3945508.8294327362</v>
      </c>
      <c r="AQ70" s="32">
        <f t="shared" si="31"/>
        <v>3868145.9112085649</v>
      </c>
      <c r="AR70" s="32">
        <f t="shared" si="31"/>
        <v>3792299.9129495737</v>
      </c>
      <c r="AS70" s="32">
        <f t="shared" si="31"/>
        <v>3717941.0911270324</v>
      </c>
      <c r="AT70" s="32">
        <f t="shared" si="31"/>
        <v>3645040.285418659</v>
      </c>
      <c r="AU70" s="32">
        <f t="shared" si="31"/>
        <v>3573568.9072731961</v>
      </c>
      <c r="AV70" s="32">
        <f t="shared" si="32"/>
        <v>3503498.9286992112</v>
      </c>
      <c r="AW70" s="32">
        <f t="shared" si="32"/>
        <v>0</v>
      </c>
      <c r="AX70" s="32">
        <f t="shared" si="32"/>
        <v>0</v>
      </c>
      <c r="AY70" s="32">
        <f t="shared" si="32"/>
        <v>0</v>
      </c>
      <c r="AZ70" s="32">
        <f t="shared" si="32"/>
        <v>0</v>
      </c>
      <c r="BA70" s="32">
        <f t="shared" si="32"/>
        <v>0</v>
      </c>
      <c r="BB70" s="32">
        <f t="shared" si="32"/>
        <v>0</v>
      </c>
      <c r="BC70" s="32">
        <f t="shared" si="32"/>
        <v>0</v>
      </c>
      <c r="BD70" s="32">
        <f t="shared" si="32"/>
        <v>0</v>
      </c>
      <c r="BE70" s="32">
        <f t="shared" si="32"/>
        <v>0</v>
      </c>
      <c r="BF70" s="32">
        <f t="shared" si="32"/>
        <v>0</v>
      </c>
    </row>
    <row r="71" spans="3:58" x14ac:dyDescent="0.2">
      <c r="C71" s="8" t="str">
        <v>United States</v>
      </c>
      <c r="D71" s="56" t="str">
        <v>North America</v>
      </c>
      <c r="E71" s="39">
        <f t="shared" si="22"/>
        <v>139508101.72800002</v>
      </c>
      <c r="F71" s="141">
        <f t="shared" si="6"/>
        <v>3108418010.3675828</v>
      </c>
      <c r="H71" s="32">
        <f t="shared" si="28"/>
        <v>139508101.72800002</v>
      </c>
      <c r="I71" s="32">
        <f t="shared" si="28"/>
        <v>136772648.75294119</v>
      </c>
      <c r="J71" s="32">
        <f t="shared" si="28"/>
        <v>134090832.11072665</v>
      </c>
      <c r="K71" s="32">
        <f t="shared" si="28"/>
        <v>131461600.10855556</v>
      </c>
      <c r="L71" s="32">
        <f t="shared" si="28"/>
        <v>128883921.67505446</v>
      </c>
      <c r="M71" s="32">
        <f t="shared" si="28"/>
        <v>126356785.95593575</v>
      </c>
      <c r="N71" s="32">
        <f t="shared" si="28"/>
        <v>123879201.91758406</v>
      </c>
      <c r="O71" s="32">
        <f t="shared" si="28"/>
        <v>121450197.95841576</v>
      </c>
      <c r="P71" s="32">
        <f t="shared" si="28"/>
        <v>119068821.52785859</v>
      </c>
      <c r="Q71" s="32">
        <f t="shared" si="28"/>
        <v>116734138.75280254</v>
      </c>
      <c r="R71" s="32">
        <f t="shared" si="29"/>
        <v>114445234.07137503</v>
      </c>
      <c r="S71" s="32">
        <f t="shared" si="29"/>
        <v>112201209.87389711</v>
      </c>
      <c r="T71" s="32">
        <f t="shared" si="29"/>
        <v>110001186.1508795</v>
      </c>
      <c r="U71" s="32">
        <f t="shared" si="29"/>
        <v>107844300.14792109</v>
      </c>
      <c r="V71" s="32">
        <f t="shared" si="29"/>
        <v>105729706.0273736</v>
      </c>
      <c r="W71" s="32">
        <f t="shared" si="29"/>
        <v>103656574.53664081</v>
      </c>
      <c r="X71" s="32">
        <f t="shared" si="29"/>
        <v>101624092.68298118</v>
      </c>
      <c r="Y71" s="32">
        <f t="shared" si="29"/>
        <v>99631463.41468741</v>
      </c>
      <c r="Z71" s="32">
        <f t="shared" si="29"/>
        <v>97677905.308517084</v>
      </c>
      <c r="AA71" s="32">
        <f t="shared" si="29"/>
        <v>95762652.26325205</v>
      </c>
      <c r="AB71" s="32">
        <f t="shared" si="30"/>
        <v>93884953.199266702</v>
      </c>
      <c r="AC71" s="32">
        <f t="shared" si="30"/>
        <v>92044071.763986975</v>
      </c>
      <c r="AD71" s="32">
        <f t="shared" si="30"/>
        <v>90239286.043124482</v>
      </c>
      <c r="AE71" s="32">
        <f t="shared" si="30"/>
        <v>88469888.277573034</v>
      </c>
      <c r="AF71" s="32">
        <f t="shared" si="30"/>
        <v>86735184.585855916</v>
      </c>
      <c r="AG71" s="32">
        <f t="shared" si="30"/>
        <v>85034494.692015603</v>
      </c>
      <c r="AH71" s="32">
        <f t="shared" si="30"/>
        <v>83367151.658838809</v>
      </c>
      <c r="AI71" s="32">
        <f t="shared" si="30"/>
        <v>81732501.626312569</v>
      </c>
      <c r="AJ71" s="32">
        <f t="shared" si="30"/>
        <v>80129903.555208385</v>
      </c>
      <c r="AK71" s="32">
        <f t="shared" si="30"/>
        <v>78558728.975694507</v>
      </c>
      <c r="AL71" s="32">
        <f t="shared" si="31"/>
        <v>77018361.740876973</v>
      </c>
      <c r="AM71" s="32">
        <f t="shared" si="31"/>
        <v>75508197.78517352</v>
      </c>
      <c r="AN71" s="32">
        <f t="shared" si="31"/>
        <v>74027644.887425005</v>
      </c>
      <c r="AO71" s="32">
        <f t="shared" si="31"/>
        <v>72576122.438651949</v>
      </c>
      <c r="AP71" s="32">
        <f t="shared" si="31"/>
        <v>71153061.214364663</v>
      </c>
      <c r="AQ71" s="32">
        <f t="shared" si="31"/>
        <v>69757903.151337907</v>
      </c>
      <c r="AR71" s="32">
        <f t="shared" si="31"/>
        <v>68390101.128762662</v>
      </c>
      <c r="AS71" s="32">
        <f t="shared" si="31"/>
        <v>67049118.753688872</v>
      </c>
      <c r="AT71" s="32">
        <f t="shared" si="31"/>
        <v>65734430.150675364</v>
      </c>
      <c r="AU71" s="32">
        <f t="shared" si="31"/>
        <v>64445519.755564101</v>
      </c>
      <c r="AV71" s="32">
        <f t="shared" si="32"/>
        <v>63181882.113298126</v>
      </c>
      <c r="AW71" s="32">
        <f t="shared" si="32"/>
        <v>0</v>
      </c>
      <c r="AX71" s="32">
        <f t="shared" si="32"/>
        <v>0</v>
      </c>
      <c r="AY71" s="32">
        <f t="shared" si="32"/>
        <v>0</v>
      </c>
      <c r="AZ71" s="32">
        <f t="shared" si="32"/>
        <v>0</v>
      </c>
      <c r="BA71" s="32">
        <f t="shared" si="32"/>
        <v>0</v>
      </c>
      <c r="BB71" s="32">
        <f t="shared" si="32"/>
        <v>0</v>
      </c>
      <c r="BC71" s="32">
        <f t="shared" si="32"/>
        <v>0</v>
      </c>
      <c r="BD71" s="32">
        <f t="shared" si="32"/>
        <v>0</v>
      </c>
      <c r="BE71" s="32">
        <f t="shared" si="32"/>
        <v>0</v>
      </c>
      <c r="BF71" s="32">
        <f t="shared" si="32"/>
        <v>0</v>
      </c>
    </row>
    <row r="72" spans="3:58" x14ac:dyDescent="0.2">
      <c r="C72" s="8" t="str">
        <v>Uruguay</v>
      </c>
      <c r="D72" s="56" t="str">
        <v>Latin America &amp; Caribbean</v>
      </c>
      <c r="E72" s="39">
        <f t="shared" si="22"/>
        <v>806489.28576000012</v>
      </c>
      <c r="F72" s="141">
        <f t="shared" si="6"/>
        <v>17969607.427621696</v>
      </c>
      <c r="H72" s="32">
        <f t="shared" si="28"/>
        <v>806489.28576000012</v>
      </c>
      <c r="I72" s="32">
        <f t="shared" si="28"/>
        <v>790675.77035294124</v>
      </c>
      <c r="J72" s="32">
        <f t="shared" si="28"/>
        <v>775172.3238754326</v>
      </c>
      <c r="K72" s="32">
        <f t="shared" si="28"/>
        <v>759972.8665445419</v>
      </c>
      <c r="L72" s="32">
        <f t="shared" si="28"/>
        <v>745071.43778876646</v>
      </c>
      <c r="M72" s="32">
        <f t="shared" si="28"/>
        <v>730462.19391055533</v>
      </c>
      <c r="N72" s="32">
        <f t="shared" si="28"/>
        <v>716139.40579466207</v>
      </c>
      <c r="O72" s="32">
        <f t="shared" si="28"/>
        <v>702097.45666143356</v>
      </c>
      <c r="P72" s="32">
        <f t="shared" si="28"/>
        <v>688330.8398641505</v>
      </c>
      <c r="Q72" s="32">
        <f t="shared" si="28"/>
        <v>674834.1567295593</v>
      </c>
      <c r="R72" s="32">
        <f t="shared" si="29"/>
        <v>661602.11444074439</v>
      </c>
      <c r="S72" s="32">
        <f t="shared" si="29"/>
        <v>648629.52396151423</v>
      </c>
      <c r="T72" s="32">
        <f t="shared" si="29"/>
        <v>635911.29800148448</v>
      </c>
      <c r="U72" s="32">
        <f t="shared" si="29"/>
        <v>623442.44902106316</v>
      </c>
      <c r="V72" s="32">
        <f t="shared" si="29"/>
        <v>611218.0872755521</v>
      </c>
      <c r="W72" s="32">
        <f t="shared" si="29"/>
        <v>599233.41889760026</v>
      </c>
      <c r="X72" s="32">
        <f t="shared" si="29"/>
        <v>587483.74401725503</v>
      </c>
      <c r="Y72" s="32">
        <f t="shared" si="29"/>
        <v>575964.45491887745</v>
      </c>
      <c r="Z72" s="32">
        <f t="shared" si="29"/>
        <v>564671.03423419362</v>
      </c>
      <c r="AA72" s="32">
        <f t="shared" si="29"/>
        <v>553599.05317077809</v>
      </c>
      <c r="AB72" s="32">
        <f t="shared" si="30"/>
        <v>542744.1697752726</v>
      </c>
      <c r="AC72" s="32">
        <f t="shared" si="30"/>
        <v>532102.12723065948</v>
      </c>
      <c r="AD72" s="32">
        <f t="shared" si="30"/>
        <v>521668.75218692102</v>
      </c>
      <c r="AE72" s="32">
        <f t="shared" si="30"/>
        <v>511439.95312443248</v>
      </c>
      <c r="AF72" s="32">
        <f t="shared" si="30"/>
        <v>501411.71874944353</v>
      </c>
      <c r="AG72" s="32">
        <f t="shared" si="30"/>
        <v>491580.11642102309</v>
      </c>
      <c r="AH72" s="32">
        <f t="shared" si="30"/>
        <v>481941.29060884612</v>
      </c>
      <c r="AI72" s="32">
        <f t="shared" si="30"/>
        <v>472491.46138122177</v>
      </c>
      <c r="AJ72" s="32">
        <f t="shared" si="30"/>
        <v>463226.92292276636</v>
      </c>
      <c r="AK72" s="32">
        <f t="shared" si="30"/>
        <v>454144.04208114353</v>
      </c>
      <c r="AL72" s="32">
        <f t="shared" si="31"/>
        <v>445239.25694229756</v>
      </c>
      <c r="AM72" s="32">
        <f t="shared" si="31"/>
        <v>436509.07543362514</v>
      </c>
      <c r="AN72" s="32">
        <f t="shared" si="31"/>
        <v>427950.07395453437</v>
      </c>
      <c r="AO72" s="32">
        <f t="shared" si="31"/>
        <v>419558.89603385719</v>
      </c>
      <c r="AP72" s="32">
        <f t="shared" si="31"/>
        <v>411332.25101358554</v>
      </c>
      <c r="AQ72" s="32">
        <f t="shared" si="31"/>
        <v>403266.91275841719</v>
      </c>
      <c r="AR72" s="32">
        <f t="shared" si="31"/>
        <v>395359.71839060512</v>
      </c>
      <c r="AS72" s="32">
        <f t="shared" si="31"/>
        <v>387607.56704961282</v>
      </c>
      <c r="AT72" s="32">
        <f t="shared" si="31"/>
        <v>380007.41867609095</v>
      </c>
      <c r="AU72" s="32">
        <f t="shared" si="31"/>
        <v>372556.29281969718</v>
      </c>
      <c r="AV72" s="32">
        <f t="shared" si="32"/>
        <v>365251.26747029123</v>
      </c>
      <c r="AW72" s="32">
        <f t="shared" si="32"/>
        <v>0</v>
      </c>
      <c r="AX72" s="32">
        <f t="shared" si="32"/>
        <v>0</v>
      </c>
      <c r="AY72" s="32">
        <f t="shared" si="32"/>
        <v>0</v>
      </c>
      <c r="AZ72" s="32">
        <f t="shared" si="32"/>
        <v>0</v>
      </c>
      <c r="BA72" s="32">
        <f t="shared" si="32"/>
        <v>0</v>
      </c>
      <c r="BB72" s="32">
        <f t="shared" si="32"/>
        <v>0</v>
      </c>
      <c r="BC72" s="32">
        <f t="shared" si="32"/>
        <v>0</v>
      </c>
      <c r="BD72" s="32">
        <f t="shared" si="32"/>
        <v>0</v>
      </c>
      <c r="BE72" s="32">
        <f t="shared" si="32"/>
        <v>0</v>
      </c>
      <c r="BF72" s="32">
        <f t="shared" si="32"/>
        <v>0</v>
      </c>
    </row>
    <row r="73" spans="3:58" x14ac:dyDescent="0.2">
      <c r="C73" s="8" t="str">
        <v>Venezuela, RB</v>
      </c>
      <c r="D73" s="56" t="str">
        <v>Latin America &amp; Caribbean</v>
      </c>
      <c r="E73" s="39">
        <f t="shared" si="22"/>
        <v>5965246.8154000007</v>
      </c>
      <c r="F73" s="141">
        <f t="shared" si="6"/>
        <v>132913288.9603045</v>
      </c>
      <c r="H73" s="32">
        <f t="shared" si="28"/>
        <v>5965246.8154000007</v>
      </c>
      <c r="I73" s="32">
        <f t="shared" si="28"/>
        <v>5848281.191568628</v>
      </c>
      <c r="J73" s="32">
        <f t="shared" si="28"/>
        <v>5733609.0113417925</v>
      </c>
      <c r="K73" s="32">
        <f t="shared" si="28"/>
        <v>5621185.305237052</v>
      </c>
      <c r="L73" s="32">
        <f t="shared" si="28"/>
        <v>5510965.9855265208</v>
      </c>
      <c r="M73" s="32">
        <f t="shared" si="28"/>
        <v>5402907.8289475692</v>
      </c>
      <c r="N73" s="32">
        <f t="shared" si="28"/>
        <v>5296968.4597525187</v>
      </c>
      <c r="O73" s="32">
        <f t="shared" si="28"/>
        <v>5193106.3330907058</v>
      </c>
      <c r="P73" s="32">
        <f t="shared" si="28"/>
        <v>5091280.7187163774</v>
      </c>
      <c r="Q73" s="32">
        <f t="shared" si="28"/>
        <v>4991451.6850160565</v>
      </c>
      <c r="R73" s="32">
        <f t="shared" si="29"/>
        <v>4893580.0833490752</v>
      </c>
      <c r="S73" s="32">
        <f t="shared" si="29"/>
        <v>4797627.5326951724</v>
      </c>
      <c r="T73" s="32">
        <f t="shared" si="29"/>
        <v>4703556.4046031097</v>
      </c>
      <c r="U73" s="32">
        <f t="shared" si="29"/>
        <v>4611329.8084344212</v>
      </c>
      <c r="V73" s="32">
        <f t="shared" si="29"/>
        <v>4520911.5768964905</v>
      </c>
      <c r="W73" s="32">
        <f t="shared" si="29"/>
        <v>4432266.2518593064</v>
      </c>
      <c r="X73" s="32">
        <f t="shared" si="29"/>
        <v>4345359.0704502994</v>
      </c>
      <c r="Y73" s="32">
        <f t="shared" si="29"/>
        <v>4260155.9514218615</v>
      </c>
      <c r="Z73" s="32">
        <f t="shared" si="29"/>
        <v>4176623.4817861393</v>
      </c>
      <c r="AA73" s="32">
        <f t="shared" si="29"/>
        <v>4094728.9037119015</v>
      </c>
      <c r="AB73" s="32">
        <f t="shared" si="30"/>
        <v>4014440.1016783346</v>
      </c>
      <c r="AC73" s="32">
        <f t="shared" si="30"/>
        <v>3935725.5898807202</v>
      </c>
      <c r="AD73" s="32">
        <f t="shared" si="30"/>
        <v>3858554.4998830589</v>
      </c>
      <c r="AE73" s="32">
        <f t="shared" si="30"/>
        <v>3782896.5685128034</v>
      </c>
      <c r="AF73" s="32">
        <f t="shared" si="30"/>
        <v>3708722.1259929445</v>
      </c>
      <c r="AG73" s="32">
        <f t="shared" si="30"/>
        <v>3636002.0843068082</v>
      </c>
      <c r="AH73" s="32">
        <f t="shared" si="30"/>
        <v>3564707.9257909884</v>
      </c>
      <c r="AI73" s="32">
        <f t="shared" si="30"/>
        <v>3494811.6919519496</v>
      </c>
      <c r="AJ73" s="32">
        <f t="shared" si="30"/>
        <v>3426285.9725019108</v>
      </c>
      <c r="AK73" s="32">
        <f t="shared" si="30"/>
        <v>3359103.8946097172</v>
      </c>
      <c r="AL73" s="32">
        <f t="shared" si="31"/>
        <v>3293239.1123624672</v>
      </c>
      <c r="AM73" s="32">
        <f t="shared" si="31"/>
        <v>3228665.7964337924</v>
      </c>
      <c r="AN73" s="32">
        <f t="shared" si="31"/>
        <v>3165358.6239546975</v>
      </c>
      <c r="AO73" s="32">
        <f t="shared" si="31"/>
        <v>3103292.768583037</v>
      </c>
      <c r="AP73" s="32">
        <f t="shared" si="31"/>
        <v>3042443.8907676833</v>
      </c>
      <c r="AQ73" s="32">
        <f t="shared" si="31"/>
        <v>2982788.1282036114</v>
      </c>
      <c r="AR73" s="32">
        <f t="shared" si="31"/>
        <v>2924302.086474129</v>
      </c>
      <c r="AS73" s="32">
        <f t="shared" si="31"/>
        <v>2866962.8298765966</v>
      </c>
      <c r="AT73" s="32">
        <f t="shared" si="31"/>
        <v>2810747.8724280354</v>
      </c>
      <c r="AU73" s="32">
        <f t="shared" si="31"/>
        <v>2755635.1690470949</v>
      </c>
      <c r="AV73" s="32">
        <f t="shared" si="32"/>
        <v>2701603.1069089156</v>
      </c>
      <c r="AW73" s="32">
        <f t="shared" si="32"/>
        <v>0</v>
      </c>
      <c r="AX73" s="32">
        <f t="shared" si="32"/>
        <v>0</v>
      </c>
      <c r="AY73" s="32">
        <f t="shared" si="32"/>
        <v>0</v>
      </c>
      <c r="AZ73" s="32">
        <f t="shared" si="32"/>
        <v>0</v>
      </c>
      <c r="BA73" s="32">
        <f t="shared" si="32"/>
        <v>0</v>
      </c>
      <c r="BB73" s="32">
        <f t="shared" si="32"/>
        <v>0</v>
      </c>
      <c r="BC73" s="32">
        <f t="shared" si="32"/>
        <v>0</v>
      </c>
      <c r="BD73" s="32">
        <f t="shared" si="32"/>
        <v>0</v>
      </c>
      <c r="BE73" s="32">
        <f t="shared" si="32"/>
        <v>0</v>
      </c>
      <c r="BF73" s="32">
        <f t="shared" si="32"/>
        <v>0</v>
      </c>
    </row>
    <row r="74" spans="3:58" x14ac:dyDescent="0.2">
      <c r="C74" s="8" t="str">
        <v>Viet Nam</v>
      </c>
      <c r="D74" s="56" t="str">
        <v>East Asia &amp; Pacific</v>
      </c>
      <c r="E74" s="39">
        <f t="shared" si="22"/>
        <v>5933586</v>
      </c>
      <c r="F74" s="141">
        <f t="shared" si="6"/>
        <v>132207845.70938736</v>
      </c>
      <c r="H74" s="32">
        <f t="shared" si="28"/>
        <v>5933586</v>
      </c>
      <c r="I74" s="32">
        <f t="shared" si="28"/>
        <v>5817241.176470588</v>
      </c>
      <c r="J74" s="32">
        <f t="shared" si="28"/>
        <v>5703177.6239907732</v>
      </c>
      <c r="K74" s="32">
        <f t="shared" si="28"/>
        <v>5591350.6117556598</v>
      </c>
      <c r="L74" s="32">
        <f t="shared" si="28"/>
        <v>5481716.2860349603</v>
      </c>
      <c r="M74" s="32">
        <f t="shared" si="28"/>
        <v>5374231.6529754512</v>
      </c>
      <c r="N74" s="32">
        <f t="shared" si="28"/>
        <v>5268854.5617406387</v>
      </c>
      <c r="O74" s="32">
        <f t="shared" si="28"/>
        <v>5165543.6879810188</v>
      </c>
      <c r="P74" s="32">
        <f t="shared" si="28"/>
        <v>5064258.5176284499</v>
      </c>
      <c r="Q74" s="32">
        <f t="shared" si="28"/>
        <v>4964959.3310082834</v>
      </c>
      <c r="R74" s="32">
        <f t="shared" si="29"/>
        <v>4867607.1872630231</v>
      </c>
      <c r="S74" s="32">
        <f t="shared" si="29"/>
        <v>4772163.9090813957</v>
      </c>
      <c r="T74" s="32">
        <f t="shared" si="29"/>
        <v>4678592.067726858</v>
      </c>
      <c r="U74" s="32">
        <f t="shared" si="29"/>
        <v>4586854.968359665</v>
      </c>
      <c r="V74" s="32">
        <f t="shared" si="29"/>
        <v>4496916.6356467297</v>
      </c>
      <c r="W74" s="32">
        <f t="shared" si="29"/>
        <v>4408741.7996536586</v>
      </c>
      <c r="X74" s="32">
        <f t="shared" si="29"/>
        <v>4322295.8820133898</v>
      </c>
      <c r="Y74" s="32">
        <f t="shared" si="29"/>
        <v>4237544.9823660683</v>
      </c>
      <c r="Z74" s="32">
        <f t="shared" si="29"/>
        <v>4154455.8650647728</v>
      </c>
      <c r="AA74" s="32">
        <f t="shared" si="29"/>
        <v>4072995.9461419345</v>
      </c>
      <c r="AB74" s="32">
        <f t="shared" si="30"/>
        <v>3993133.2805313077</v>
      </c>
      <c r="AC74" s="32">
        <f t="shared" si="30"/>
        <v>3914836.5495404983</v>
      </c>
      <c r="AD74" s="32">
        <f t="shared" si="30"/>
        <v>3838075.0485691158</v>
      </c>
      <c r="AE74" s="32">
        <f t="shared" si="30"/>
        <v>3762818.675067761</v>
      </c>
      <c r="AF74" s="32">
        <f t="shared" si="30"/>
        <v>3689037.9167330991</v>
      </c>
      <c r="AG74" s="32">
        <f t="shared" si="30"/>
        <v>3616703.839934411</v>
      </c>
      <c r="AH74" s="32">
        <f t="shared" si="30"/>
        <v>3545788.0783670689</v>
      </c>
      <c r="AI74" s="32">
        <f t="shared" si="30"/>
        <v>3476262.8219284997</v>
      </c>
      <c r="AJ74" s="32">
        <f t="shared" si="30"/>
        <v>3408100.8058122536</v>
      </c>
      <c r="AK74" s="32">
        <f t="shared" si="30"/>
        <v>3341275.2998159355</v>
      </c>
      <c r="AL74" s="32">
        <f t="shared" si="31"/>
        <v>3275760.09785876</v>
      </c>
      <c r="AM74" s="32">
        <f t="shared" si="31"/>
        <v>3211529.5077046677</v>
      </c>
      <c r="AN74" s="32">
        <f t="shared" si="31"/>
        <v>3148558.3408869281</v>
      </c>
      <c r="AO74" s="32">
        <f t="shared" si="31"/>
        <v>3086821.9028303218</v>
      </c>
      <c r="AP74" s="32">
        <f t="shared" si="31"/>
        <v>3026295.9831669824</v>
      </c>
      <c r="AQ74" s="32">
        <f t="shared" si="31"/>
        <v>2966956.8462421396</v>
      </c>
      <c r="AR74" s="32">
        <f t="shared" si="31"/>
        <v>2908781.2218060195</v>
      </c>
      <c r="AS74" s="32">
        <f t="shared" si="31"/>
        <v>2851746.295888254</v>
      </c>
      <c r="AT74" s="32">
        <f t="shared" si="31"/>
        <v>2795829.7018512292</v>
      </c>
      <c r="AU74" s="32">
        <f t="shared" si="31"/>
        <v>2741009.5116188531</v>
      </c>
      <c r="AV74" s="32">
        <f t="shared" si="32"/>
        <v>2687264.2270773062</v>
      </c>
      <c r="AW74" s="32">
        <f t="shared" si="32"/>
        <v>0</v>
      </c>
      <c r="AX74" s="32">
        <f t="shared" si="32"/>
        <v>0</v>
      </c>
      <c r="AY74" s="32">
        <f t="shared" si="32"/>
        <v>0</v>
      </c>
      <c r="AZ74" s="32">
        <f t="shared" si="32"/>
        <v>0</v>
      </c>
      <c r="BA74" s="32">
        <f t="shared" si="32"/>
        <v>0</v>
      </c>
      <c r="BB74" s="32">
        <f t="shared" si="32"/>
        <v>0</v>
      </c>
      <c r="BC74" s="32">
        <f t="shared" si="32"/>
        <v>0</v>
      </c>
      <c r="BD74" s="32">
        <f t="shared" si="32"/>
        <v>0</v>
      </c>
      <c r="BE74" s="32">
        <f t="shared" si="32"/>
        <v>0</v>
      </c>
      <c r="BF74" s="32">
        <f t="shared" si="32"/>
        <v>0</v>
      </c>
    </row>
  </sheetData>
  <hyperlinks>
    <hyperlink ref="D9" r:id="rId1" xr:uid="{98C6A74D-B54A-4BBF-B51F-06AC7C2B24EE}"/>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02E40-D3AC-4351-9836-17B3C1177875}">
  <sheetPr codeName="Sheet22">
    <tabColor theme="7" tint="0.39997558519241921"/>
  </sheetPr>
  <dimension ref="B2:BF74"/>
  <sheetViews>
    <sheetView showGridLines="0" zoomScaleNormal="100" workbookViewId="0"/>
  </sheetViews>
  <sheetFormatPr baseColWidth="10" defaultColWidth="8.83203125" defaultRowHeight="15" x14ac:dyDescent="0.2"/>
  <cols>
    <col min="2" max="2" width="27.83203125" customWidth="1"/>
    <col min="3" max="3" width="25.1640625" customWidth="1"/>
    <col min="4" max="4" width="24.83203125" bestFit="1" customWidth="1"/>
    <col min="5" max="6" width="22.5" customWidth="1"/>
    <col min="7" max="7" width="15.83203125" customWidth="1"/>
    <col min="8" max="59" width="22.5" customWidth="1"/>
  </cols>
  <sheetData>
    <row r="2" spans="2:58" ht="21" x14ac:dyDescent="0.25">
      <c r="B2" s="1" t="s">
        <v>822</v>
      </c>
    </row>
    <row r="3" spans="2:58" x14ac:dyDescent="0.2">
      <c r="E3" s="71" t="s">
        <v>609</v>
      </c>
      <c r="F3" s="40">
        <f>Assump_LandfillYears</f>
        <v>40</v>
      </c>
      <c r="H3" s="71" t="s">
        <v>501</v>
      </c>
      <c r="I3" s="40">
        <f>Assump_DiscountRate</f>
        <v>0.02</v>
      </c>
    </row>
    <row r="4" spans="2:58" x14ac:dyDescent="0.2">
      <c r="B4" s="3" t="s">
        <v>845</v>
      </c>
    </row>
    <row r="5" spans="2:58" x14ac:dyDescent="0.2">
      <c r="B5" s="129" t="s">
        <v>607</v>
      </c>
    </row>
    <row r="8" spans="2:58" x14ac:dyDescent="0.2">
      <c r="B8" s="193" t="s">
        <v>788</v>
      </c>
      <c r="C8" s="2" t="s">
        <v>0</v>
      </c>
      <c r="D8" s="2" t="s">
        <v>20</v>
      </c>
      <c r="E8" s="2" t="s">
        <v>445</v>
      </c>
      <c r="F8" s="2" t="s">
        <v>502</v>
      </c>
    </row>
    <row r="9" spans="2:58" x14ac:dyDescent="0.2">
      <c r="B9" s="193" t="s">
        <v>789</v>
      </c>
      <c r="C9" s="6"/>
      <c r="D9" s="11" t="s">
        <v>1</v>
      </c>
      <c r="E9" s="11"/>
      <c r="F9" s="11"/>
    </row>
    <row r="10" spans="2:58" x14ac:dyDescent="0.2">
      <c r="B10" s="193" t="s">
        <v>790</v>
      </c>
      <c r="C10" s="6">
        <v>2024</v>
      </c>
      <c r="D10" s="6">
        <v>2024</v>
      </c>
      <c r="E10" s="6"/>
      <c r="F10" s="6"/>
      <c r="H10" s="68" t="s">
        <v>16</v>
      </c>
      <c r="I10" s="68" t="s">
        <v>16</v>
      </c>
      <c r="J10" s="68" t="s">
        <v>16</v>
      </c>
      <c r="K10" s="68" t="s">
        <v>16</v>
      </c>
      <c r="L10" s="68" t="s">
        <v>16</v>
      </c>
      <c r="M10" s="68" t="s">
        <v>16</v>
      </c>
      <c r="N10" s="68" t="s">
        <v>16</v>
      </c>
      <c r="O10" s="68" t="s">
        <v>16</v>
      </c>
      <c r="P10" s="68" t="s">
        <v>16</v>
      </c>
      <c r="Q10" s="68" t="s">
        <v>16</v>
      </c>
      <c r="R10" s="68" t="s">
        <v>16</v>
      </c>
      <c r="S10" s="68" t="s">
        <v>16</v>
      </c>
      <c r="T10" s="68" t="s">
        <v>16</v>
      </c>
      <c r="U10" s="68" t="s">
        <v>16</v>
      </c>
      <c r="V10" s="68" t="s">
        <v>16</v>
      </c>
      <c r="W10" s="68" t="s">
        <v>16</v>
      </c>
      <c r="X10" s="68" t="s">
        <v>16</v>
      </c>
      <c r="Y10" s="68" t="s">
        <v>16</v>
      </c>
      <c r="Z10" s="68" t="s">
        <v>16</v>
      </c>
      <c r="AA10" s="68" t="s">
        <v>16</v>
      </c>
      <c r="AB10" s="68" t="s">
        <v>16</v>
      </c>
      <c r="AC10" s="68" t="s">
        <v>16</v>
      </c>
      <c r="AD10" s="68" t="s">
        <v>16</v>
      </c>
      <c r="AE10" s="68" t="s">
        <v>16</v>
      </c>
      <c r="AF10" s="68" t="s">
        <v>16</v>
      </c>
      <c r="AG10" s="68" t="s">
        <v>16</v>
      </c>
      <c r="AH10" s="68" t="s">
        <v>16</v>
      </c>
      <c r="AI10" s="68" t="s">
        <v>16</v>
      </c>
      <c r="AJ10" s="68" t="s">
        <v>16</v>
      </c>
      <c r="AK10" s="68" t="s">
        <v>16</v>
      </c>
      <c r="AL10" s="68" t="s">
        <v>16</v>
      </c>
      <c r="AM10" s="68" t="s">
        <v>16</v>
      </c>
      <c r="AN10" s="68" t="s">
        <v>16</v>
      </c>
      <c r="AO10" s="68" t="s">
        <v>16</v>
      </c>
      <c r="AP10" s="68" t="s">
        <v>16</v>
      </c>
      <c r="AQ10" s="68" t="s">
        <v>16</v>
      </c>
      <c r="AR10" s="68" t="s">
        <v>16</v>
      </c>
      <c r="AS10" s="68" t="s">
        <v>16</v>
      </c>
      <c r="AT10" s="68" t="s">
        <v>16</v>
      </c>
      <c r="AU10" s="68" t="s">
        <v>16</v>
      </c>
      <c r="AV10" s="68" t="s">
        <v>16</v>
      </c>
      <c r="AW10" s="68" t="s">
        <v>16</v>
      </c>
      <c r="AX10" s="68" t="s">
        <v>16</v>
      </c>
      <c r="AY10" s="68" t="s">
        <v>16</v>
      </c>
      <c r="AZ10" s="68" t="s">
        <v>16</v>
      </c>
      <c r="BA10" s="68" t="s">
        <v>16</v>
      </c>
      <c r="BB10" s="68" t="s">
        <v>16</v>
      </c>
      <c r="BC10" s="68" t="s">
        <v>16</v>
      </c>
      <c r="BD10" s="68" t="s">
        <v>16</v>
      </c>
      <c r="BE10" s="68" t="s">
        <v>16</v>
      </c>
      <c r="BF10" s="68" t="s">
        <v>16</v>
      </c>
    </row>
    <row r="11" spans="2:58" x14ac:dyDescent="0.2">
      <c r="B11" s="193" t="s">
        <v>791</v>
      </c>
      <c r="C11" s="6"/>
      <c r="D11" s="6"/>
      <c r="E11" s="6" t="s">
        <v>388</v>
      </c>
      <c r="F11" s="6" t="s">
        <v>498</v>
      </c>
      <c r="H11" s="23">
        <v>0</v>
      </c>
      <c r="I11" s="23">
        <v>1</v>
      </c>
      <c r="J11" s="23">
        <v>2</v>
      </c>
      <c r="K11" s="23">
        <v>3</v>
      </c>
      <c r="L11" s="23">
        <v>4</v>
      </c>
      <c r="M11" s="23">
        <v>5</v>
      </c>
      <c r="N11" s="23">
        <v>6</v>
      </c>
      <c r="O11" s="23">
        <v>7</v>
      </c>
      <c r="P11" s="23">
        <v>8</v>
      </c>
      <c r="Q11" s="23">
        <v>9</v>
      </c>
      <c r="R11" s="23">
        <v>10</v>
      </c>
      <c r="S11" s="23">
        <v>11</v>
      </c>
      <c r="T11" s="23">
        <v>12</v>
      </c>
      <c r="U11" s="23">
        <v>13</v>
      </c>
      <c r="V11" s="23">
        <v>14</v>
      </c>
      <c r="W11" s="23">
        <v>15</v>
      </c>
      <c r="X11" s="23">
        <v>16</v>
      </c>
      <c r="Y11" s="23">
        <v>17</v>
      </c>
      <c r="Z11" s="23">
        <v>18</v>
      </c>
      <c r="AA11" s="23">
        <v>19</v>
      </c>
      <c r="AB11" s="23">
        <v>20</v>
      </c>
      <c r="AC11" s="23">
        <v>21</v>
      </c>
      <c r="AD11" s="23">
        <v>22</v>
      </c>
      <c r="AE11" s="23">
        <v>23</v>
      </c>
      <c r="AF11" s="23">
        <v>24</v>
      </c>
      <c r="AG11" s="23">
        <v>25</v>
      </c>
      <c r="AH11" s="23">
        <v>26</v>
      </c>
      <c r="AI11" s="23">
        <v>27</v>
      </c>
      <c r="AJ11" s="23">
        <v>28</v>
      </c>
      <c r="AK11" s="23">
        <v>29</v>
      </c>
      <c r="AL11" s="23">
        <v>30</v>
      </c>
      <c r="AM11" s="23">
        <v>31</v>
      </c>
      <c r="AN11" s="23">
        <v>32</v>
      </c>
      <c r="AO11" s="23">
        <v>33</v>
      </c>
      <c r="AP11" s="23">
        <v>34</v>
      </c>
      <c r="AQ11" s="23">
        <v>35</v>
      </c>
      <c r="AR11" s="23">
        <v>36</v>
      </c>
      <c r="AS11" s="23">
        <v>37</v>
      </c>
      <c r="AT11" s="23">
        <v>38</v>
      </c>
      <c r="AU11" s="23">
        <v>39</v>
      </c>
      <c r="AV11" s="23">
        <v>40</v>
      </c>
      <c r="AW11" s="23">
        <v>41</v>
      </c>
      <c r="AX11" s="23">
        <v>42</v>
      </c>
      <c r="AY11" s="23">
        <v>43</v>
      </c>
      <c r="AZ11" s="23">
        <v>44</v>
      </c>
      <c r="BA11" s="23">
        <v>45</v>
      </c>
      <c r="BB11" s="23">
        <v>46</v>
      </c>
      <c r="BC11" s="23">
        <v>47</v>
      </c>
      <c r="BD11" s="23">
        <v>48</v>
      </c>
      <c r="BE11" s="23">
        <v>49</v>
      </c>
      <c r="BF11" s="23">
        <v>50</v>
      </c>
    </row>
    <row r="12" spans="2:58" x14ac:dyDescent="0.2">
      <c r="B12" s="193" t="s">
        <v>792</v>
      </c>
      <c r="C12" s="7"/>
      <c r="D12" s="7"/>
      <c r="E12" s="38"/>
      <c r="F12" s="38" t="s">
        <v>647</v>
      </c>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row>
    <row r="13" spans="2:58" x14ac:dyDescent="0.2">
      <c r="B13" s="194"/>
      <c r="C13" s="8" t="str" cm="1">
        <f t="array" ref="C13:C74">ModifiedCountries</f>
        <v>Argentina</v>
      </c>
      <c r="D13" s="56" t="str" cm="1">
        <f t="array" ref="D13:D74">ModifiedRegions</f>
        <v>Latin America &amp; Caribbean</v>
      </c>
      <c r="E13" s="208">
        <f t="shared" ref="E13:E44" si="0">INDEX(Input_IncinerationWasteTonnes,MATCH(C13,Input_countries,0))</f>
        <v>895527.5</v>
      </c>
      <c r="F13" s="29">
        <f>IF(E13="No value","No value",SUM(H13:AJ13))</f>
        <v>19953492.129129566</v>
      </c>
      <c r="H13" s="32">
        <f t="shared" ref="H13:Q22" si="1">IFERROR(IF(H$11&lt;=$F$3,$E13/(1+$I$3)^H$11,0),"No value")</f>
        <v>895527.5</v>
      </c>
      <c r="I13" s="32">
        <f t="shared" si="1"/>
        <v>877968.13725490193</v>
      </c>
      <c r="J13" s="32">
        <f t="shared" si="1"/>
        <v>860753.0757401</v>
      </c>
      <c r="K13" s="32">
        <f t="shared" si="1"/>
        <v>843875.56445107842</v>
      </c>
      <c r="L13" s="32">
        <f t="shared" si="1"/>
        <v>827328.98475595925</v>
      </c>
      <c r="M13" s="32">
        <f t="shared" si="1"/>
        <v>811106.84779995994</v>
      </c>
      <c r="N13" s="32">
        <f t="shared" si="1"/>
        <v>795202.791960745</v>
      </c>
      <c r="O13" s="32">
        <f t="shared" si="1"/>
        <v>779610.5803536718</v>
      </c>
      <c r="P13" s="32">
        <f t="shared" si="1"/>
        <v>764324.09838595265</v>
      </c>
      <c r="Q13" s="32">
        <f t="shared" si="1"/>
        <v>749337.35135877714</v>
      </c>
      <c r="R13" s="32">
        <f t="shared" ref="R13:AA22" si="2">IFERROR(IF(R$11&lt;=$F$3,$E13/(1+$I$3)^R$11,0),"No value")</f>
        <v>734644.46211644809</v>
      </c>
      <c r="S13" s="32">
        <f t="shared" si="2"/>
        <v>720239.66874161595</v>
      </c>
      <c r="T13" s="32">
        <f t="shared" si="2"/>
        <v>706117.32229570183</v>
      </c>
      <c r="U13" s="32">
        <f t="shared" si="2"/>
        <v>692271.88460362924</v>
      </c>
      <c r="V13" s="32">
        <f t="shared" si="2"/>
        <v>678697.92608198943</v>
      </c>
      <c r="W13" s="32">
        <f t="shared" si="2"/>
        <v>665390.12360979372</v>
      </c>
      <c r="X13" s="32">
        <f t="shared" si="2"/>
        <v>652343.25844097417</v>
      </c>
      <c r="Y13" s="32">
        <f t="shared" si="2"/>
        <v>639552.21415781765</v>
      </c>
      <c r="Z13" s="32">
        <f t="shared" si="2"/>
        <v>627011.97466452722</v>
      </c>
      <c r="AA13" s="32">
        <f t="shared" si="2"/>
        <v>614717.6222201247</v>
      </c>
      <c r="AB13" s="32">
        <f t="shared" ref="AB13:AK22" si="3">IFERROR(IF(AB$11&lt;=$F$3,$E13/(1+$I$3)^AB$11,0),"No value")</f>
        <v>602664.3355099262</v>
      </c>
      <c r="AC13" s="32">
        <f t="shared" si="3"/>
        <v>590847.3877548296</v>
      </c>
      <c r="AD13" s="32">
        <f t="shared" si="3"/>
        <v>579262.14485767612</v>
      </c>
      <c r="AE13" s="32">
        <f t="shared" si="3"/>
        <v>567904.06358595705</v>
      </c>
      <c r="AF13" s="32">
        <f t="shared" si="3"/>
        <v>556768.68979015388</v>
      </c>
      <c r="AG13" s="32">
        <f t="shared" si="3"/>
        <v>545851.65665701369</v>
      </c>
      <c r="AH13" s="32">
        <f t="shared" si="3"/>
        <v>535148.68299707212</v>
      </c>
      <c r="AI13" s="32">
        <f t="shared" si="3"/>
        <v>524655.57156575716</v>
      </c>
      <c r="AJ13" s="32">
        <f t="shared" si="3"/>
        <v>514368.20741740882</v>
      </c>
      <c r="AK13" s="32">
        <f t="shared" si="3"/>
        <v>504282.55629157735</v>
      </c>
      <c r="AL13" s="32">
        <f t="shared" ref="AL13:AU22" si="4">IFERROR(IF(AL$11&lt;=$F$3,$E13/(1+$I$3)^AL$11,0),"No value")</f>
        <v>494394.66303095815</v>
      </c>
      <c r="AM13" s="32">
        <f t="shared" si="4"/>
        <v>484700.65003035124</v>
      </c>
      <c r="AN13" s="32">
        <f t="shared" si="4"/>
        <v>475196.71571603051</v>
      </c>
      <c r="AO13" s="32">
        <f t="shared" si="4"/>
        <v>465879.13305493188</v>
      </c>
      <c r="AP13" s="32">
        <f t="shared" si="4"/>
        <v>456744.24809307052</v>
      </c>
      <c r="AQ13" s="32">
        <f t="shared" si="4"/>
        <v>447788.47852261813</v>
      </c>
      <c r="AR13" s="32">
        <f t="shared" si="4"/>
        <v>439008.31227707665</v>
      </c>
      <c r="AS13" s="32">
        <f t="shared" si="4"/>
        <v>430400.30615399661</v>
      </c>
      <c r="AT13" s="32">
        <f t="shared" si="4"/>
        <v>421961.08446470252</v>
      </c>
      <c r="AU13" s="32">
        <f t="shared" si="4"/>
        <v>413687.33771049284</v>
      </c>
      <c r="AV13" s="32">
        <f t="shared" ref="AV13:BF22" si="5">IFERROR(IF(AV$11&lt;=$F$3,$E13/(1+$I$3)^AV$11,0),"No value")</f>
        <v>405575.82128479681</v>
      </c>
      <c r="AW13" s="32">
        <f t="shared" si="5"/>
        <v>0</v>
      </c>
      <c r="AX13" s="32">
        <f t="shared" si="5"/>
        <v>0</v>
      </c>
      <c r="AY13" s="32">
        <f t="shared" si="5"/>
        <v>0</v>
      </c>
      <c r="AZ13" s="32">
        <f t="shared" si="5"/>
        <v>0</v>
      </c>
      <c r="BA13" s="32">
        <f t="shared" si="5"/>
        <v>0</v>
      </c>
      <c r="BB13" s="32">
        <f t="shared" si="5"/>
        <v>0</v>
      </c>
      <c r="BC13" s="32">
        <f t="shared" si="5"/>
        <v>0</v>
      </c>
      <c r="BD13" s="32">
        <f t="shared" si="5"/>
        <v>0</v>
      </c>
      <c r="BE13" s="32">
        <f t="shared" si="5"/>
        <v>0</v>
      </c>
      <c r="BF13" s="32">
        <f t="shared" si="5"/>
        <v>0</v>
      </c>
    </row>
    <row r="14" spans="2:58" x14ac:dyDescent="0.2">
      <c r="C14" s="8" t="str">
        <v>Australia</v>
      </c>
      <c r="D14" s="56" t="str">
        <v>East Asia &amp; Pacific</v>
      </c>
      <c r="E14" s="208">
        <f t="shared" si="0"/>
        <v>1303806.5</v>
      </c>
      <c r="F14" s="29">
        <f t="shared" ref="F14:F74" si="6">IF(E14="No value","No value",SUM(H14:AJ14))</f>
        <v>29050467.725064799</v>
      </c>
      <c r="H14" s="32">
        <f t="shared" si="1"/>
        <v>1303806.5</v>
      </c>
      <c r="I14" s="32">
        <f t="shared" si="1"/>
        <v>1278241.6666666667</v>
      </c>
      <c r="J14" s="32">
        <f t="shared" si="1"/>
        <v>1253178.1045751635</v>
      </c>
      <c r="K14" s="32">
        <f t="shared" si="1"/>
        <v>1228605.9848776113</v>
      </c>
      <c r="L14" s="32">
        <f t="shared" si="1"/>
        <v>1204515.6714486384</v>
      </c>
      <c r="M14" s="32">
        <f t="shared" si="1"/>
        <v>1180897.7171065083</v>
      </c>
      <c r="N14" s="32">
        <f t="shared" si="1"/>
        <v>1157742.8599083414</v>
      </c>
      <c r="O14" s="32">
        <f t="shared" si="1"/>
        <v>1135042.0195179819</v>
      </c>
      <c r="P14" s="32">
        <f t="shared" si="1"/>
        <v>1112786.2936450802</v>
      </c>
      <c r="Q14" s="32">
        <f t="shared" si="1"/>
        <v>1090966.9545540002</v>
      </c>
      <c r="R14" s="32">
        <f t="shared" si="2"/>
        <v>1069575.4456411768</v>
      </c>
      <c r="S14" s="32">
        <f t="shared" si="2"/>
        <v>1048603.3780795853</v>
      </c>
      <c r="T14" s="32">
        <f t="shared" si="2"/>
        <v>1028042.5275290048</v>
      </c>
      <c r="U14" s="32">
        <f t="shared" si="2"/>
        <v>1007884.8309107892</v>
      </c>
      <c r="V14" s="32">
        <f t="shared" si="2"/>
        <v>988122.38324587164</v>
      </c>
      <c r="W14" s="32">
        <f t="shared" si="2"/>
        <v>968747.43455477641</v>
      </c>
      <c r="X14" s="32">
        <f t="shared" si="2"/>
        <v>949752.38681840803</v>
      </c>
      <c r="Y14" s="32">
        <f t="shared" si="2"/>
        <v>931129.79099843919</v>
      </c>
      <c r="Z14" s="32">
        <f t="shared" si="2"/>
        <v>912872.34411611699</v>
      </c>
      <c r="AA14" s="32">
        <f t="shared" si="2"/>
        <v>894972.88638834993</v>
      </c>
      <c r="AB14" s="32">
        <f t="shared" si="3"/>
        <v>877424.39841995086</v>
      </c>
      <c r="AC14" s="32">
        <f t="shared" si="3"/>
        <v>860219.99845093233</v>
      </c>
      <c r="AD14" s="32">
        <f t="shared" si="3"/>
        <v>843352.93965777673</v>
      </c>
      <c r="AE14" s="32">
        <f t="shared" si="3"/>
        <v>826816.60750762443</v>
      </c>
      <c r="AF14" s="32">
        <f t="shared" si="3"/>
        <v>810604.51716433757</v>
      </c>
      <c r="AG14" s="32">
        <f t="shared" si="3"/>
        <v>794710.31094542902</v>
      </c>
      <c r="AH14" s="32">
        <f t="shared" si="3"/>
        <v>779127.75582885183</v>
      </c>
      <c r="AI14" s="32">
        <f t="shared" si="3"/>
        <v>763850.74100867845</v>
      </c>
      <c r="AJ14" s="32">
        <f t="shared" si="3"/>
        <v>748873.27549870417</v>
      </c>
      <c r="AK14" s="32">
        <f t="shared" si="3"/>
        <v>734189.48578304343</v>
      </c>
      <c r="AL14" s="32">
        <f t="shared" si="4"/>
        <v>719793.61351278762</v>
      </c>
      <c r="AM14" s="32">
        <f t="shared" si="4"/>
        <v>705680.01324783114</v>
      </c>
      <c r="AN14" s="32">
        <f t="shared" si="4"/>
        <v>691843.15024297161</v>
      </c>
      <c r="AO14" s="32">
        <f t="shared" si="4"/>
        <v>678277.59827742307</v>
      </c>
      <c r="AP14" s="32">
        <f t="shared" si="4"/>
        <v>664978.03752688551</v>
      </c>
      <c r="AQ14" s="32">
        <f t="shared" si="4"/>
        <v>651939.25247733865</v>
      </c>
      <c r="AR14" s="32">
        <f t="shared" si="4"/>
        <v>639156.12987974391</v>
      </c>
      <c r="AS14" s="32">
        <f t="shared" si="4"/>
        <v>626623.65674484684</v>
      </c>
      <c r="AT14" s="32">
        <f t="shared" si="4"/>
        <v>614336.91837730072</v>
      </c>
      <c r="AU14" s="32">
        <f t="shared" si="4"/>
        <v>602291.09644833428</v>
      </c>
      <c r="AV14" s="32">
        <f t="shared" si="5"/>
        <v>590481.46710620995</v>
      </c>
      <c r="AW14" s="32">
        <f t="shared" si="5"/>
        <v>0</v>
      </c>
      <c r="AX14" s="32">
        <f t="shared" si="5"/>
        <v>0</v>
      </c>
      <c r="AY14" s="32">
        <f t="shared" si="5"/>
        <v>0</v>
      </c>
      <c r="AZ14" s="32">
        <f t="shared" si="5"/>
        <v>0</v>
      </c>
      <c r="BA14" s="32">
        <f t="shared" si="5"/>
        <v>0</v>
      </c>
      <c r="BB14" s="32">
        <f t="shared" si="5"/>
        <v>0</v>
      </c>
      <c r="BC14" s="32">
        <f t="shared" si="5"/>
        <v>0</v>
      </c>
      <c r="BD14" s="32">
        <f t="shared" si="5"/>
        <v>0</v>
      </c>
      <c r="BE14" s="32">
        <f t="shared" si="5"/>
        <v>0</v>
      </c>
      <c r="BF14" s="32">
        <f t="shared" si="5"/>
        <v>0</v>
      </c>
    </row>
    <row r="15" spans="2:58" x14ac:dyDescent="0.2">
      <c r="C15" s="8" t="str">
        <v>Austria</v>
      </c>
      <c r="D15" s="56" t="str">
        <v>Europe &amp; Central Asia</v>
      </c>
      <c r="E15" s="208">
        <f t="shared" si="0"/>
        <v>1978272.1745</v>
      </c>
      <c r="F15" s="29">
        <f t="shared" si="6"/>
        <v>44078421.112876803</v>
      </c>
      <c r="H15" s="32">
        <f t="shared" si="1"/>
        <v>1978272.1745</v>
      </c>
      <c r="I15" s="32">
        <f t="shared" si="1"/>
        <v>1939482.5240196078</v>
      </c>
      <c r="J15" s="32">
        <f t="shared" si="1"/>
        <v>1901453.4549211841</v>
      </c>
      <c r="K15" s="32">
        <f t="shared" si="1"/>
        <v>1864170.0538442982</v>
      </c>
      <c r="L15" s="32">
        <f t="shared" si="1"/>
        <v>1827617.6998473513</v>
      </c>
      <c r="M15" s="32">
        <f t="shared" si="1"/>
        <v>1791782.0586738735</v>
      </c>
      <c r="N15" s="32">
        <f t="shared" si="1"/>
        <v>1756649.0771312485</v>
      </c>
      <c r="O15" s="32">
        <f t="shared" si="1"/>
        <v>1722204.9775796558</v>
      </c>
      <c r="P15" s="32">
        <f t="shared" si="1"/>
        <v>1688436.2525290742</v>
      </c>
      <c r="Q15" s="32">
        <f t="shared" si="1"/>
        <v>1655329.6593422296</v>
      </c>
      <c r="R15" s="32">
        <f t="shared" si="2"/>
        <v>1622872.2150414016</v>
      </c>
      <c r="S15" s="32">
        <f t="shared" si="2"/>
        <v>1591051.1912170607</v>
      </c>
      <c r="T15" s="32">
        <f t="shared" si="2"/>
        <v>1559854.1090363336</v>
      </c>
      <c r="U15" s="32">
        <f t="shared" si="2"/>
        <v>1529268.7343493467</v>
      </c>
      <c r="V15" s="32">
        <f t="shared" si="2"/>
        <v>1499283.0728915164</v>
      </c>
      <c r="W15" s="32">
        <f t="shared" si="2"/>
        <v>1469885.3655799185</v>
      </c>
      <c r="X15" s="32">
        <f t="shared" si="2"/>
        <v>1441064.0839018805</v>
      </c>
      <c r="Y15" s="32">
        <f t="shared" si="2"/>
        <v>1412807.9253940005</v>
      </c>
      <c r="Z15" s="32">
        <f t="shared" si="2"/>
        <v>1385105.8092098045</v>
      </c>
      <c r="AA15" s="32">
        <f t="shared" si="2"/>
        <v>1357946.8717743182</v>
      </c>
      <c r="AB15" s="32">
        <f t="shared" si="3"/>
        <v>1331320.4625238413</v>
      </c>
      <c r="AC15" s="32">
        <f t="shared" si="3"/>
        <v>1305216.1397292563</v>
      </c>
      <c r="AD15" s="32">
        <f t="shared" si="3"/>
        <v>1279623.6664012314</v>
      </c>
      <c r="AE15" s="32">
        <f t="shared" si="3"/>
        <v>1254533.0062757174</v>
      </c>
      <c r="AF15" s="32">
        <f t="shared" si="3"/>
        <v>1229934.3198781542</v>
      </c>
      <c r="AG15" s="32">
        <f t="shared" si="3"/>
        <v>1205817.9606648572</v>
      </c>
      <c r="AH15" s="32">
        <f t="shared" si="3"/>
        <v>1182174.4712400557</v>
      </c>
      <c r="AI15" s="32">
        <f t="shared" si="3"/>
        <v>1158994.5796471138</v>
      </c>
      <c r="AJ15" s="32">
        <f t="shared" si="3"/>
        <v>1136269.1957324643</v>
      </c>
      <c r="AK15" s="32">
        <f t="shared" si="3"/>
        <v>1113989.4075808474</v>
      </c>
      <c r="AL15" s="32">
        <f t="shared" si="4"/>
        <v>1092146.4780204387</v>
      </c>
      <c r="AM15" s="32">
        <f t="shared" si="4"/>
        <v>1070731.8411965086</v>
      </c>
      <c r="AN15" s="32">
        <f t="shared" si="4"/>
        <v>1049737.0992122632</v>
      </c>
      <c r="AO15" s="32">
        <f t="shared" si="4"/>
        <v>1029154.018835552</v>
      </c>
      <c r="AP15" s="32">
        <f t="shared" si="4"/>
        <v>1008974.5282701491</v>
      </c>
      <c r="AQ15" s="32">
        <f t="shared" si="4"/>
        <v>989190.71399034234</v>
      </c>
      <c r="AR15" s="32">
        <f t="shared" si="4"/>
        <v>969794.81763759058</v>
      </c>
      <c r="AS15" s="32">
        <f t="shared" si="4"/>
        <v>950779.23297802988</v>
      </c>
      <c r="AT15" s="32">
        <f t="shared" si="4"/>
        <v>932136.50291963702</v>
      </c>
      <c r="AU15" s="32">
        <f t="shared" si="4"/>
        <v>913859.31658787979</v>
      </c>
      <c r="AV15" s="32">
        <f t="shared" si="5"/>
        <v>895940.50645870541</v>
      </c>
      <c r="AW15" s="32">
        <f t="shared" si="5"/>
        <v>0</v>
      </c>
      <c r="AX15" s="32">
        <f t="shared" si="5"/>
        <v>0</v>
      </c>
      <c r="AY15" s="32">
        <f t="shared" si="5"/>
        <v>0</v>
      </c>
      <c r="AZ15" s="32">
        <f t="shared" si="5"/>
        <v>0</v>
      </c>
      <c r="BA15" s="32">
        <f t="shared" si="5"/>
        <v>0</v>
      </c>
      <c r="BB15" s="32">
        <f t="shared" si="5"/>
        <v>0</v>
      </c>
      <c r="BC15" s="32">
        <f t="shared" si="5"/>
        <v>0</v>
      </c>
      <c r="BD15" s="32">
        <f t="shared" si="5"/>
        <v>0</v>
      </c>
      <c r="BE15" s="32">
        <f t="shared" si="5"/>
        <v>0</v>
      </c>
      <c r="BF15" s="32">
        <f t="shared" si="5"/>
        <v>0</v>
      </c>
    </row>
    <row r="16" spans="2:58" x14ac:dyDescent="0.2">
      <c r="C16" s="8" t="str">
        <v>Bangladesh</v>
      </c>
      <c r="D16" s="56" t="str">
        <v>South Asia</v>
      </c>
      <c r="E16" s="208">
        <f t="shared" si="0"/>
        <v>0</v>
      </c>
      <c r="F16" s="29">
        <f t="shared" si="6"/>
        <v>0</v>
      </c>
      <c r="H16" s="32">
        <f t="shared" si="1"/>
        <v>0</v>
      </c>
      <c r="I16" s="32">
        <f t="shared" si="1"/>
        <v>0</v>
      </c>
      <c r="J16" s="32">
        <f t="shared" si="1"/>
        <v>0</v>
      </c>
      <c r="K16" s="32">
        <f t="shared" si="1"/>
        <v>0</v>
      </c>
      <c r="L16" s="32">
        <f t="shared" si="1"/>
        <v>0</v>
      </c>
      <c r="M16" s="32">
        <f t="shared" si="1"/>
        <v>0</v>
      </c>
      <c r="N16" s="32">
        <f t="shared" si="1"/>
        <v>0</v>
      </c>
      <c r="O16" s="32">
        <f t="shared" si="1"/>
        <v>0</v>
      </c>
      <c r="P16" s="32">
        <f t="shared" si="1"/>
        <v>0</v>
      </c>
      <c r="Q16" s="32">
        <f t="shared" si="1"/>
        <v>0</v>
      </c>
      <c r="R16" s="32">
        <f t="shared" si="2"/>
        <v>0</v>
      </c>
      <c r="S16" s="32">
        <f t="shared" si="2"/>
        <v>0</v>
      </c>
      <c r="T16" s="32">
        <f t="shared" si="2"/>
        <v>0</v>
      </c>
      <c r="U16" s="32">
        <f t="shared" si="2"/>
        <v>0</v>
      </c>
      <c r="V16" s="32">
        <f t="shared" si="2"/>
        <v>0</v>
      </c>
      <c r="W16" s="32">
        <f t="shared" si="2"/>
        <v>0</v>
      </c>
      <c r="X16" s="32">
        <f t="shared" si="2"/>
        <v>0</v>
      </c>
      <c r="Y16" s="32">
        <f t="shared" si="2"/>
        <v>0</v>
      </c>
      <c r="Z16" s="32">
        <f t="shared" si="2"/>
        <v>0</v>
      </c>
      <c r="AA16" s="32">
        <f t="shared" si="2"/>
        <v>0</v>
      </c>
      <c r="AB16" s="32">
        <f t="shared" si="3"/>
        <v>0</v>
      </c>
      <c r="AC16" s="32">
        <f t="shared" si="3"/>
        <v>0</v>
      </c>
      <c r="AD16" s="32">
        <f t="shared" si="3"/>
        <v>0</v>
      </c>
      <c r="AE16" s="32">
        <f t="shared" si="3"/>
        <v>0</v>
      </c>
      <c r="AF16" s="32">
        <f t="shared" si="3"/>
        <v>0</v>
      </c>
      <c r="AG16" s="32">
        <f t="shared" si="3"/>
        <v>0</v>
      </c>
      <c r="AH16" s="32">
        <f t="shared" si="3"/>
        <v>0</v>
      </c>
      <c r="AI16" s="32">
        <f t="shared" si="3"/>
        <v>0</v>
      </c>
      <c r="AJ16" s="32">
        <f t="shared" si="3"/>
        <v>0</v>
      </c>
      <c r="AK16" s="32">
        <f t="shared" si="3"/>
        <v>0</v>
      </c>
      <c r="AL16" s="32">
        <f t="shared" si="4"/>
        <v>0</v>
      </c>
      <c r="AM16" s="32">
        <f t="shared" si="4"/>
        <v>0</v>
      </c>
      <c r="AN16" s="32">
        <f t="shared" si="4"/>
        <v>0</v>
      </c>
      <c r="AO16" s="32">
        <f t="shared" si="4"/>
        <v>0</v>
      </c>
      <c r="AP16" s="32">
        <f t="shared" si="4"/>
        <v>0</v>
      </c>
      <c r="AQ16" s="32">
        <f t="shared" si="4"/>
        <v>0</v>
      </c>
      <c r="AR16" s="32">
        <f t="shared" si="4"/>
        <v>0</v>
      </c>
      <c r="AS16" s="32">
        <f t="shared" si="4"/>
        <v>0</v>
      </c>
      <c r="AT16" s="32">
        <f t="shared" si="4"/>
        <v>0</v>
      </c>
      <c r="AU16" s="32">
        <f t="shared" si="4"/>
        <v>0</v>
      </c>
      <c r="AV16" s="32">
        <f t="shared" si="5"/>
        <v>0</v>
      </c>
      <c r="AW16" s="32">
        <f t="shared" si="5"/>
        <v>0</v>
      </c>
      <c r="AX16" s="32">
        <f t="shared" si="5"/>
        <v>0</v>
      </c>
      <c r="AY16" s="32">
        <f t="shared" si="5"/>
        <v>0</v>
      </c>
      <c r="AZ16" s="32">
        <f t="shared" si="5"/>
        <v>0</v>
      </c>
      <c r="BA16" s="32">
        <f t="shared" si="5"/>
        <v>0</v>
      </c>
      <c r="BB16" s="32">
        <f t="shared" si="5"/>
        <v>0</v>
      </c>
      <c r="BC16" s="32">
        <f t="shared" si="5"/>
        <v>0</v>
      </c>
      <c r="BD16" s="32">
        <f t="shared" si="5"/>
        <v>0</v>
      </c>
      <c r="BE16" s="32">
        <f t="shared" si="5"/>
        <v>0</v>
      </c>
      <c r="BF16" s="32">
        <f t="shared" si="5"/>
        <v>0</v>
      </c>
    </row>
    <row r="17" spans="3:58" x14ac:dyDescent="0.2">
      <c r="C17" s="8" t="str">
        <v>Belgium</v>
      </c>
      <c r="D17" s="56" t="str">
        <v>Europe &amp; Central Asia</v>
      </c>
      <c r="E17" s="208">
        <f t="shared" si="0"/>
        <v>2067916.6336999999</v>
      </c>
      <c r="F17" s="29">
        <f t="shared" si="6"/>
        <v>46075813.723452449</v>
      </c>
      <c r="H17" s="32">
        <f t="shared" si="1"/>
        <v>2067916.6336999999</v>
      </c>
      <c r="I17" s="32">
        <f t="shared" si="1"/>
        <v>2027369.2487254899</v>
      </c>
      <c r="J17" s="32">
        <f t="shared" si="1"/>
        <v>1987616.9105151864</v>
      </c>
      <c r="K17" s="32">
        <f t="shared" si="1"/>
        <v>1948644.0299168495</v>
      </c>
      <c r="L17" s="32">
        <f t="shared" si="1"/>
        <v>1910435.3234478915</v>
      </c>
      <c r="M17" s="32">
        <f t="shared" si="1"/>
        <v>1872975.8073018545</v>
      </c>
      <c r="N17" s="32">
        <f t="shared" si="1"/>
        <v>1836250.7914724061</v>
      </c>
      <c r="O17" s="32">
        <f t="shared" si="1"/>
        <v>1800245.8739925555</v>
      </c>
      <c r="P17" s="32">
        <f t="shared" si="1"/>
        <v>1764946.935286819</v>
      </c>
      <c r="Q17" s="32">
        <f t="shared" si="1"/>
        <v>1730340.1326341361</v>
      </c>
      <c r="R17" s="32">
        <f t="shared" si="2"/>
        <v>1696411.8947393491</v>
      </c>
      <c r="S17" s="32">
        <f t="shared" si="2"/>
        <v>1663148.916411127</v>
      </c>
      <c r="T17" s="32">
        <f t="shared" si="2"/>
        <v>1630538.1533442419</v>
      </c>
      <c r="U17" s="32">
        <f t="shared" si="2"/>
        <v>1598566.8170041589</v>
      </c>
      <c r="V17" s="32">
        <f t="shared" si="2"/>
        <v>1567222.3696119201</v>
      </c>
      <c r="W17" s="32">
        <f t="shared" si="2"/>
        <v>1536492.5192273732</v>
      </c>
      <c r="X17" s="32">
        <f t="shared" si="2"/>
        <v>1506365.214928797</v>
      </c>
      <c r="Y17" s="32">
        <f t="shared" si="2"/>
        <v>1476828.6420870558</v>
      </c>
      <c r="Z17" s="32">
        <f t="shared" si="2"/>
        <v>1447871.2177324079</v>
      </c>
      <c r="AA17" s="32">
        <f t="shared" si="2"/>
        <v>1419481.5860121646</v>
      </c>
      <c r="AB17" s="32">
        <f t="shared" si="3"/>
        <v>1391648.613737416</v>
      </c>
      <c r="AC17" s="32">
        <f t="shared" si="3"/>
        <v>1364361.3860170746</v>
      </c>
      <c r="AD17" s="32">
        <f t="shared" si="3"/>
        <v>1337609.201977524</v>
      </c>
      <c r="AE17" s="32">
        <f t="shared" si="3"/>
        <v>1311381.5705662004</v>
      </c>
      <c r="AF17" s="32">
        <f t="shared" si="3"/>
        <v>1285668.2064374513</v>
      </c>
      <c r="AG17" s="32">
        <f t="shared" si="3"/>
        <v>1260459.0259190698</v>
      </c>
      <c r="AH17" s="32">
        <f t="shared" si="3"/>
        <v>1235744.1430579114</v>
      </c>
      <c r="AI17" s="32">
        <f t="shared" si="3"/>
        <v>1211513.8657430506</v>
      </c>
      <c r="AJ17" s="32">
        <f t="shared" si="3"/>
        <v>1187758.6919049514</v>
      </c>
      <c r="AK17" s="32">
        <f t="shared" si="3"/>
        <v>1164469.3057891682</v>
      </c>
      <c r="AL17" s="32">
        <f t="shared" si="4"/>
        <v>1141636.5743031059</v>
      </c>
      <c r="AM17" s="32">
        <f t="shared" si="4"/>
        <v>1119251.5434344178</v>
      </c>
      <c r="AN17" s="32">
        <f t="shared" si="4"/>
        <v>1097305.4347396251</v>
      </c>
      <c r="AO17" s="32">
        <f t="shared" si="4"/>
        <v>1075789.6419015932</v>
      </c>
      <c r="AP17" s="32">
        <f t="shared" si="4"/>
        <v>1054695.7273545032</v>
      </c>
      <c r="AQ17" s="32">
        <f t="shared" si="4"/>
        <v>1034015.4189750032</v>
      </c>
      <c r="AR17" s="32">
        <f t="shared" si="4"/>
        <v>1013740.6068382385</v>
      </c>
      <c r="AS17" s="32">
        <f t="shared" si="4"/>
        <v>993863.34003748861</v>
      </c>
      <c r="AT17" s="32">
        <f t="shared" si="4"/>
        <v>974375.82356616517</v>
      </c>
      <c r="AU17" s="32">
        <f t="shared" si="4"/>
        <v>955270.41526094661</v>
      </c>
      <c r="AV17" s="32">
        <f t="shared" si="5"/>
        <v>936539.62280484941</v>
      </c>
      <c r="AW17" s="32">
        <f t="shared" si="5"/>
        <v>0</v>
      </c>
      <c r="AX17" s="32">
        <f t="shared" si="5"/>
        <v>0</v>
      </c>
      <c r="AY17" s="32">
        <f t="shared" si="5"/>
        <v>0</v>
      </c>
      <c r="AZ17" s="32">
        <f t="shared" si="5"/>
        <v>0</v>
      </c>
      <c r="BA17" s="32">
        <f t="shared" si="5"/>
        <v>0</v>
      </c>
      <c r="BB17" s="32">
        <f t="shared" si="5"/>
        <v>0</v>
      </c>
      <c r="BC17" s="32">
        <f t="shared" si="5"/>
        <v>0</v>
      </c>
      <c r="BD17" s="32">
        <f t="shared" si="5"/>
        <v>0</v>
      </c>
      <c r="BE17" s="32">
        <f t="shared" si="5"/>
        <v>0</v>
      </c>
      <c r="BF17" s="32">
        <f t="shared" si="5"/>
        <v>0</v>
      </c>
    </row>
    <row r="18" spans="3:58" x14ac:dyDescent="0.2">
      <c r="C18" s="8" t="str">
        <v>Bolivia</v>
      </c>
      <c r="D18" s="56" t="str">
        <v>Latin America &amp; Caribbean</v>
      </c>
      <c r="E18" s="208">
        <f t="shared" si="0"/>
        <v>0</v>
      </c>
      <c r="F18" s="29">
        <f t="shared" si="6"/>
        <v>0</v>
      </c>
      <c r="H18" s="32">
        <f t="shared" si="1"/>
        <v>0</v>
      </c>
      <c r="I18" s="32">
        <f t="shared" si="1"/>
        <v>0</v>
      </c>
      <c r="J18" s="32">
        <f t="shared" si="1"/>
        <v>0</v>
      </c>
      <c r="K18" s="32">
        <f t="shared" si="1"/>
        <v>0</v>
      </c>
      <c r="L18" s="32">
        <f t="shared" si="1"/>
        <v>0</v>
      </c>
      <c r="M18" s="32">
        <f t="shared" si="1"/>
        <v>0</v>
      </c>
      <c r="N18" s="32">
        <f t="shared" si="1"/>
        <v>0</v>
      </c>
      <c r="O18" s="32">
        <f t="shared" si="1"/>
        <v>0</v>
      </c>
      <c r="P18" s="32">
        <f t="shared" si="1"/>
        <v>0</v>
      </c>
      <c r="Q18" s="32">
        <f t="shared" si="1"/>
        <v>0</v>
      </c>
      <c r="R18" s="32">
        <f t="shared" si="2"/>
        <v>0</v>
      </c>
      <c r="S18" s="32">
        <f t="shared" si="2"/>
        <v>0</v>
      </c>
      <c r="T18" s="32">
        <f t="shared" si="2"/>
        <v>0</v>
      </c>
      <c r="U18" s="32">
        <f t="shared" si="2"/>
        <v>0</v>
      </c>
      <c r="V18" s="32">
        <f t="shared" si="2"/>
        <v>0</v>
      </c>
      <c r="W18" s="32">
        <f t="shared" si="2"/>
        <v>0</v>
      </c>
      <c r="X18" s="32">
        <f t="shared" si="2"/>
        <v>0</v>
      </c>
      <c r="Y18" s="32">
        <f t="shared" si="2"/>
        <v>0</v>
      </c>
      <c r="Z18" s="32">
        <f t="shared" si="2"/>
        <v>0</v>
      </c>
      <c r="AA18" s="32">
        <f t="shared" si="2"/>
        <v>0</v>
      </c>
      <c r="AB18" s="32">
        <f t="shared" si="3"/>
        <v>0</v>
      </c>
      <c r="AC18" s="32">
        <f t="shared" si="3"/>
        <v>0</v>
      </c>
      <c r="AD18" s="32">
        <f t="shared" si="3"/>
        <v>0</v>
      </c>
      <c r="AE18" s="32">
        <f t="shared" si="3"/>
        <v>0</v>
      </c>
      <c r="AF18" s="32">
        <f t="shared" si="3"/>
        <v>0</v>
      </c>
      <c r="AG18" s="32">
        <f t="shared" si="3"/>
        <v>0</v>
      </c>
      <c r="AH18" s="32">
        <f t="shared" si="3"/>
        <v>0</v>
      </c>
      <c r="AI18" s="32">
        <f t="shared" si="3"/>
        <v>0</v>
      </c>
      <c r="AJ18" s="32">
        <f t="shared" si="3"/>
        <v>0</v>
      </c>
      <c r="AK18" s="32">
        <f t="shared" si="3"/>
        <v>0</v>
      </c>
      <c r="AL18" s="32">
        <f t="shared" si="4"/>
        <v>0</v>
      </c>
      <c r="AM18" s="32">
        <f t="shared" si="4"/>
        <v>0</v>
      </c>
      <c r="AN18" s="32">
        <f t="shared" si="4"/>
        <v>0</v>
      </c>
      <c r="AO18" s="32">
        <f t="shared" si="4"/>
        <v>0</v>
      </c>
      <c r="AP18" s="32">
        <f t="shared" si="4"/>
        <v>0</v>
      </c>
      <c r="AQ18" s="32">
        <f t="shared" si="4"/>
        <v>0</v>
      </c>
      <c r="AR18" s="32">
        <f t="shared" si="4"/>
        <v>0</v>
      </c>
      <c r="AS18" s="32">
        <f t="shared" si="4"/>
        <v>0</v>
      </c>
      <c r="AT18" s="32">
        <f t="shared" si="4"/>
        <v>0</v>
      </c>
      <c r="AU18" s="32">
        <f t="shared" si="4"/>
        <v>0</v>
      </c>
      <c r="AV18" s="32">
        <f t="shared" si="5"/>
        <v>0</v>
      </c>
      <c r="AW18" s="32">
        <f t="shared" si="5"/>
        <v>0</v>
      </c>
      <c r="AX18" s="32">
        <f t="shared" si="5"/>
        <v>0</v>
      </c>
      <c r="AY18" s="32">
        <f t="shared" si="5"/>
        <v>0</v>
      </c>
      <c r="AZ18" s="32">
        <f t="shared" si="5"/>
        <v>0</v>
      </c>
      <c r="BA18" s="32">
        <f t="shared" si="5"/>
        <v>0</v>
      </c>
      <c r="BB18" s="32">
        <f t="shared" si="5"/>
        <v>0</v>
      </c>
      <c r="BC18" s="32">
        <f t="shared" si="5"/>
        <v>0</v>
      </c>
      <c r="BD18" s="32">
        <f t="shared" si="5"/>
        <v>0</v>
      </c>
      <c r="BE18" s="32">
        <f t="shared" si="5"/>
        <v>0</v>
      </c>
      <c r="BF18" s="32">
        <f t="shared" si="5"/>
        <v>0</v>
      </c>
    </row>
    <row r="19" spans="3:58" x14ac:dyDescent="0.2">
      <c r="C19" s="8" t="str">
        <v>Brazil</v>
      </c>
      <c r="D19" s="56" t="str">
        <v>Latin America &amp; Caribbean</v>
      </c>
      <c r="E19" s="208">
        <f t="shared" si="0"/>
        <v>3953479.2</v>
      </c>
      <c r="F19" s="29">
        <f t="shared" si="6"/>
        <v>88088546.806075126</v>
      </c>
      <c r="H19" s="32">
        <f t="shared" si="1"/>
        <v>3953479.2</v>
      </c>
      <c r="I19" s="32">
        <f t="shared" si="1"/>
        <v>3875960</v>
      </c>
      <c r="J19" s="32">
        <f t="shared" si="1"/>
        <v>3799960.7843137258</v>
      </c>
      <c r="K19" s="32">
        <f t="shared" si="1"/>
        <v>3725451.7493271823</v>
      </c>
      <c r="L19" s="32">
        <f t="shared" si="1"/>
        <v>3652403.6758109629</v>
      </c>
      <c r="M19" s="32">
        <f t="shared" si="1"/>
        <v>3580787.9174617282</v>
      </c>
      <c r="N19" s="32">
        <f t="shared" si="1"/>
        <v>3510576.3896683608</v>
      </c>
      <c r="O19" s="32">
        <f t="shared" si="1"/>
        <v>3441741.5584983937</v>
      </c>
      <c r="P19" s="32">
        <f t="shared" si="1"/>
        <v>3374256.4299003854</v>
      </c>
      <c r="Q19" s="32">
        <f t="shared" si="1"/>
        <v>3308094.539118025</v>
      </c>
      <c r="R19" s="32">
        <f t="shared" si="2"/>
        <v>3243229.940311789</v>
      </c>
      <c r="S19" s="32">
        <f t="shared" si="2"/>
        <v>3179637.1963841077</v>
      </c>
      <c r="T19" s="32">
        <f t="shared" si="2"/>
        <v>3117291.3690040265</v>
      </c>
      <c r="U19" s="32">
        <f t="shared" si="2"/>
        <v>3056168.0088274772</v>
      </c>
      <c r="V19" s="32">
        <f t="shared" si="2"/>
        <v>2996243.1459092912</v>
      </c>
      <c r="W19" s="32">
        <f t="shared" si="2"/>
        <v>2937493.2803032272</v>
      </c>
      <c r="X19" s="32">
        <f t="shared" si="2"/>
        <v>2879895.3728463007</v>
      </c>
      <c r="Y19" s="32">
        <f t="shared" si="2"/>
        <v>2823426.8361238241</v>
      </c>
      <c r="Z19" s="32">
        <f t="shared" si="2"/>
        <v>2768065.5256115925</v>
      </c>
      <c r="AA19" s="32">
        <f t="shared" si="2"/>
        <v>2713789.7309917575</v>
      </c>
      <c r="AB19" s="32">
        <f t="shared" si="3"/>
        <v>2660578.1676389775</v>
      </c>
      <c r="AC19" s="32">
        <f t="shared" si="3"/>
        <v>2608409.9682735079</v>
      </c>
      <c r="AD19" s="32">
        <f t="shared" si="3"/>
        <v>2557264.6747779488</v>
      </c>
      <c r="AE19" s="32">
        <f t="shared" si="3"/>
        <v>2507122.23017446</v>
      </c>
      <c r="AF19" s="32">
        <f t="shared" si="3"/>
        <v>2457962.9707592744</v>
      </c>
      <c r="AG19" s="32">
        <f t="shared" si="3"/>
        <v>2409767.6183914454</v>
      </c>
      <c r="AH19" s="32">
        <f t="shared" si="3"/>
        <v>2362517.2729327893</v>
      </c>
      <c r="AI19" s="32">
        <f t="shared" si="3"/>
        <v>2316193.4048360684</v>
      </c>
      <c r="AJ19" s="32">
        <f t="shared" si="3"/>
        <v>2270777.847878498</v>
      </c>
      <c r="AK19" s="32">
        <f t="shared" si="3"/>
        <v>2226252.7920377436</v>
      </c>
      <c r="AL19" s="32">
        <f t="shared" si="4"/>
        <v>2182600.7765075914</v>
      </c>
      <c r="AM19" s="32">
        <f t="shared" si="4"/>
        <v>2139804.6828505802</v>
      </c>
      <c r="AN19" s="32">
        <f t="shared" si="4"/>
        <v>2097847.7282848824</v>
      </c>
      <c r="AO19" s="32">
        <f t="shared" si="4"/>
        <v>2056713.4591028255</v>
      </c>
      <c r="AP19" s="32">
        <f t="shared" si="4"/>
        <v>2016385.7442184566</v>
      </c>
      <c r="AQ19" s="32">
        <f t="shared" si="4"/>
        <v>1976848.7688416243</v>
      </c>
      <c r="AR19" s="32">
        <f t="shared" si="4"/>
        <v>1938087.0282761024</v>
      </c>
      <c r="AS19" s="32">
        <f t="shared" si="4"/>
        <v>1900085.3218393156</v>
      </c>
      <c r="AT19" s="32">
        <f t="shared" si="4"/>
        <v>1862828.7469012898</v>
      </c>
      <c r="AU19" s="32">
        <f t="shared" si="4"/>
        <v>1826302.6930404808</v>
      </c>
      <c r="AV19" s="32">
        <f t="shared" si="5"/>
        <v>1790492.8363141965</v>
      </c>
      <c r="AW19" s="32">
        <f t="shared" si="5"/>
        <v>0</v>
      </c>
      <c r="AX19" s="32">
        <f t="shared" si="5"/>
        <v>0</v>
      </c>
      <c r="AY19" s="32">
        <f t="shared" si="5"/>
        <v>0</v>
      </c>
      <c r="AZ19" s="32">
        <f t="shared" si="5"/>
        <v>0</v>
      </c>
      <c r="BA19" s="32">
        <f t="shared" si="5"/>
        <v>0</v>
      </c>
      <c r="BB19" s="32">
        <f t="shared" si="5"/>
        <v>0</v>
      </c>
      <c r="BC19" s="32">
        <f t="shared" si="5"/>
        <v>0</v>
      </c>
      <c r="BD19" s="32">
        <f t="shared" si="5"/>
        <v>0</v>
      </c>
      <c r="BE19" s="32">
        <f t="shared" si="5"/>
        <v>0</v>
      </c>
      <c r="BF19" s="32">
        <f t="shared" si="5"/>
        <v>0</v>
      </c>
    </row>
    <row r="20" spans="3:58" x14ac:dyDescent="0.2">
      <c r="C20" s="8" t="str">
        <v>Bulgaria</v>
      </c>
      <c r="D20" s="56" t="str">
        <v>Europe &amp; Central Asia</v>
      </c>
      <c r="E20" s="208">
        <f t="shared" si="0"/>
        <v>78627.725000000006</v>
      </c>
      <c r="F20" s="29">
        <f t="shared" si="6"/>
        <v>1751925.7553998777</v>
      </c>
      <c r="H20" s="32">
        <f t="shared" si="1"/>
        <v>78627.725000000006</v>
      </c>
      <c r="I20" s="32">
        <f t="shared" si="1"/>
        <v>77086.004901960783</v>
      </c>
      <c r="J20" s="32">
        <f t="shared" si="1"/>
        <v>75574.51460976548</v>
      </c>
      <c r="K20" s="32">
        <f t="shared" si="1"/>
        <v>74092.661382123028</v>
      </c>
      <c r="L20" s="32">
        <f t="shared" si="1"/>
        <v>72639.864100120612</v>
      </c>
      <c r="M20" s="32">
        <f t="shared" si="1"/>
        <v>71215.553039333929</v>
      </c>
      <c r="N20" s="32">
        <f t="shared" si="1"/>
        <v>69819.169646405804</v>
      </c>
      <c r="O20" s="32">
        <f t="shared" si="1"/>
        <v>68450.166320005708</v>
      </c>
      <c r="P20" s="32">
        <f t="shared" si="1"/>
        <v>67108.006196084025</v>
      </c>
      <c r="Q20" s="32">
        <f t="shared" si="1"/>
        <v>65792.162937337271</v>
      </c>
      <c r="R20" s="32">
        <f t="shared" si="2"/>
        <v>64502.120526801249</v>
      </c>
      <c r="S20" s="32">
        <f t="shared" si="2"/>
        <v>63237.373065491432</v>
      </c>
      <c r="T20" s="32">
        <f t="shared" si="2"/>
        <v>61997.424574011202</v>
      </c>
      <c r="U20" s="32">
        <f t="shared" si="2"/>
        <v>60781.788798050198</v>
      </c>
      <c r="V20" s="32">
        <f t="shared" si="2"/>
        <v>59589.989017696265</v>
      </c>
      <c r="W20" s="32">
        <f t="shared" si="2"/>
        <v>58421.557860486551</v>
      </c>
      <c r="X20" s="32">
        <f t="shared" si="2"/>
        <v>57276.037118124063</v>
      </c>
      <c r="Y20" s="32">
        <f t="shared" si="2"/>
        <v>56152.977566788293</v>
      </c>
      <c r="Z20" s="32">
        <f t="shared" si="2"/>
        <v>55051.938790968918</v>
      </c>
      <c r="AA20" s="32">
        <f t="shared" si="2"/>
        <v>53972.489010753845</v>
      </c>
      <c r="AB20" s="32">
        <f t="shared" si="3"/>
        <v>52914.204912503759</v>
      </c>
      <c r="AC20" s="32">
        <f t="shared" si="3"/>
        <v>51876.671482846832</v>
      </c>
      <c r="AD20" s="32">
        <f t="shared" si="3"/>
        <v>50859.481845928261</v>
      </c>
      <c r="AE20" s="32">
        <f t="shared" si="3"/>
        <v>49862.237103851243</v>
      </c>
      <c r="AF20" s="32">
        <f t="shared" si="3"/>
        <v>48884.546180246318</v>
      </c>
      <c r="AG20" s="32">
        <f t="shared" si="3"/>
        <v>47926.025666908157</v>
      </c>
      <c r="AH20" s="32">
        <f t="shared" si="3"/>
        <v>46986.29967343936</v>
      </c>
      <c r="AI20" s="32">
        <f t="shared" si="3"/>
        <v>46064.99967984252</v>
      </c>
      <c r="AJ20" s="32">
        <f t="shared" si="3"/>
        <v>45161.764392002464</v>
      </c>
      <c r="AK20" s="32">
        <f t="shared" si="3"/>
        <v>44276.239600002416</v>
      </c>
      <c r="AL20" s="32">
        <f t="shared" si="4"/>
        <v>43408.078039218053</v>
      </c>
      <c r="AM20" s="32">
        <f t="shared" si="4"/>
        <v>42556.939254135359</v>
      </c>
      <c r="AN20" s="32">
        <f t="shared" si="4"/>
        <v>41722.489464838574</v>
      </c>
      <c r="AO20" s="32">
        <f t="shared" si="4"/>
        <v>40904.401436116248</v>
      </c>
      <c r="AP20" s="32">
        <f t="shared" si="4"/>
        <v>40102.35434913358</v>
      </c>
      <c r="AQ20" s="32">
        <f t="shared" si="4"/>
        <v>39316.033675621162</v>
      </c>
      <c r="AR20" s="32">
        <f t="shared" si="4"/>
        <v>38545.131054530553</v>
      </c>
      <c r="AS20" s="32">
        <f t="shared" si="4"/>
        <v>37789.34417110838</v>
      </c>
      <c r="AT20" s="32">
        <f t="shared" si="4"/>
        <v>37048.376638341542</v>
      </c>
      <c r="AU20" s="32">
        <f t="shared" si="4"/>
        <v>36321.937880727019</v>
      </c>
      <c r="AV20" s="32">
        <f t="shared" si="5"/>
        <v>35609.743020320595</v>
      </c>
      <c r="AW20" s="32">
        <f t="shared" si="5"/>
        <v>0</v>
      </c>
      <c r="AX20" s="32">
        <f t="shared" si="5"/>
        <v>0</v>
      </c>
      <c r="AY20" s="32">
        <f t="shared" si="5"/>
        <v>0</v>
      </c>
      <c r="AZ20" s="32">
        <f t="shared" si="5"/>
        <v>0</v>
      </c>
      <c r="BA20" s="32">
        <f t="shared" si="5"/>
        <v>0</v>
      </c>
      <c r="BB20" s="32">
        <f t="shared" si="5"/>
        <v>0</v>
      </c>
      <c r="BC20" s="32">
        <f t="shared" si="5"/>
        <v>0</v>
      </c>
      <c r="BD20" s="32">
        <f t="shared" si="5"/>
        <v>0</v>
      </c>
      <c r="BE20" s="32">
        <f t="shared" si="5"/>
        <v>0</v>
      </c>
      <c r="BF20" s="32">
        <f t="shared" si="5"/>
        <v>0</v>
      </c>
    </row>
    <row r="21" spans="3:58" x14ac:dyDescent="0.2">
      <c r="C21" s="8" t="str">
        <v>Canada</v>
      </c>
      <c r="D21" s="56" t="str">
        <v>North America</v>
      </c>
      <c r="E21" s="208">
        <f t="shared" si="0"/>
        <v>753091.02</v>
      </c>
      <c r="F21" s="29">
        <f t="shared" si="6"/>
        <v>16779826.124924306</v>
      </c>
      <c r="H21" s="32">
        <f t="shared" si="1"/>
        <v>753091.02</v>
      </c>
      <c r="I21" s="32">
        <f t="shared" si="1"/>
        <v>738324.5294117647</v>
      </c>
      <c r="J21" s="32">
        <f t="shared" si="1"/>
        <v>723847.57785467128</v>
      </c>
      <c r="K21" s="32">
        <f t="shared" si="1"/>
        <v>709654.48809281504</v>
      </c>
      <c r="L21" s="32">
        <f t="shared" si="1"/>
        <v>695739.69420864212</v>
      </c>
      <c r="M21" s="32">
        <f t="shared" si="1"/>
        <v>682097.73942023737</v>
      </c>
      <c r="N21" s="32">
        <f t="shared" si="1"/>
        <v>668723.27394140919</v>
      </c>
      <c r="O21" s="32">
        <f t="shared" si="1"/>
        <v>655611.05288373469</v>
      </c>
      <c r="P21" s="32">
        <f t="shared" si="1"/>
        <v>642755.93419973983</v>
      </c>
      <c r="Q21" s="32">
        <f t="shared" si="1"/>
        <v>630152.87666641152</v>
      </c>
      <c r="R21" s="32">
        <f t="shared" si="2"/>
        <v>617796.93790824653</v>
      </c>
      <c r="S21" s="32">
        <f t="shared" si="2"/>
        <v>605683.27245906543</v>
      </c>
      <c r="T21" s="32">
        <f t="shared" si="2"/>
        <v>593807.12986182875</v>
      </c>
      <c r="U21" s="32">
        <f t="shared" si="2"/>
        <v>582163.85280571447</v>
      </c>
      <c r="V21" s="32">
        <f t="shared" si="2"/>
        <v>570748.87529971998</v>
      </c>
      <c r="W21" s="32">
        <f t="shared" si="2"/>
        <v>559557.72088207863</v>
      </c>
      <c r="X21" s="32">
        <f t="shared" si="2"/>
        <v>548586.00086478284</v>
      </c>
      <c r="Y21" s="32">
        <f t="shared" si="2"/>
        <v>537829.41261253215</v>
      </c>
      <c r="Z21" s="32">
        <f t="shared" si="2"/>
        <v>527283.73785542371</v>
      </c>
      <c r="AA21" s="32">
        <f t="shared" si="2"/>
        <v>516944.84103472915</v>
      </c>
      <c r="AB21" s="32">
        <f t="shared" si="3"/>
        <v>506808.66768110701</v>
      </c>
      <c r="AC21" s="32">
        <f t="shared" si="3"/>
        <v>496871.24282461475</v>
      </c>
      <c r="AD21" s="32">
        <f t="shared" si="3"/>
        <v>487128.66943589674</v>
      </c>
      <c r="AE21" s="32">
        <f t="shared" si="3"/>
        <v>477577.12689793808</v>
      </c>
      <c r="AF21" s="32">
        <f t="shared" si="3"/>
        <v>468212.86950778239</v>
      </c>
      <c r="AG21" s="32">
        <f t="shared" si="3"/>
        <v>459032.22500762984</v>
      </c>
      <c r="AH21" s="32">
        <f t="shared" si="3"/>
        <v>450031.59314473509</v>
      </c>
      <c r="AI21" s="32">
        <f t="shared" si="3"/>
        <v>441207.44425954425</v>
      </c>
      <c r="AJ21" s="32">
        <f t="shared" si="3"/>
        <v>432556.31790151389</v>
      </c>
      <c r="AK21" s="32">
        <f t="shared" si="3"/>
        <v>424074.82147207251</v>
      </c>
      <c r="AL21" s="32">
        <f t="shared" si="4"/>
        <v>415759.62889418873</v>
      </c>
      <c r="AM21" s="32">
        <f t="shared" si="4"/>
        <v>407607.47930802824</v>
      </c>
      <c r="AN21" s="32">
        <f t="shared" si="4"/>
        <v>399615.17579218448</v>
      </c>
      <c r="AO21" s="32">
        <f t="shared" si="4"/>
        <v>391779.58410998475</v>
      </c>
      <c r="AP21" s="32">
        <f t="shared" si="4"/>
        <v>384097.63148037723</v>
      </c>
      <c r="AQ21" s="32">
        <f t="shared" si="4"/>
        <v>376566.30537291884</v>
      </c>
      <c r="AR21" s="32">
        <f t="shared" si="4"/>
        <v>369182.65232639108</v>
      </c>
      <c r="AS21" s="32">
        <f t="shared" si="4"/>
        <v>361943.77679057943</v>
      </c>
      <c r="AT21" s="32">
        <f t="shared" si="4"/>
        <v>354846.8399907641</v>
      </c>
      <c r="AU21" s="32">
        <f t="shared" si="4"/>
        <v>347889.05881447473</v>
      </c>
      <c r="AV21" s="32">
        <f t="shared" si="5"/>
        <v>341067.7047200732</v>
      </c>
      <c r="AW21" s="32">
        <f t="shared" si="5"/>
        <v>0</v>
      </c>
      <c r="AX21" s="32">
        <f t="shared" si="5"/>
        <v>0</v>
      </c>
      <c r="AY21" s="32">
        <f t="shared" si="5"/>
        <v>0</v>
      </c>
      <c r="AZ21" s="32">
        <f t="shared" si="5"/>
        <v>0</v>
      </c>
      <c r="BA21" s="32">
        <f t="shared" si="5"/>
        <v>0</v>
      </c>
      <c r="BB21" s="32">
        <f t="shared" si="5"/>
        <v>0</v>
      </c>
      <c r="BC21" s="32">
        <f t="shared" si="5"/>
        <v>0</v>
      </c>
      <c r="BD21" s="32">
        <f t="shared" si="5"/>
        <v>0</v>
      </c>
      <c r="BE21" s="32">
        <f t="shared" si="5"/>
        <v>0</v>
      </c>
      <c r="BF21" s="32">
        <f t="shared" si="5"/>
        <v>0</v>
      </c>
    </row>
    <row r="22" spans="3:58" x14ac:dyDescent="0.2">
      <c r="C22" s="8" t="str">
        <v>Chile</v>
      </c>
      <c r="D22" s="56" t="str">
        <v>Latin America &amp; Caribbean</v>
      </c>
      <c r="E22" s="208">
        <f t="shared" si="0"/>
        <v>9123.8000000000011</v>
      </c>
      <c r="F22" s="29">
        <f t="shared" si="6"/>
        <v>203289.87271496665</v>
      </c>
      <c r="H22" s="32">
        <f t="shared" si="1"/>
        <v>9123.8000000000011</v>
      </c>
      <c r="I22" s="32">
        <f t="shared" si="1"/>
        <v>8944.9019607843147</v>
      </c>
      <c r="J22" s="32">
        <f t="shared" si="1"/>
        <v>8769.511726259132</v>
      </c>
      <c r="K22" s="32">
        <f t="shared" si="1"/>
        <v>8597.5605159403258</v>
      </c>
      <c r="L22" s="32">
        <f t="shared" si="1"/>
        <v>8428.9808979807112</v>
      </c>
      <c r="M22" s="32">
        <f t="shared" si="1"/>
        <v>8263.7067627261877</v>
      </c>
      <c r="N22" s="32">
        <f t="shared" si="1"/>
        <v>8101.6732967903799</v>
      </c>
      <c r="O22" s="32">
        <f t="shared" si="1"/>
        <v>7942.8169576376285</v>
      </c>
      <c r="P22" s="32">
        <f t="shared" si="1"/>
        <v>7787.0754486643409</v>
      </c>
      <c r="Q22" s="32">
        <f t="shared" si="1"/>
        <v>7634.3876947689623</v>
      </c>
      <c r="R22" s="32">
        <f t="shared" si="2"/>
        <v>7484.6938184009432</v>
      </c>
      <c r="S22" s="32">
        <f t="shared" si="2"/>
        <v>7337.9351160793567</v>
      </c>
      <c r="T22" s="32">
        <f t="shared" si="2"/>
        <v>7194.0540353719171</v>
      </c>
      <c r="U22" s="32">
        <f t="shared" si="2"/>
        <v>7052.9941523254101</v>
      </c>
      <c r="V22" s="32">
        <f t="shared" si="2"/>
        <v>6914.700149338636</v>
      </c>
      <c r="W22" s="32">
        <f t="shared" si="2"/>
        <v>6779.1177934692532</v>
      </c>
      <c r="X22" s="32">
        <f t="shared" si="2"/>
        <v>6646.1939151659335</v>
      </c>
      <c r="Y22" s="32">
        <f t="shared" si="2"/>
        <v>6515.8763874175811</v>
      </c>
      <c r="Z22" s="32">
        <f t="shared" si="2"/>
        <v>6388.1141053113552</v>
      </c>
      <c r="AA22" s="32">
        <f t="shared" si="2"/>
        <v>6262.8569659915247</v>
      </c>
      <c r="AB22" s="32">
        <f t="shared" si="3"/>
        <v>6140.0558490112981</v>
      </c>
      <c r="AC22" s="32">
        <f t="shared" si="3"/>
        <v>6019.6625970699006</v>
      </c>
      <c r="AD22" s="32">
        <f t="shared" si="3"/>
        <v>5901.6299971273529</v>
      </c>
      <c r="AE22" s="32">
        <f t="shared" si="3"/>
        <v>5785.9117618895625</v>
      </c>
      <c r="AF22" s="32">
        <f t="shared" si="3"/>
        <v>5672.4625116564339</v>
      </c>
      <c r="AG22" s="32">
        <f t="shared" si="3"/>
        <v>5561.2377565259158</v>
      </c>
      <c r="AH22" s="32">
        <f t="shared" si="3"/>
        <v>5452.193878946975</v>
      </c>
      <c r="AI22" s="32">
        <f t="shared" si="3"/>
        <v>5345.2881166146826</v>
      </c>
      <c r="AJ22" s="32">
        <f t="shared" si="3"/>
        <v>5240.4785457006683</v>
      </c>
      <c r="AK22" s="32">
        <f t="shared" si="3"/>
        <v>5137.7240644124204</v>
      </c>
      <c r="AL22" s="32">
        <f t="shared" si="4"/>
        <v>5036.9843768749215</v>
      </c>
      <c r="AM22" s="32">
        <f t="shared" si="4"/>
        <v>4938.2199773283555</v>
      </c>
      <c r="AN22" s="32">
        <f t="shared" si="4"/>
        <v>4841.3921346356419</v>
      </c>
      <c r="AO22" s="32">
        <f t="shared" si="4"/>
        <v>4746.4628770937661</v>
      </c>
      <c r="AP22" s="32">
        <f t="shared" si="4"/>
        <v>4653.3949775429082</v>
      </c>
      <c r="AQ22" s="32">
        <f t="shared" si="4"/>
        <v>4562.1519387675571</v>
      </c>
      <c r="AR22" s="32">
        <f t="shared" si="4"/>
        <v>4472.6979791838803</v>
      </c>
      <c r="AS22" s="32">
        <f t="shared" si="4"/>
        <v>4384.9980188077252</v>
      </c>
      <c r="AT22" s="32">
        <f t="shared" si="4"/>
        <v>4299.0176654977695</v>
      </c>
      <c r="AU22" s="32">
        <f t="shared" si="4"/>
        <v>4214.7232014684032</v>
      </c>
      <c r="AV22" s="32">
        <f t="shared" si="5"/>
        <v>4132.081570067061</v>
      </c>
      <c r="AW22" s="32">
        <f t="shared" si="5"/>
        <v>0</v>
      </c>
      <c r="AX22" s="32">
        <f t="shared" si="5"/>
        <v>0</v>
      </c>
      <c r="AY22" s="32">
        <f t="shared" si="5"/>
        <v>0</v>
      </c>
      <c r="AZ22" s="32">
        <f t="shared" si="5"/>
        <v>0</v>
      </c>
      <c r="BA22" s="32">
        <f t="shared" si="5"/>
        <v>0</v>
      </c>
      <c r="BB22" s="32">
        <f t="shared" si="5"/>
        <v>0</v>
      </c>
      <c r="BC22" s="32">
        <f t="shared" si="5"/>
        <v>0</v>
      </c>
      <c r="BD22" s="32">
        <f t="shared" si="5"/>
        <v>0</v>
      </c>
      <c r="BE22" s="32">
        <f t="shared" si="5"/>
        <v>0</v>
      </c>
      <c r="BF22" s="32">
        <f t="shared" si="5"/>
        <v>0</v>
      </c>
    </row>
    <row r="23" spans="3:58" x14ac:dyDescent="0.2">
      <c r="C23" s="8" t="str">
        <v>China</v>
      </c>
      <c r="D23" s="56" t="str">
        <v>East Asia &amp; Pacific</v>
      </c>
      <c r="E23" s="208">
        <f t="shared" si="0"/>
        <v>117892282.5984</v>
      </c>
      <c r="F23" s="29">
        <f t="shared" si="6"/>
        <v>2626790057.1588163</v>
      </c>
      <c r="H23" s="32">
        <f t="shared" ref="H23:Q32" si="7">IFERROR(IF(H$11&lt;=$F$3,$E23/(1+$I$3)^H$11,0),"No value")</f>
        <v>117892282.5984</v>
      </c>
      <c r="I23" s="32">
        <f t="shared" si="7"/>
        <v>115580669.21411765</v>
      </c>
      <c r="J23" s="32">
        <f t="shared" si="7"/>
        <v>113314381.58246829</v>
      </c>
      <c r="K23" s="32">
        <f t="shared" si="7"/>
        <v>111092530.96320421</v>
      </c>
      <c r="L23" s="32">
        <f t="shared" si="7"/>
        <v>108914246.04235706</v>
      </c>
      <c r="M23" s="32">
        <f t="shared" si="7"/>
        <v>106778672.59054613</v>
      </c>
      <c r="N23" s="32">
        <f t="shared" si="7"/>
        <v>104684973.1279864</v>
      </c>
      <c r="O23" s="32">
        <f t="shared" si="7"/>
        <v>102632326.59606512</v>
      </c>
      <c r="P23" s="32">
        <f t="shared" si="7"/>
        <v>100619928.03535795</v>
      </c>
      <c r="Q23" s="32">
        <f t="shared" si="7"/>
        <v>98646988.269958779</v>
      </c>
      <c r="R23" s="32">
        <f t="shared" ref="R23:AA32" si="8">IFERROR(IF(R$11&lt;=$F$3,$E23/(1+$I$3)^R$11,0),"No value")</f>
        <v>96712733.597998798</v>
      </c>
      <c r="S23" s="32">
        <f t="shared" si="8"/>
        <v>94816405.488234133</v>
      </c>
      <c r="T23" s="32">
        <f t="shared" si="8"/>
        <v>92957260.282582462</v>
      </c>
      <c r="U23" s="32">
        <f t="shared" si="8"/>
        <v>91134568.904492617</v>
      </c>
      <c r="V23" s="32">
        <f t="shared" si="8"/>
        <v>89347616.573031962</v>
      </c>
      <c r="W23" s="32">
        <f t="shared" si="8"/>
        <v>87595702.522580385</v>
      </c>
      <c r="X23" s="32">
        <f t="shared" si="8"/>
        <v>85878139.728019968</v>
      </c>
      <c r="Y23" s="32">
        <f t="shared" si="8"/>
        <v>84194254.63531369</v>
      </c>
      <c r="Z23" s="32">
        <f t="shared" si="8"/>
        <v>82543386.897366375</v>
      </c>
      <c r="AA23" s="32">
        <f t="shared" si="8"/>
        <v>80924889.115065068</v>
      </c>
      <c r="AB23" s="32">
        <f t="shared" ref="AB23:AK32" si="9">IFERROR(IF(AB$11&lt;=$F$3,$E23/(1+$I$3)^AB$11,0),"No value")</f>
        <v>79338126.58339712</v>
      </c>
      <c r="AC23" s="32">
        <f t="shared" si="9"/>
        <v>77782477.042546198</v>
      </c>
      <c r="AD23" s="32">
        <f t="shared" si="9"/>
        <v>76257330.433868825</v>
      </c>
      <c r="AE23" s="32">
        <f t="shared" si="9"/>
        <v>74762088.660655722</v>
      </c>
      <c r="AF23" s="32">
        <f t="shared" si="9"/>
        <v>73296165.353584036</v>
      </c>
      <c r="AG23" s="32">
        <f t="shared" si="9"/>
        <v>71858985.640768662</v>
      </c>
      <c r="AH23" s="32">
        <f t="shared" si="9"/>
        <v>70449985.922322214</v>
      </c>
      <c r="AI23" s="32">
        <f t="shared" si="9"/>
        <v>69068613.649335518</v>
      </c>
      <c r="AJ23" s="32">
        <f t="shared" si="9"/>
        <v>67714327.107191667</v>
      </c>
      <c r="AK23" s="32">
        <f t="shared" si="9"/>
        <v>66386595.203129098</v>
      </c>
      <c r="AL23" s="32">
        <f t="shared" ref="AL23:AU32" si="10">IFERROR(IF(AL$11&lt;=$F$3,$E23/(1+$I$3)^AL$11,0),"No value")</f>
        <v>65084897.2579697</v>
      </c>
      <c r="AM23" s="32">
        <f t="shared" si="10"/>
        <v>63808722.801931091</v>
      </c>
      <c r="AN23" s="32">
        <f t="shared" si="10"/>
        <v>62557571.374442235</v>
      </c>
      <c r="AO23" s="32">
        <f t="shared" si="10"/>
        <v>61330952.32788454</v>
      </c>
      <c r="AP23" s="32">
        <f t="shared" si="10"/>
        <v>60128384.635180928</v>
      </c>
      <c r="AQ23" s="32">
        <f t="shared" si="10"/>
        <v>58949396.701157771</v>
      </c>
      <c r="AR23" s="32">
        <f t="shared" si="10"/>
        <v>57793526.177605659</v>
      </c>
      <c r="AS23" s="32">
        <f t="shared" si="10"/>
        <v>56660319.781966329</v>
      </c>
      <c r="AT23" s="32">
        <f t="shared" si="10"/>
        <v>55549333.119574822</v>
      </c>
      <c r="AU23" s="32">
        <f t="shared" si="10"/>
        <v>54460130.509387106</v>
      </c>
      <c r="AV23" s="32">
        <f t="shared" ref="AV23:BF32" si="11">IFERROR(IF(AV$11&lt;=$F$3,$E23/(1+$I$3)^AV$11,0),"No value")</f>
        <v>53392284.813124597</v>
      </c>
      <c r="AW23" s="32">
        <f t="shared" si="11"/>
        <v>0</v>
      </c>
      <c r="AX23" s="32">
        <f t="shared" si="11"/>
        <v>0</v>
      </c>
      <c r="AY23" s="32">
        <f t="shared" si="11"/>
        <v>0</v>
      </c>
      <c r="AZ23" s="32">
        <f t="shared" si="11"/>
        <v>0</v>
      </c>
      <c r="BA23" s="32">
        <f t="shared" si="11"/>
        <v>0</v>
      </c>
      <c r="BB23" s="32">
        <f t="shared" si="11"/>
        <v>0</v>
      </c>
      <c r="BC23" s="32">
        <f t="shared" si="11"/>
        <v>0</v>
      </c>
      <c r="BD23" s="32">
        <f t="shared" si="11"/>
        <v>0</v>
      </c>
      <c r="BE23" s="32">
        <f t="shared" si="11"/>
        <v>0</v>
      </c>
      <c r="BF23" s="32">
        <f t="shared" si="11"/>
        <v>0</v>
      </c>
    </row>
    <row r="24" spans="3:58" x14ac:dyDescent="0.2">
      <c r="C24" s="8" t="str">
        <v>Colombia</v>
      </c>
      <c r="D24" s="56" t="str">
        <v>Latin America &amp; Caribbean</v>
      </c>
      <c r="E24" s="208">
        <f t="shared" si="0"/>
        <v>607506</v>
      </c>
      <c r="F24" s="29">
        <f t="shared" si="6"/>
        <v>13536006.643457608</v>
      </c>
      <c r="H24" s="32">
        <f t="shared" si="7"/>
        <v>607506</v>
      </c>
      <c r="I24" s="32">
        <f t="shared" si="7"/>
        <v>595594.1176470588</v>
      </c>
      <c r="J24" s="32">
        <f t="shared" si="7"/>
        <v>583915.80161476356</v>
      </c>
      <c r="K24" s="32">
        <f t="shared" si="7"/>
        <v>572466.47217133688</v>
      </c>
      <c r="L24" s="32">
        <f t="shared" si="7"/>
        <v>561241.63938366354</v>
      </c>
      <c r="M24" s="32">
        <f t="shared" si="7"/>
        <v>550236.90135653294</v>
      </c>
      <c r="N24" s="32">
        <f t="shared" si="7"/>
        <v>539447.94250640471</v>
      </c>
      <c r="O24" s="32">
        <f t="shared" si="7"/>
        <v>528870.53186902439</v>
      </c>
      <c r="P24" s="32">
        <f t="shared" si="7"/>
        <v>518500.52144021995</v>
      </c>
      <c r="Q24" s="32">
        <f t="shared" si="7"/>
        <v>508333.84454923525</v>
      </c>
      <c r="R24" s="32">
        <f t="shared" si="8"/>
        <v>498366.51426395611</v>
      </c>
      <c r="S24" s="32">
        <f t="shared" si="8"/>
        <v>488594.62182740803</v>
      </c>
      <c r="T24" s="32">
        <f t="shared" si="8"/>
        <v>479014.33512490976</v>
      </c>
      <c r="U24" s="32">
        <f t="shared" si="8"/>
        <v>469621.89718128409</v>
      </c>
      <c r="V24" s="32">
        <f t="shared" si="8"/>
        <v>460413.62468753336</v>
      </c>
      <c r="W24" s="32">
        <f t="shared" si="8"/>
        <v>451385.90655640542</v>
      </c>
      <c r="X24" s="32">
        <f t="shared" si="8"/>
        <v>442535.20250627975</v>
      </c>
      <c r="Y24" s="32">
        <f t="shared" si="8"/>
        <v>433858.04167282325</v>
      </c>
      <c r="Z24" s="32">
        <f t="shared" si="8"/>
        <v>425351.02124786598</v>
      </c>
      <c r="AA24" s="32">
        <f t="shared" si="8"/>
        <v>417010.80514496664</v>
      </c>
      <c r="AB24" s="32">
        <f t="shared" si="9"/>
        <v>408834.12269114371</v>
      </c>
      <c r="AC24" s="32">
        <f t="shared" si="9"/>
        <v>400817.76734425861</v>
      </c>
      <c r="AD24" s="32">
        <f t="shared" si="9"/>
        <v>392958.59543554758</v>
      </c>
      <c r="AE24" s="32">
        <f t="shared" si="9"/>
        <v>385253.52493681147</v>
      </c>
      <c r="AF24" s="32">
        <f t="shared" si="9"/>
        <v>377699.53425177594</v>
      </c>
      <c r="AG24" s="32">
        <f t="shared" si="9"/>
        <v>370293.66103115288</v>
      </c>
      <c r="AH24" s="32">
        <f t="shared" si="9"/>
        <v>363033.00101093412</v>
      </c>
      <c r="AI24" s="32">
        <f t="shared" si="9"/>
        <v>355914.70687346492</v>
      </c>
      <c r="AJ24" s="32">
        <f t="shared" si="9"/>
        <v>348935.98713084788</v>
      </c>
      <c r="AK24" s="32">
        <f t="shared" si="9"/>
        <v>342094.10503024305</v>
      </c>
      <c r="AL24" s="32">
        <f t="shared" si="10"/>
        <v>335386.37748063041</v>
      </c>
      <c r="AM24" s="32">
        <f t="shared" si="10"/>
        <v>328810.17400061816</v>
      </c>
      <c r="AN24" s="32">
        <f t="shared" si="10"/>
        <v>322362.91568688047</v>
      </c>
      <c r="AO24" s="32">
        <f t="shared" si="10"/>
        <v>316042.07420282398</v>
      </c>
      <c r="AP24" s="32">
        <f t="shared" si="10"/>
        <v>309845.17078708234</v>
      </c>
      <c r="AQ24" s="32">
        <f t="shared" si="10"/>
        <v>303769.77528145327</v>
      </c>
      <c r="AR24" s="32">
        <f t="shared" si="10"/>
        <v>297813.50517789542</v>
      </c>
      <c r="AS24" s="32">
        <f t="shared" si="10"/>
        <v>291974.02468421112</v>
      </c>
      <c r="AT24" s="32">
        <f t="shared" si="10"/>
        <v>286249.0438080501</v>
      </c>
      <c r="AU24" s="32">
        <f t="shared" si="10"/>
        <v>280636.31745887274</v>
      </c>
      <c r="AV24" s="32">
        <f t="shared" si="11"/>
        <v>275133.64456752222</v>
      </c>
      <c r="AW24" s="32">
        <f t="shared" si="11"/>
        <v>0</v>
      </c>
      <c r="AX24" s="32">
        <f t="shared" si="11"/>
        <v>0</v>
      </c>
      <c r="AY24" s="32">
        <f t="shared" si="11"/>
        <v>0</v>
      </c>
      <c r="AZ24" s="32">
        <f t="shared" si="11"/>
        <v>0</v>
      </c>
      <c r="BA24" s="32">
        <f t="shared" si="11"/>
        <v>0</v>
      </c>
      <c r="BB24" s="32">
        <f t="shared" si="11"/>
        <v>0</v>
      </c>
      <c r="BC24" s="32">
        <f t="shared" si="11"/>
        <v>0</v>
      </c>
      <c r="BD24" s="32">
        <f t="shared" si="11"/>
        <v>0</v>
      </c>
      <c r="BE24" s="32">
        <f t="shared" si="11"/>
        <v>0</v>
      </c>
      <c r="BF24" s="32">
        <f t="shared" si="11"/>
        <v>0</v>
      </c>
    </row>
    <row r="25" spans="3:58" x14ac:dyDescent="0.2">
      <c r="C25" s="8" t="str">
        <v>Costa Rica</v>
      </c>
      <c r="D25" s="56" t="str">
        <v>Latin America &amp; Caribbean</v>
      </c>
      <c r="E25" s="208">
        <f t="shared" si="0"/>
        <v>73000</v>
      </c>
      <c r="F25" s="29">
        <f t="shared" si="6"/>
        <v>1626532.8819343431</v>
      </c>
      <c r="H25" s="32">
        <f t="shared" si="7"/>
        <v>73000</v>
      </c>
      <c r="I25" s="32">
        <f t="shared" si="7"/>
        <v>71568.627450980392</v>
      </c>
      <c r="J25" s="32">
        <f t="shared" si="7"/>
        <v>70165.321030372928</v>
      </c>
      <c r="K25" s="32">
        <f t="shared" si="7"/>
        <v>68789.530421934251</v>
      </c>
      <c r="L25" s="32">
        <f t="shared" si="7"/>
        <v>67440.71609993554</v>
      </c>
      <c r="M25" s="32">
        <f t="shared" si="7"/>
        <v>66118.349117583857</v>
      </c>
      <c r="N25" s="32">
        <f t="shared" si="7"/>
        <v>64821.910899592018</v>
      </c>
      <c r="O25" s="32">
        <f t="shared" si="7"/>
        <v>63550.893038815717</v>
      </c>
      <c r="P25" s="32">
        <f t="shared" si="7"/>
        <v>62304.797096878145</v>
      </c>
      <c r="Q25" s="32">
        <f t="shared" si="7"/>
        <v>61083.134408704063</v>
      </c>
      <c r="R25" s="32">
        <f t="shared" si="8"/>
        <v>59885.425890886334</v>
      </c>
      <c r="S25" s="32">
        <f t="shared" si="8"/>
        <v>58711.201853810147</v>
      </c>
      <c r="T25" s="32">
        <f t="shared" si="8"/>
        <v>57560.001817460914</v>
      </c>
      <c r="U25" s="32">
        <f t="shared" si="8"/>
        <v>56431.374330844039</v>
      </c>
      <c r="V25" s="32">
        <f t="shared" si="8"/>
        <v>55324.876794945128</v>
      </c>
      <c r="W25" s="32">
        <f t="shared" si="8"/>
        <v>54240.075289161905</v>
      </c>
      <c r="X25" s="32">
        <f t="shared" si="8"/>
        <v>53176.544401139116</v>
      </c>
      <c r="Y25" s="32">
        <f t="shared" si="8"/>
        <v>52133.867059940305</v>
      </c>
      <c r="Z25" s="32">
        <f t="shared" si="8"/>
        <v>51111.634372490502</v>
      </c>
      <c r="AA25" s="32">
        <f t="shared" si="8"/>
        <v>50109.44546322598</v>
      </c>
      <c r="AB25" s="32">
        <f t="shared" si="9"/>
        <v>49126.907316888217</v>
      </c>
      <c r="AC25" s="32">
        <f t="shared" si="9"/>
        <v>48163.634624400212</v>
      </c>
      <c r="AD25" s="32">
        <f t="shared" si="9"/>
        <v>47219.249631764913</v>
      </c>
      <c r="AE25" s="32">
        <f t="shared" si="9"/>
        <v>46293.381991926391</v>
      </c>
      <c r="AF25" s="32">
        <f t="shared" si="9"/>
        <v>45385.668619535682</v>
      </c>
      <c r="AG25" s="32">
        <f t="shared" si="9"/>
        <v>44495.753548564389</v>
      </c>
      <c r="AH25" s="32">
        <f t="shared" si="9"/>
        <v>43623.28779271018</v>
      </c>
      <c r="AI25" s="32">
        <f t="shared" si="9"/>
        <v>42767.929208539404</v>
      </c>
      <c r="AJ25" s="32">
        <f t="shared" si="9"/>
        <v>41929.342361313131</v>
      </c>
      <c r="AK25" s="32">
        <f t="shared" si="9"/>
        <v>41107.198393444254</v>
      </c>
      <c r="AL25" s="32">
        <f t="shared" si="10"/>
        <v>40301.174895533579</v>
      </c>
      <c r="AM25" s="32">
        <f t="shared" si="10"/>
        <v>39510.955779934891</v>
      </c>
      <c r="AN25" s="32">
        <f t="shared" si="10"/>
        <v>38736.231156798902</v>
      </c>
      <c r="AO25" s="32">
        <f t="shared" si="10"/>
        <v>37976.697212547937</v>
      </c>
      <c r="AP25" s="32">
        <f t="shared" si="10"/>
        <v>37232.056090733277</v>
      </c>
      <c r="AQ25" s="32">
        <f t="shared" si="10"/>
        <v>36502.015775228705</v>
      </c>
      <c r="AR25" s="32">
        <f t="shared" si="10"/>
        <v>35786.289975714419</v>
      </c>
      <c r="AS25" s="32">
        <f t="shared" si="10"/>
        <v>35084.598015406285</v>
      </c>
      <c r="AT25" s="32">
        <f t="shared" si="10"/>
        <v>34396.664720986555</v>
      </c>
      <c r="AU25" s="32">
        <f t="shared" si="10"/>
        <v>33722.220314692713</v>
      </c>
      <c r="AV25" s="32">
        <f t="shared" si="11"/>
        <v>33061.000308522256</v>
      </c>
      <c r="AW25" s="32">
        <f t="shared" si="11"/>
        <v>0</v>
      </c>
      <c r="AX25" s="32">
        <f t="shared" si="11"/>
        <v>0</v>
      </c>
      <c r="AY25" s="32">
        <f t="shared" si="11"/>
        <v>0</v>
      </c>
      <c r="AZ25" s="32">
        <f t="shared" si="11"/>
        <v>0</v>
      </c>
      <c r="BA25" s="32">
        <f t="shared" si="11"/>
        <v>0</v>
      </c>
      <c r="BB25" s="32">
        <f t="shared" si="11"/>
        <v>0</v>
      </c>
      <c r="BC25" s="32">
        <f t="shared" si="11"/>
        <v>0</v>
      </c>
      <c r="BD25" s="32">
        <f t="shared" si="11"/>
        <v>0</v>
      </c>
      <c r="BE25" s="32">
        <f t="shared" si="11"/>
        <v>0</v>
      </c>
      <c r="BF25" s="32">
        <f t="shared" si="11"/>
        <v>0</v>
      </c>
    </row>
    <row r="26" spans="3:58" x14ac:dyDescent="0.2">
      <c r="C26" s="8" t="str">
        <v>Czechia</v>
      </c>
      <c r="D26" s="56" t="str">
        <v>Europe &amp; Central Asia</v>
      </c>
      <c r="E26" s="208">
        <f t="shared" si="0"/>
        <v>943202.27560000005</v>
      </c>
      <c r="F26" s="29">
        <f t="shared" si="6"/>
        <v>21015746.788749315</v>
      </c>
      <c r="H26" s="32">
        <f t="shared" si="7"/>
        <v>943202.27560000005</v>
      </c>
      <c r="I26" s="32">
        <f t="shared" si="7"/>
        <v>924708.1133333334</v>
      </c>
      <c r="J26" s="32">
        <f t="shared" si="7"/>
        <v>906576.58169934643</v>
      </c>
      <c r="K26" s="32">
        <f t="shared" si="7"/>
        <v>888800.57029347692</v>
      </c>
      <c r="L26" s="32">
        <f t="shared" si="7"/>
        <v>871373.10813085979</v>
      </c>
      <c r="M26" s="32">
        <f t="shared" si="7"/>
        <v>854287.36091260752</v>
      </c>
      <c r="N26" s="32">
        <f t="shared" si="7"/>
        <v>837536.62834569369</v>
      </c>
      <c r="O26" s="32">
        <f t="shared" si="7"/>
        <v>821114.34151538613</v>
      </c>
      <c r="P26" s="32">
        <f t="shared" si="7"/>
        <v>805014.06030920194</v>
      </c>
      <c r="Q26" s="32">
        <f t="shared" si="7"/>
        <v>789229.47089137451</v>
      </c>
      <c r="R26" s="32">
        <f t="shared" si="8"/>
        <v>773754.38322683773</v>
      </c>
      <c r="S26" s="32">
        <f t="shared" si="8"/>
        <v>758582.72865376261</v>
      </c>
      <c r="T26" s="32">
        <f t="shared" si="8"/>
        <v>743708.55750368873</v>
      </c>
      <c r="U26" s="32">
        <f t="shared" si="8"/>
        <v>729126.03676832234</v>
      </c>
      <c r="V26" s="32">
        <f t="shared" si="8"/>
        <v>714829.44781208062</v>
      </c>
      <c r="W26" s="32">
        <f t="shared" si="8"/>
        <v>700813.18412949098</v>
      </c>
      <c r="X26" s="32">
        <f t="shared" si="8"/>
        <v>687071.74914655962</v>
      </c>
      <c r="Y26" s="32">
        <f t="shared" si="8"/>
        <v>673599.75406525459</v>
      </c>
      <c r="Z26" s="32">
        <f t="shared" si="8"/>
        <v>660391.91575024964</v>
      </c>
      <c r="AA26" s="32">
        <f t="shared" si="8"/>
        <v>647443.05465710745</v>
      </c>
      <c r="AB26" s="32">
        <f t="shared" si="9"/>
        <v>634748.09280108567</v>
      </c>
      <c r="AC26" s="32">
        <f t="shared" si="9"/>
        <v>622302.0517657703</v>
      </c>
      <c r="AD26" s="32">
        <f t="shared" si="9"/>
        <v>610100.05075075524</v>
      </c>
      <c r="AE26" s="32">
        <f t="shared" si="9"/>
        <v>598137.30465760326</v>
      </c>
      <c r="AF26" s="32">
        <f t="shared" si="9"/>
        <v>586409.12221333652</v>
      </c>
      <c r="AG26" s="32">
        <f t="shared" si="9"/>
        <v>574910.90413072205</v>
      </c>
      <c r="AH26" s="32">
        <f t="shared" si="9"/>
        <v>563638.14130462939</v>
      </c>
      <c r="AI26" s="32">
        <f t="shared" si="9"/>
        <v>552586.41304375441</v>
      </c>
      <c r="AJ26" s="32">
        <f t="shared" si="9"/>
        <v>541751.38533701398</v>
      </c>
      <c r="AK26" s="32">
        <f t="shared" si="9"/>
        <v>531128.80915393541</v>
      </c>
      <c r="AL26" s="32">
        <f t="shared" si="10"/>
        <v>520714.51877836802</v>
      </c>
      <c r="AM26" s="32">
        <f t="shared" si="10"/>
        <v>510504.43017487071</v>
      </c>
      <c r="AN26" s="32">
        <f t="shared" si="10"/>
        <v>500494.53938712802</v>
      </c>
      <c r="AO26" s="32">
        <f t="shared" si="10"/>
        <v>490680.92096777254</v>
      </c>
      <c r="AP26" s="32">
        <f t="shared" si="10"/>
        <v>481059.72643899271</v>
      </c>
      <c r="AQ26" s="32">
        <f t="shared" si="10"/>
        <v>471627.18278332625</v>
      </c>
      <c r="AR26" s="32">
        <f t="shared" si="10"/>
        <v>462379.59096404538</v>
      </c>
      <c r="AS26" s="32">
        <f t="shared" si="10"/>
        <v>453313.32447455422</v>
      </c>
      <c r="AT26" s="32">
        <f t="shared" si="10"/>
        <v>444424.82791622955</v>
      </c>
      <c r="AU26" s="32">
        <f t="shared" si="10"/>
        <v>435710.61560414679</v>
      </c>
      <c r="AV26" s="32">
        <f t="shared" si="11"/>
        <v>427167.2702001438</v>
      </c>
      <c r="AW26" s="32">
        <f t="shared" si="11"/>
        <v>0</v>
      </c>
      <c r="AX26" s="32">
        <f t="shared" si="11"/>
        <v>0</v>
      </c>
      <c r="AY26" s="32">
        <f t="shared" si="11"/>
        <v>0</v>
      </c>
      <c r="AZ26" s="32">
        <f t="shared" si="11"/>
        <v>0</v>
      </c>
      <c r="BA26" s="32">
        <f t="shared" si="11"/>
        <v>0</v>
      </c>
      <c r="BB26" s="32">
        <f t="shared" si="11"/>
        <v>0</v>
      </c>
      <c r="BC26" s="32">
        <f t="shared" si="11"/>
        <v>0</v>
      </c>
      <c r="BD26" s="32">
        <f t="shared" si="11"/>
        <v>0</v>
      </c>
      <c r="BE26" s="32">
        <f t="shared" si="11"/>
        <v>0</v>
      </c>
      <c r="BF26" s="32">
        <f t="shared" si="11"/>
        <v>0</v>
      </c>
    </row>
    <row r="27" spans="3:58" x14ac:dyDescent="0.2">
      <c r="C27" s="8" t="str">
        <v>Denmark</v>
      </c>
      <c r="D27" s="56" t="str">
        <v>Europe &amp; Central Asia</v>
      </c>
      <c r="E27" s="208">
        <f t="shared" si="0"/>
        <v>2582620.4851500001</v>
      </c>
      <c r="F27" s="29">
        <f t="shared" si="6"/>
        <v>57544070.419913724</v>
      </c>
      <c r="H27" s="32">
        <f t="shared" si="7"/>
        <v>2582620.4851500001</v>
      </c>
      <c r="I27" s="32">
        <f t="shared" si="7"/>
        <v>2531980.8677941179</v>
      </c>
      <c r="J27" s="32">
        <f t="shared" si="7"/>
        <v>2482334.1841118801</v>
      </c>
      <c r="K27" s="32">
        <f t="shared" si="7"/>
        <v>2433660.9648155691</v>
      </c>
      <c r="L27" s="32">
        <f t="shared" si="7"/>
        <v>2385942.1223682049</v>
      </c>
      <c r="M27" s="32">
        <f t="shared" si="7"/>
        <v>2339158.9434982399</v>
      </c>
      <c r="N27" s="32">
        <f t="shared" si="7"/>
        <v>2293293.0818610191</v>
      </c>
      <c r="O27" s="32">
        <f t="shared" si="7"/>
        <v>2248326.5508441371</v>
      </c>
      <c r="P27" s="32">
        <f t="shared" si="7"/>
        <v>2204241.7165138596</v>
      </c>
      <c r="Q27" s="32">
        <f t="shared" si="7"/>
        <v>2161021.2906998624</v>
      </c>
      <c r="R27" s="32">
        <f t="shared" si="8"/>
        <v>2118648.3242155514</v>
      </c>
      <c r="S27" s="32">
        <f t="shared" si="8"/>
        <v>2077106.2002113252</v>
      </c>
      <c r="T27" s="32">
        <f t="shared" si="8"/>
        <v>2036378.6276581616</v>
      </c>
      <c r="U27" s="32">
        <f t="shared" si="8"/>
        <v>1996449.634958982</v>
      </c>
      <c r="V27" s="32">
        <f t="shared" si="8"/>
        <v>1957303.5636852763</v>
      </c>
      <c r="W27" s="32">
        <f t="shared" si="8"/>
        <v>1918925.062436546</v>
      </c>
      <c r="X27" s="32">
        <f t="shared" si="8"/>
        <v>1881299.0808201428</v>
      </c>
      <c r="Y27" s="32">
        <f t="shared" si="8"/>
        <v>1844410.8635491594</v>
      </c>
      <c r="Z27" s="32">
        <f t="shared" si="8"/>
        <v>1808245.9446560389</v>
      </c>
      <c r="AA27" s="32">
        <f t="shared" si="8"/>
        <v>1772790.1418196461</v>
      </c>
      <c r="AB27" s="32">
        <f t="shared" si="9"/>
        <v>1738029.5508035743</v>
      </c>
      <c r="AC27" s="32">
        <f t="shared" si="9"/>
        <v>1703950.5400035044</v>
      </c>
      <c r="AD27" s="32">
        <f t="shared" si="9"/>
        <v>1670539.7451014749</v>
      </c>
      <c r="AE27" s="32">
        <f t="shared" si="9"/>
        <v>1637784.0638249756</v>
      </c>
      <c r="AF27" s="32">
        <f t="shared" si="9"/>
        <v>1605670.6508087995</v>
      </c>
      <c r="AG27" s="32">
        <f t="shared" si="9"/>
        <v>1574186.9125576466</v>
      </c>
      <c r="AH27" s="32">
        <f t="shared" si="9"/>
        <v>1543320.5025074966</v>
      </c>
      <c r="AI27" s="32">
        <f t="shared" si="9"/>
        <v>1513059.3161838204</v>
      </c>
      <c r="AJ27" s="32">
        <f t="shared" si="9"/>
        <v>1483391.4864547255</v>
      </c>
      <c r="AK27" s="32">
        <f t="shared" si="9"/>
        <v>1454305.3788771823</v>
      </c>
      <c r="AL27" s="32">
        <f t="shared" si="10"/>
        <v>1425789.5871344921</v>
      </c>
      <c r="AM27" s="32">
        <f t="shared" si="10"/>
        <v>1397832.9285632279</v>
      </c>
      <c r="AN27" s="32">
        <f t="shared" si="10"/>
        <v>1370424.4397678704</v>
      </c>
      <c r="AO27" s="32">
        <f t="shared" si="10"/>
        <v>1343553.3723214413</v>
      </c>
      <c r="AP27" s="32">
        <f t="shared" si="10"/>
        <v>1317209.1885504329</v>
      </c>
      <c r="AQ27" s="32">
        <f t="shared" si="10"/>
        <v>1291381.5574023852</v>
      </c>
      <c r="AR27" s="32">
        <f t="shared" si="10"/>
        <v>1266060.3503944953</v>
      </c>
      <c r="AS27" s="32">
        <f t="shared" si="10"/>
        <v>1241235.6376416618</v>
      </c>
      <c r="AT27" s="32">
        <f t="shared" si="10"/>
        <v>1216897.6839624136</v>
      </c>
      <c r="AU27" s="32">
        <f t="shared" si="10"/>
        <v>1193036.9450611901</v>
      </c>
      <c r="AV27" s="32">
        <f t="shared" si="11"/>
        <v>1169644.0637854803</v>
      </c>
      <c r="AW27" s="32">
        <f t="shared" si="11"/>
        <v>0</v>
      </c>
      <c r="AX27" s="32">
        <f t="shared" si="11"/>
        <v>0</v>
      </c>
      <c r="AY27" s="32">
        <f t="shared" si="11"/>
        <v>0</v>
      </c>
      <c r="AZ27" s="32">
        <f t="shared" si="11"/>
        <v>0</v>
      </c>
      <c r="BA27" s="32">
        <f t="shared" si="11"/>
        <v>0</v>
      </c>
      <c r="BB27" s="32">
        <f t="shared" si="11"/>
        <v>0</v>
      </c>
      <c r="BC27" s="32">
        <f t="shared" si="11"/>
        <v>0</v>
      </c>
      <c r="BD27" s="32">
        <f t="shared" si="11"/>
        <v>0</v>
      </c>
      <c r="BE27" s="32">
        <f t="shared" si="11"/>
        <v>0</v>
      </c>
      <c r="BF27" s="32">
        <f t="shared" si="11"/>
        <v>0</v>
      </c>
    </row>
    <row r="28" spans="3:58" x14ac:dyDescent="0.2">
      <c r="C28" s="8" t="str">
        <v>Dominican Republic</v>
      </c>
      <c r="D28" s="56" t="str">
        <v>Latin America &amp; Caribbean</v>
      </c>
      <c r="E28" s="208">
        <f t="shared" si="0"/>
        <v>203195.5</v>
      </c>
      <c r="F28" s="29">
        <f t="shared" si="6"/>
        <v>4527454.2768642465</v>
      </c>
      <c r="H28" s="32">
        <f t="shared" si="7"/>
        <v>203195.5</v>
      </c>
      <c r="I28" s="32">
        <f t="shared" si="7"/>
        <v>199211.27450980392</v>
      </c>
      <c r="J28" s="32">
        <f t="shared" si="7"/>
        <v>195305.17108804308</v>
      </c>
      <c r="K28" s="32">
        <f t="shared" si="7"/>
        <v>191475.657929454</v>
      </c>
      <c r="L28" s="32">
        <f t="shared" si="7"/>
        <v>187721.23326417059</v>
      </c>
      <c r="M28" s="32">
        <f t="shared" si="7"/>
        <v>184040.42476879468</v>
      </c>
      <c r="N28" s="32">
        <f t="shared" si="7"/>
        <v>180431.78898901437</v>
      </c>
      <c r="O28" s="32">
        <f t="shared" si="7"/>
        <v>176893.91077354355</v>
      </c>
      <c r="P28" s="32">
        <f t="shared" si="7"/>
        <v>173425.40271916031</v>
      </c>
      <c r="Q28" s="32">
        <f t="shared" si="7"/>
        <v>170024.90462662777</v>
      </c>
      <c r="R28" s="32">
        <f t="shared" si="8"/>
        <v>166691.08296728213</v>
      </c>
      <c r="S28" s="32">
        <f t="shared" si="8"/>
        <v>163422.63036008054</v>
      </c>
      <c r="T28" s="32">
        <f t="shared" si="8"/>
        <v>160218.26505890247</v>
      </c>
      <c r="U28" s="32">
        <f t="shared" si="8"/>
        <v>157076.7304499044</v>
      </c>
      <c r="V28" s="32">
        <f t="shared" si="8"/>
        <v>153996.79455872977</v>
      </c>
      <c r="W28" s="32">
        <f t="shared" si="8"/>
        <v>150977.24956738218</v>
      </c>
      <c r="X28" s="32">
        <f t="shared" si="8"/>
        <v>148016.91134057072</v>
      </c>
      <c r="Y28" s="32">
        <f t="shared" si="8"/>
        <v>145114.61896134383</v>
      </c>
      <c r="Z28" s="32">
        <f t="shared" si="8"/>
        <v>142269.2342758273</v>
      </c>
      <c r="AA28" s="32">
        <f t="shared" si="8"/>
        <v>139479.64144688952</v>
      </c>
      <c r="AB28" s="32">
        <f t="shared" si="9"/>
        <v>136744.74651655834</v>
      </c>
      <c r="AC28" s="32">
        <f t="shared" si="9"/>
        <v>134063.476977018</v>
      </c>
      <c r="AD28" s="32">
        <f t="shared" si="9"/>
        <v>131434.78135001764</v>
      </c>
      <c r="AE28" s="32">
        <f t="shared" si="9"/>
        <v>128857.62877452711</v>
      </c>
      <c r="AF28" s="32">
        <f t="shared" si="9"/>
        <v>126331.00860247757</v>
      </c>
      <c r="AG28" s="32">
        <f t="shared" si="9"/>
        <v>123853.93000242898</v>
      </c>
      <c r="AH28" s="32">
        <f t="shared" si="9"/>
        <v>121425.42157100879</v>
      </c>
      <c r="AI28" s="32">
        <f t="shared" si="9"/>
        <v>119044.53095196943</v>
      </c>
      <c r="AJ28" s="32">
        <f t="shared" si="9"/>
        <v>116710.3244627151</v>
      </c>
      <c r="AK28" s="32">
        <f t="shared" si="9"/>
        <v>114421.88672815208</v>
      </c>
      <c r="AL28" s="32">
        <f t="shared" si="10"/>
        <v>112178.32032171771</v>
      </c>
      <c r="AM28" s="32">
        <f t="shared" si="10"/>
        <v>109978.74541344876</v>
      </c>
      <c r="AN28" s="32">
        <f t="shared" si="10"/>
        <v>107822.29942494974</v>
      </c>
      <c r="AO28" s="32">
        <f t="shared" si="10"/>
        <v>105708.13669112719</v>
      </c>
      <c r="AP28" s="32">
        <f t="shared" si="10"/>
        <v>103635.42812855609</v>
      </c>
      <c r="AQ28" s="32">
        <f t="shared" si="10"/>
        <v>101603.3609103491</v>
      </c>
      <c r="AR28" s="32">
        <f t="shared" si="10"/>
        <v>99611.138147401085</v>
      </c>
      <c r="AS28" s="32">
        <f t="shared" si="10"/>
        <v>97657.978575883404</v>
      </c>
      <c r="AT28" s="32">
        <f t="shared" si="10"/>
        <v>95743.116250866078</v>
      </c>
      <c r="AU28" s="32">
        <f t="shared" si="10"/>
        <v>93865.800245947161</v>
      </c>
      <c r="AV28" s="32">
        <f t="shared" si="11"/>
        <v>92025.294358771702</v>
      </c>
      <c r="AW28" s="32">
        <f t="shared" si="11"/>
        <v>0</v>
      </c>
      <c r="AX28" s="32">
        <f t="shared" si="11"/>
        <v>0</v>
      </c>
      <c r="AY28" s="32">
        <f t="shared" si="11"/>
        <v>0</v>
      </c>
      <c r="AZ28" s="32">
        <f t="shared" si="11"/>
        <v>0</v>
      </c>
      <c r="BA28" s="32">
        <f t="shared" si="11"/>
        <v>0</v>
      </c>
      <c r="BB28" s="32">
        <f t="shared" si="11"/>
        <v>0</v>
      </c>
      <c r="BC28" s="32">
        <f t="shared" si="11"/>
        <v>0</v>
      </c>
      <c r="BD28" s="32">
        <f t="shared" si="11"/>
        <v>0</v>
      </c>
      <c r="BE28" s="32">
        <f t="shared" si="11"/>
        <v>0</v>
      </c>
      <c r="BF28" s="32">
        <f t="shared" si="11"/>
        <v>0</v>
      </c>
    </row>
    <row r="29" spans="3:58" x14ac:dyDescent="0.2">
      <c r="C29" s="8" t="str">
        <v>Ecuador</v>
      </c>
      <c r="D29" s="56" t="str">
        <v>Latin America &amp; Caribbean</v>
      </c>
      <c r="E29" s="208">
        <f t="shared" si="0"/>
        <v>264860.55715000001</v>
      </c>
      <c r="F29" s="29">
        <f t="shared" si="6"/>
        <v>5901430.2100263769</v>
      </c>
      <c r="H29" s="32">
        <f t="shared" si="7"/>
        <v>264860.55715000001</v>
      </c>
      <c r="I29" s="32">
        <f t="shared" si="7"/>
        <v>259667.21289215688</v>
      </c>
      <c r="J29" s="32">
        <f t="shared" si="7"/>
        <v>254575.69891387929</v>
      </c>
      <c r="K29" s="32">
        <f t="shared" si="7"/>
        <v>249584.01854301893</v>
      </c>
      <c r="L29" s="32">
        <f t="shared" si="7"/>
        <v>244690.21425786169</v>
      </c>
      <c r="M29" s="32">
        <f t="shared" si="7"/>
        <v>239892.36691947223</v>
      </c>
      <c r="N29" s="32">
        <f t="shared" si="7"/>
        <v>235188.5950190904</v>
      </c>
      <c r="O29" s="32">
        <f t="shared" si="7"/>
        <v>230577.05394028476</v>
      </c>
      <c r="P29" s="32">
        <f t="shared" si="7"/>
        <v>226055.93523557327</v>
      </c>
      <c r="Q29" s="32">
        <f t="shared" si="7"/>
        <v>221623.46591722869</v>
      </c>
      <c r="R29" s="32">
        <f t="shared" si="8"/>
        <v>217277.9077619889</v>
      </c>
      <c r="S29" s="32">
        <f t="shared" si="8"/>
        <v>213017.55662940093</v>
      </c>
      <c r="T29" s="32">
        <f t="shared" si="8"/>
        <v>208840.74179353029</v>
      </c>
      <c r="U29" s="32">
        <f t="shared" si="8"/>
        <v>204745.82528777482</v>
      </c>
      <c r="V29" s="32">
        <f t="shared" si="8"/>
        <v>200731.20126252429</v>
      </c>
      <c r="W29" s="32">
        <f t="shared" si="8"/>
        <v>196795.29535541605</v>
      </c>
      <c r="X29" s="32">
        <f t="shared" si="8"/>
        <v>192936.56407393725</v>
      </c>
      <c r="Y29" s="32">
        <f t="shared" si="8"/>
        <v>189153.49419013454</v>
      </c>
      <c r="Z29" s="32">
        <f t="shared" si="8"/>
        <v>185444.60214719074</v>
      </c>
      <c r="AA29" s="32">
        <f t="shared" si="8"/>
        <v>181808.433477638</v>
      </c>
      <c r="AB29" s="32">
        <f t="shared" si="9"/>
        <v>178243.56223297841</v>
      </c>
      <c r="AC29" s="32">
        <f t="shared" si="9"/>
        <v>174748.59042448865</v>
      </c>
      <c r="AD29" s="32">
        <f t="shared" si="9"/>
        <v>171322.14747498886</v>
      </c>
      <c r="AE29" s="32">
        <f t="shared" si="9"/>
        <v>167962.88968136167</v>
      </c>
      <c r="AF29" s="32">
        <f t="shared" si="9"/>
        <v>164669.49968760947</v>
      </c>
      <c r="AG29" s="32">
        <f t="shared" si="9"/>
        <v>161440.68596824459</v>
      </c>
      <c r="AH29" s="32">
        <f t="shared" si="9"/>
        <v>158275.18232180839</v>
      </c>
      <c r="AI29" s="32">
        <f t="shared" si="9"/>
        <v>155171.74737432197</v>
      </c>
      <c r="AJ29" s="32">
        <f t="shared" si="9"/>
        <v>152129.16409247249</v>
      </c>
      <c r="AK29" s="32">
        <f t="shared" si="9"/>
        <v>149146.23930634561</v>
      </c>
      <c r="AL29" s="32">
        <f t="shared" si="10"/>
        <v>146221.8032415153</v>
      </c>
      <c r="AM29" s="32">
        <f t="shared" si="10"/>
        <v>143354.70906030913</v>
      </c>
      <c r="AN29" s="32">
        <f t="shared" si="10"/>
        <v>140543.83241206777</v>
      </c>
      <c r="AO29" s="32">
        <f t="shared" si="10"/>
        <v>137788.07099222328</v>
      </c>
      <c r="AP29" s="32">
        <f t="shared" si="10"/>
        <v>135086.34411002285</v>
      </c>
      <c r="AQ29" s="32">
        <f t="shared" si="10"/>
        <v>132437.59226472827</v>
      </c>
      <c r="AR29" s="32">
        <f t="shared" si="10"/>
        <v>129840.77673012577</v>
      </c>
      <c r="AS29" s="32">
        <f t="shared" si="10"/>
        <v>127294.87914718212</v>
      </c>
      <c r="AT29" s="32">
        <f t="shared" si="10"/>
        <v>124798.90112468833</v>
      </c>
      <c r="AU29" s="32">
        <f t="shared" si="10"/>
        <v>122351.86384773371</v>
      </c>
      <c r="AV29" s="32">
        <f t="shared" si="11"/>
        <v>119952.80769385654</v>
      </c>
      <c r="AW29" s="32">
        <f t="shared" si="11"/>
        <v>0</v>
      </c>
      <c r="AX29" s="32">
        <f t="shared" si="11"/>
        <v>0</v>
      </c>
      <c r="AY29" s="32">
        <f t="shared" si="11"/>
        <v>0</v>
      </c>
      <c r="AZ29" s="32">
        <f t="shared" si="11"/>
        <v>0</v>
      </c>
      <c r="BA29" s="32">
        <f t="shared" si="11"/>
        <v>0</v>
      </c>
      <c r="BB29" s="32">
        <f t="shared" si="11"/>
        <v>0</v>
      </c>
      <c r="BC29" s="32">
        <f t="shared" si="11"/>
        <v>0</v>
      </c>
      <c r="BD29" s="32">
        <f t="shared" si="11"/>
        <v>0</v>
      </c>
      <c r="BE29" s="32">
        <f t="shared" si="11"/>
        <v>0</v>
      </c>
      <c r="BF29" s="32">
        <f t="shared" si="11"/>
        <v>0</v>
      </c>
    </row>
    <row r="30" spans="3:58" x14ac:dyDescent="0.2">
      <c r="C30" s="8" t="str">
        <v>Egypt, Arab Rep.</v>
      </c>
      <c r="D30" s="56" t="str">
        <v>Middle East &amp; North Africa</v>
      </c>
      <c r="E30" s="208">
        <f t="shared" si="0"/>
        <v>105000</v>
      </c>
      <c r="F30" s="29">
        <f t="shared" si="6"/>
        <v>2339533.5973028229</v>
      </c>
      <c r="H30" s="32">
        <f t="shared" si="7"/>
        <v>105000</v>
      </c>
      <c r="I30" s="32">
        <f t="shared" si="7"/>
        <v>102941.17647058824</v>
      </c>
      <c r="J30" s="32">
        <f t="shared" si="7"/>
        <v>100922.72202998846</v>
      </c>
      <c r="K30" s="32">
        <f t="shared" si="7"/>
        <v>98943.845127439679</v>
      </c>
      <c r="L30" s="32">
        <f t="shared" si="7"/>
        <v>97003.769732784</v>
      </c>
      <c r="M30" s="32">
        <f t="shared" si="7"/>
        <v>95101.735032141165</v>
      </c>
      <c r="N30" s="32">
        <f t="shared" si="7"/>
        <v>93236.995129550167</v>
      </c>
      <c r="O30" s="32">
        <f t="shared" si="7"/>
        <v>91408.818754460968</v>
      </c>
      <c r="P30" s="32">
        <f t="shared" si="7"/>
        <v>89616.488974961714</v>
      </c>
      <c r="Q30" s="32">
        <f t="shared" si="7"/>
        <v>87859.302916629138</v>
      </c>
      <c r="R30" s="32">
        <f t="shared" si="8"/>
        <v>86136.571486891306</v>
      </c>
      <c r="S30" s="32">
        <f t="shared" si="8"/>
        <v>84447.61910479542</v>
      </c>
      <c r="T30" s="32">
        <f t="shared" si="8"/>
        <v>82791.783436073922</v>
      </c>
      <c r="U30" s="32">
        <f t="shared" si="8"/>
        <v>81168.415133405812</v>
      </c>
      <c r="V30" s="32">
        <f t="shared" si="8"/>
        <v>79576.877581770401</v>
      </c>
      <c r="W30" s="32">
        <f t="shared" si="8"/>
        <v>78016.546648794523</v>
      </c>
      <c r="X30" s="32">
        <f t="shared" si="8"/>
        <v>76486.810439994617</v>
      </c>
      <c r="Y30" s="32">
        <f t="shared" si="8"/>
        <v>74987.069058818248</v>
      </c>
      <c r="Z30" s="32">
        <f t="shared" si="8"/>
        <v>73516.734371390441</v>
      </c>
      <c r="AA30" s="32">
        <f t="shared" si="8"/>
        <v>72075.229775872984</v>
      </c>
      <c r="AB30" s="32">
        <f t="shared" si="9"/>
        <v>70661.989976346056</v>
      </c>
      <c r="AC30" s="32">
        <f t="shared" si="9"/>
        <v>69276.460761123599</v>
      </c>
      <c r="AD30" s="32">
        <f t="shared" si="9"/>
        <v>67918.098785415292</v>
      </c>
      <c r="AE30" s="32">
        <f t="shared" si="9"/>
        <v>66586.371358250297</v>
      </c>
      <c r="AF30" s="32">
        <f t="shared" si="9"/>
        <v>65280.756233578715</v>
      </c>
      <c r="AG30" s="32">
        <f t="shared" si="9"/>
        <v>64000.741405469329</v>
      </c>
      <c r="AH30" s="32">
        <f t="shared" si="9"/>
        <v>62745.824907322865</v>
      </c>
      <c r="AI30" s="32">
        <f t="shared" si="9"/>
        <v>61515.514615022425</v>
      </c>
      <c r="AJ30" s="32">
        <f t="shared" si="9"/>
        <v>60309.328053943544</v>
      </c>
      <c r="AK30" s="32">
        <f t="shared" si="9"/>
        <v>59126.792209748579</v>
      </c>
      <c r="AL30" s="32">
        <f t="shared" si="10"/>
        <v>57967.443342890758</v>
      </c>
      <c r="AM30" s="32">
        <f t="shared" si="10"/>
        <v>56830.826806755664</v>
      </c>
      <c r="AN30" s="32">
        <f t="shared" si="10"/>
        <v>55716.496869368282</v>
      </c>
      <c r="AO30" s="32">
        <f t="shared" si="10"/>
        <v>54624.016538596356</v>
      </c>
      <c r="AP30" s="32">
        <f t="shared" si="10"/>
        <v>53552.957390780743</v>
      </c>
      <c r="AQ30" s="32">
        <f t="shared" si="10"/>
        <v>52502.899402726216</v>
      </c>
      <c r="AR30" s="32">
        <f t="shared" si="10"/>
        <v>51473.430786986493</v>
      </c>
      <c r="AS30" s="32">
        <f t="shared" si="10"/>
        <v>50464.147830378904</v>
      </c>
      <c r="AT30" s="32">
        <f t="shared" si="10"/>
        <v>49474.654735665594</v>
      </c>
      <c r="AU30" s="32">
        <f t="shared" si="10"/>
        <v>48504.563466338834</v>
      </c>
      <c r="AV30" s="32">
        <f t="shared" si="11"/>
        <v>47553.493594449821</v>
      </c>
      <c r="AW30" s="32">
        <f t="shared" si="11"/>
        <v>0</v>
      </c>
      <c r="AX30" s="32">
        <f t="shared" si="11"/>
        <v>0</v>
      </c>
      <c r="AY30" s="32">
        <f t="shared" si="11"/>
        <v>0</v>
      </c>
      <c r="AZ30" s="32">
        <f t="shared" si="11"/>
        <v>0</v>
      </c>
      <c r="BA30" s="32">
        <f t="shared" si="11"/>
        <v>0</v>
      </c>
      <c r="BB30" s="32">
        <f t="shared" si="11"/>
        <v>0</v>
      </c>
      <c r="BC30" s="32">
        <f t="shared" si="11"/>
        <v>0</v>
      </c>
      <c r="BD30" s="32">
        <f t="shared" si="11"/>
        <v>0</v>
      </c>
      <c r="BE30" s="32">
        <f t="shared" si="11"/>
        <v>0</v>
      </c>
      <c r="BF30" s="32">
        <f t="shared" si="11"/>
        <v>0</v>
      </c>
    </row>
    <row r="31" spans="3:58" x14ac:dyDescent="0.2">
      <c r="C31" s="8" t="str">
        <v>Estonia</v>
      </c>
      <c r="D31" s="56" t="str">
        <v>Europe &amp; Central Asia</v>
      </c>
      <c r="E31" s="208">
        <f t="shared" si="0"/>
        <v>251462.16994755997</v>
      </c>
      <c r="F31" s="29">
        <f t="shared" si="6"/>
        <v>5602897.0956475139</v>
      </c>
      <c r="H31" s="32">
        <f t="shared" si="7"/>
        <v>251462.16994755997</v>
      </c>
      <c r="I31" s="32">
        <f t="shared" si="7"/>
        <v>246531.53916427449</v>
      </c>
      <c r="J31" s="32">
        <f t="shared" si="7"/>
        <v>241697.58741595538</v>
      </c>
      <c r="K31" s="32">
        <f t="shared" si="7"/>
        <v>236958.41903525038</v>
      </c>
      <c r="L31" s="32">
        <f t="shared" si="7"/>
        <v>232312.17552475526</v>
      </c>
      <c r="M31" s="32">
        <f t="shared" si="7"/>
        <v>227757.03482819142</v>
      </c>
      <c r="N31" s="32">
        <f t="shared" si="7"/>
        <v>223291.21061587395</v>
      </c>
      <c r="O31" s="32">
        <f t="shared" si="7"/>
        <v>218912.95158419019</v>
      </c>
      <c r="P31" s="32">
        <f t="shared" si="7"/>
        <v>214620.54076881389</v>
      </c>
      <c r="Q31" s="32">
        <f t="shared" si="7"/>
        <v>210412.29487138617</v>
      </c>
      <c r="R31" s="32">
        <f t="shared" si="8"/>
        <v>206286.56359939819</v>
      </c>
      <c r="S31" s="32">
        <f t="shared" si="8"/>
        <v>202241.72901901786</v>
      </c>
      <c r="T31" s="32">
        <f t="shared" si="8"/>
        <v>198276.20492060573</v>
      </c>
      <c r="U31" s="32">
        <f t="shared" si="8"/>
        <v>194388.43619667229</v>
      </c>
      <c r="V31" s="32">
        <f t="shared" si="8"/>
        <v>190576.89823203164</v>
      </c>
      <c r="W31" s="32">
        <f t="shared" si="8"/>
        <v>186840.09630591344</v>
      </c>
      <c r="X31" s="32">
        <f t="shared" si="8"/>
        <v>183176.56500579746</v>
      </c>
      <c r="Y31" s="32">
        <f t="shared" si="8"/>
        <v>179584.86765274257</v>
      </c>
      <c r="Z31" s="32">
        <f t="shared" si="8"/>
        <v>176063.59573798295</v>
      </c>
      <c r="AA31" s="32">
        <f t="shared" si="8"/>
        <v>172611.36837057152</v>
      </c>
      <c r="AB31" s="32">
        <f t="shared" si="9"/>
        <v>169226.83173585442</v>
      </c>
      <c r="AC31" s="32">
        <f t="shared" si="9"/>
        <v>165908.65856456317</v>
      </c>
      <c r="AD31" s="32">
        <f t="shared" si="9"/>
        <v>162655.54761231682</v>
      </c>
      <c r="AE31" s="32">
        <f t="shared" si="9"/>
        <v>159466.22314933024</v>
      </c>
      <c r="AF31" s="32">
        <f t="shared" si="9"/>
        <v>156339.43446012767</v>
      </c>
      <c r="AG31" s="32">
        <f t="shared" si="9"/>
        <v>153273.95535306635</v>
      </c>
      <c r="AH31" s="32">
        <f t="shared" si="9"/>
        <v>150268.58367947678</v>
      </c>
      <c r="AI31" s="32">
        <f t="shared" si="9"/>
        <v>147322.14086223219</v>
      </c>
      <c r="AJ31" s="32">
        <f t="shared" si="9"/>
        <v>144433.47143356092</v>
      </c>
      <c r="AK31" s="32">
        <f t="shared" si="9"/>
        <v>141601.44258192251</v>
      </c>
      <c r="AL31" s="32">
        <f t="shared" si="10"/>
        <v>138824.94370776715</v>
      </c>
      <c r="AM31" s="32">
        <f t="shared" si="10"/>
        <v>136102.88598800704</v>
      </c>
      <c r="AN31" s="32">
        <f t="shared" si="10"/>
        <v>133434.20194902649</v>
      </c>
      <c r="AO31" s="32">
        <f t="shared" si="10"/>
        <v>130817.84504806517</v>
      </c>
      <c r="AP31" s="32">
        <f t="shared" si="10"/>
        <v>128252.789262809</v>
      </c>
      <c r="AQ31" s="32">
        <f t="shared" si="10"/>
        <v>125738.02868902843</v>
      </c>
      <c r="AR31" s="32">
        <f t="shared" si="10"/>
        <v>123272.57714610631</v>
      </c>
      <c r="AS31" s="32">
        <f t="shared" si="10"/>
        <v>120855.46779030029</v>
      </c>
      <c r="AT31" s="32">
        <f t="shared" si="10"/>
        <v>118485.75273558851</v>
      </c>
      <c r="AU31" s="32">
        <f t="shared" si="10"/>
        <v>116162.50268194957</v>
      </c>
      <c r="AV31" s="32">
        <f t="shared" si="11"/>
        <v>113884.80655093092</v>
      </c>
      <c r="AW31" s="32">
        <f t="shared" si="11"/>
        <v>0</v>
      </c>
      <c r="AX31" s="32">
        <f t="shared" si="11"/>
        <v>0</v>
      </c>
      <c r="AY31" s="32">
        <f t="shared" si="11"/>
        <v>0</v>
      </c>
      <c r="AZ31" s="32">
        <f t="shared" si="11"/>
        <v>0</v>
      </c>
      <c r="BA31" s="32">
        <f t="shared" si="11"/>
        <v>0</v>
      </c>
      <c r="BB31" s="32">
        <f t="shared" si="11"/>
        <v>0</v>
      </c>
      <c r="BC31" s="32">
        <f t="shared" si="11"/>
        <v>0</v>
      </c>
      <c r="BD31" s="32">
        <f t="shared" si="11"/>
        <v>0</v>
      </c>
      <c r="BE31" s="32">
        <f t="shared" si="11"/>
        <v>0</v>
      </c>
      <c r="BF31" s="32">
        <f t="shared" si="11"/>
        <v>0</v>
      </c>
    </row>
    <row r="32" spans="3:58" x14ac:dyDescent="0.2">
      <c r="C32" s="8" t="str">
        <v>Finland</v>
      </c>
      <c r="D32" s="56" t="str">
        <v>Europe &amp; Central Asia</v>
      </c>
      <c r="E32" s="208">
        <f t="shared" si="0"/>
        <v>1497259.3218</v>
      </c>
      <c r="F32" s="29">
        <f t="shared" si="6"/>
        <v>33360842.73548514</v>
      </c>
      <c r="H32" s="32">
        <f t="shared" si="7"/>
        <v>1497259.3218</v>
      </c>
      <c r="I32" s="32">
        <f t="shared" si="7"/>
        <v>1467901.2958823529</v>
      </c>
      <c r="J32" s="32">
        <f t="shared" si="7"/>
        <v>1439118.9175317185</v>
      </c>
      <c r="K32" s="32">
        <f t="shared" si="7"/>
        <v>1410900.8995409007</v>
      </c>
      <c r="L32" s="32">
        <f t="shared" si="7"/>
        <v>1383236.1760204907</v>
      </c>
      <c r="M32" s="32">
        <f t="shared" si="7"/>
        <v>1356113.8980593046</v>
      </c>
      <c r="N32" s="32">
        <f t="shared" si="7"/>
        <v>1329523.4294699065</v>
      </c>
      <c r="O32" s="32">
        <f t="shared" si="7"/>
        <v>1303454.3426175558</v>
      </c>
      <c r="P32" s="32">
        <f t="shared" si="7"/>
        <v>1277896.4143309367</v>
      </c>
      <c r="Q32" s="32">
        <f t="shared" si="7"/>
        <v>1252839.6218930753</v>
      </c>
      <c r="R32" s="32">
        <f t="shared" si="8"/>
        <v>1228274.1391108581</v>
      </c>
      <c r="S32" s="32">
        <f t="shared" si="8"/>
        <v>1204190.3324616258</v>
      </c>
      <c r="T32" s="32">
        <f t="shared" si="8"/>
        <v>1180578.7573153193</v>
      </c>
      <c r="U32" s="32">
        <f t="shared" si="8"/>
        <v>1157430.1542307052</v>
      </c>
      <c r="V32" s="32">
        <f t="shared" si="8"/>
        <v>1134735.4453242207</v>
      </c>
      <c r="W32" s="32">
        <f t="shared" si="8"/>
        <v>1112485.7307100205</v>
      </c>
      <c r="X32" s="32">
        <f t="shared" si="8"/>
        <v>1090672.285009824</v>
      </c>
      <c r="Y32" s="32">
        <f t="shared" si="8"/>
        <v>1069286.5539311997</v>
      </c>
      <c r="Z32" s="32">
        <f t="shared" si="8"/>
        <v>1048320.1509129411</v>
      </c>
      <c r="AA32" s="32">
        <f t="shared" si="8"/>
        <v>1027764.8538362167</v>
      </c>
      <c r="AB32" s="32">
        <f t="shared" si="9"/>
        <v>1007612.6018002124</v>
      </c>
      <c r="AC32" s="32">
        <f t="shared" si="9"/>
        <v>987855.49196099269</v>
      </c>
      <c r="AD32" s="32">
        <f t="shared" si="9"/>
        <v>968485.77643234574</v>
      </c>
      <c r="AE32" s="32">
        <f t="shared" si="9"/>
        <v>949495.85924739786</v>
      </c>
      <c r="AF32" s="32">
        <f t="shared" si="9"/>
        <v>930878.29337980179</v>
      </c>
      <c r="AG32" s="32">
        <f t="shared" si="9"/>
        <v>912625.77782333514</v>
      </c>
      <c r="AH32" s="32">
        <f t="shared" si="9"/>
        <v>894731.15472875978</v>
      </c>
      <c r="AI32" s="32">
        <f t="shared" si="9"/>
        <v>877187.40659682348</v>
      </c>
      <c r="AJ32" s="32">
        <f t="shared" si="9"/>
        <v>859987.65352629742</v>
      </c>
      <c r="AK32" s="32">
        <f t="shared" si="9"/>
        <v>843125.15051597799</v>
      </c>
      <c r="AL32" s="32">
        <f t="shared" si="10"/>
        <v>826593.2848195862</v>
      </c>
      <c r="AM32" s="32">
        <f t="shared" si="10"/>
        <v>810385.5733525356</v>
      </c>
      <c r="AN32" s="32">
        <f t="shared" si="10"/>
        <v>794495.66014954459</v>
      </c>
      <c r="AO32" s="32">
        <f t="shared" si="10"/>
        <v>778917.31387210253</v>
      </c>
      <c r="AP32" s="32">
        <f t="shared" si="10"/>
        <v>763644.42536480643</v>
      </c>
      <c r="AQ32" s="32">
        <f t="shared" si="10"/>
        <v>748671.0052596142</v>
      </c>
      <c r="AR32" s="32">
        <f t="shared" si="10"/>
        <v>733991.18162707274</v>
      </c>
      <c r="AS32" s="32">
        <f t="shared" si="10"/>
        <v>719599.19767360063</v>
      </c>
      <c r="AT32" s="32">
        <f t="shared" si="10"/>
        <v>705489.40948392206</v>
      </c>
      <c r="AU32" s="32">
        <f t="shared" si="10"/>
        <v>691656.28380776709</v>
      </c>
      <c r="AV32" s="32">
        <f t="shared" si="11"/>
        <v>678094.39588996756</v>
      </c>
      <c r="AW32" s="32">
        <f t="shared" si="11"/>
        <v>0</v>
      </c>
      <c r="AX32" s="32">
        <f t="shared" si="11"/>
        <v>0</v>
      </c>
      <c r="AY32" s="32">
        <f t="shared" si="11"/>
        <v>0</v>
      </c>
      <c r="AZ32" s="32">
        <f t="shared" si="11"/>
        <v>0</v>
      </c>
      <c r="BA32" s="32">
        <f t="shared" si="11"/>
        <v>0</v>
      </c>
      <c r="BB32" s="32">
        <f t="shared" si="11"/>
        <v>0</v>
      </c>
      <c r="BC32" s="32">
        <f t="shared" si="11"/>
        <v>0</v>
      </c>
      <c r="BD32" s="32">
        <f t="shared" si="11"/>
        <v>0</v>
      </c>
      <c r="BE32" s="32">
        <f t="shared" si="11"/>
        <v>0</v>
      </c>
      <c r="BF32" s="32">
        <f t="shared" si="11"/>
        <v>0</v>
      </c>
    </row>
    <row r="33" spans="3:58" x14ac:dyDescent="0.2">
      <c r="C33" s="8" t="str">
        <v>France</v>
      </c>
      <c r="D33" s="56" t="str">
        <v>Europe &amp; Central Asia</v>
      </c>
      <c r="E33" s="208">
        <f t="shared" si="0"/>
        <v>12751840.539999999</v>
      </c>
      <c r="F33" s="29">
        <f t="shared" si="6"/>
        <v>284127232.10264927</v>
      </c>
      <c r="H33" s="32">
        <f t="shared" ref="H33:Q42" si="12">IFERROR(IF(H$11&lt;=$F$3,$E33/(1+$I$3)^H$11,0),"No value")</f>
        <v>12751840.539999999</v>
      </c>
      <c r="I33" s="32">
        <f t="shared" si="12"/>
        <v>12501804.450980391</v>
      </c>
      <c r="J33" s="32">
        <f t="shared" si="12"/>
        <v>12256671.030372933</v>
      </c>
      <c r="K33" s="32">
        <f t="shared" si="12"/>
        <v>12016344.147424445</v>
      </c>
      <c r="L33" s="32">
        <f t="shared" si="12"/>
        <v>11780729.556298474</v>
      </c>
      <c r="M33" s="32">
        <f t="shared" si="12"/>
        <v>11549734.859116152</v>
      </c>
      <c r="N33" s="32">
        <f t="shared" si="12"/>
        <v>11323269.469721716</v>
      </c>
      <c r="O33" s="32">
        <f t="shared" si="12"/>
        <v>11101244.578158548</v>
      </c>
      <c r="P33" s="32">
        <f t="shared" si="12"/>
        <v>10883573.115841713</v>
      </c>
      <c r="Q33" s="32">
        <f t="shared" si="12"/>
        <v>10670169.721413443</v>
      </c>
      <c r="R33" s="32">
        <f t="shared" ref="R33:AA42" si="13">IFERROR(IF(R$11&lt;=$F$3,$E33/(1+$I$3)^R$11,0),"No value")</f>
        <v>10460950.707268082</v>
      </c>
      <c r="S33" s="32">
        <f t="shared" si="13"/>
        <v>10255834.026733415</v>
      </c>
      <c r="T33" s="32">
        <f t="shared" si="13"/>
        <v>10054739.241895502</v>
      </c>
      <c r="U33" s="32">
        <f t="shared" si="13"/>
        <v>9857587.4920544159</v>
      </c>
      <c r="V33" s="32">
        <f t="shared" si="13"/>
        <v>9664301.4627984464</v>
      </c>
      <c r="W33" s="32">
        <f t="shared" si="13"/>
        <v>9474805.3556847535</v>
      </c>
      <c r="X33" s="32">
        <f t="shared" si="13"/>
        <v>9289024.8585144617</v>
      </c>
      <c r="Y33" s="32">
        <f t="shared" si="13"/>
        <v>9106887.1161906496</v>
      </c>
      <c r="Z33" s="32">
        <f t="shared" si="13"/>
        <v>8928320.7021476962</v>
      </c>
      <c r="AA33" s="32">
        <f t="shared" si="13"/>
        <v>8753255.5903408788</v>
      </c>
      <c r="AB33" s="32">
        <f t="shared" ref="AB33:AK42" si="14">IFERROR(IF(AB$11&lt;=$F$3,$E33/(1+$I$3)^AB$11,0),"No value")</f>
        <v>8581623.1277851742</v>
      </c>
      <c r="AC33" s="32">
        <f t="shared" si="14"/>
        <v>8413356.0076325238</v>
      </c>
      <c r="AD33" s="32">
        <f t="shared" si="14"/>
        <v>8248388.2427769843</v>
      </c>
      <c r="AE33" s="32">
        <f t="shared" si="14"/>
        <v>8086655.1399774365</v>
      </c>
      <c r="AF33" s="32">
        <f t="shared" si="14"/>
        <v>7928093.2744876826</v>
      </c>
      <c r="AG33" s="32">
        <f t="shared" si="14"/>
        <v>7772640.4651840031</v>
      </c>
      <c r="AH33" s="32">
        <f t="shared" si="14"/>
        <v>7620235.7501803944</v>
      </c>
      <c r="AI33" s="32">
        <f t="shared" si="14"/>
        <v>7470819.362921956</v>
      </c>
      <c r="AJ33" s="32">
        <f t="shared" si="14"/>
        <v>7324332.7087470144</v>
      </c>
      <c r="AK33" s="32">
        <f t="shared" si="14"/>
        <v>7180718.3419088386</v>
      </c>
      <c r="AL33" s="32">
        <f t="shared" ref="AL33:AU42" si="15">IFERROR(IF(AL$11&lt;=$F$3,$E33/(1+$I$3)^AL$11,0),"No value")</f>
        <v>7039919.9430478811</v>
      </c>
      <c r="AM33" s="32">
        <f t="shared" si="15"/>
        <v>6901882.2971057668</v>
      </c>
      <c r="AN33" s="32">
        <f t="shared" si="15"/>
        <v>6766551.2716723196</v>
      </c>
      <c r="AO33" s="32">
        <f t="shared" si="15"/>
        <v>6633873.7957571754</v>
      </c>
      <c r="AP33" s="32">
        <f t="shared" si="15"/>
        <v>6503797.8389776237</v>
      </c>
      <c r="AQ33" s="32">
        <f t="shared" si="15"/>
        <v>6376272.3911545333</v>
      </c>
      <c r="AR33" s="32">
        <f t="shared" si="15"/>
        <v>6251247.4423083663</v>
      </c>
      <c r="AS33" s="32">
        <f t="shared" si="15"/>
        <v>6128673.9630474169</v>
      </c>
      <c r="AT33" s="32">
        <f t="shared" si="15"/>
        <v>6008503.885340604</v>
      </c>
      <c r="AU33" s="32">
        <f t="shared" si="15"/>
        <v>5890690.0836672606</v>
      </c>
      <c r="AV33" s="32">
        <f t="shared" ref="AV33:BF42" si="16">IFERROR(IF(AV$11&lt;=$F$3,$E33/(1+$I$3)^AV$11,0),"No value")</f>
        <v>5775186.356536529</v>
      </c>
      <c r="AW33" s="32">
        <f t="shared" si="16"/>
        <v>0</v>
      </c>
      <c r="AX33" s="32">
        <f t="shared" si="16"/>
        <v>0</v>
      </c>
      <c r="AY33" s="32">
        <f t="shared" si="16"/>
        <v>0</v>
      </c>
      <c r="AZ33" s="32">
        <f t="shared" si="16"/>
        <v>0</v>
      </c>
      <c r="BA33" s="32">
        <f t="shared" si="16"/>
        <v>0</v>
      </c>
      <c r="BB33" s="32">
        <f t="shared" si="16"/>
        <v>0</v>
      </c>
      <c r="BC33" s="32">
        <f t="shared" si="16"/>
        <v>0</v>
      </c>
      <c r="BD33" s="32">
        <f t="shared" si="16"/>
        <v>0</v>
      </c>
      <c r="BE33" s="32">
        <f t="shared" si="16"/>
        <v>0</v>
      </c>
      <c r="BF33" s="32">
        <f t="shared" si="16"/>
        <v>0</v>
      </c>
    </row>
    <row r="34" spans="3:58" x14ac:dyDescent="0.2">
      <c r="C34" s="8" t="str">
        <v>Germany</v>
      </c>
      <c r="D34" s="56" t="str">
        <v>Europe &amp; Central Asia</v>
      </c>
      <c r="E34" s="208">
        <f t="shared" si="0"/>
        <v>16054099.479599999</v>
      </c>
      <c r="F34" s="29">
        <f t="shared" si="6"/>
        <v>357705762.92348534</v>
      </c>
      <c r="H34" s="32">
        <f t="shared" si="12"/>
        <v>16054099.479599999</v>
      </c>
      <c r="I34" s="32">
        <f t="shared" si="12"/>
        <v>15739313.215294117</v>
      </c>
      <c r="J34" s="32">
        <f t="shared" si="12"/>
        <v>15430699.230680507</v>
      </c>
      <c r="K34" s="32">
        <f t="shared" si="12"/>
        <v>15128136.500667164</v>
      </c>
      <c r="L34" s="32">
        <f t="shared" si="12"/>
        <v>14831506.373203102</v>
      </c>
      <c r="M34" s="32">
        <f t="shared" si="12"/>
        <v>14540692.522748139</v>
      </c>
      <c r="N34" s="32">
        <f t="shared" si="12"/>
        <v>14255580.904655037</v>
      </c>
      <c r="O34" s="32">
        <f t="shared" si="12"/>
        <v>13976059.710446117</v>
      </c>
      <c r="P34" s="32">
        <f t="shared" si="12"/>
        <v>13702019.323966781</v>
      </c>
      <c r="Q34" s="32">
        <f t="shared" si="12"/>
        <v>13433352.278398804</v>
      </c>
      <c r="R34" s="32">
        <f t="shared" si="13"/>
        <v>13169953.214116475</v>
      </c>
      <c r="S34" s="32">
        <f t="shared" si="13"/>
        <v>12911718.837369096</v>
      </c>
      <c r="T34" s="32">
        <f t="shared" si="13"/>
        <v>12658547.879773621</v>
      </c>
      <c r="U34" s="32">
        <f t="shared" si="13"/>
        <v>12410341.05860159</v>
      </c>
      <c r="V34" s="32">
        <f t="shared" si="13"/>
        <v>12167001.037844695</v>
      </c>
      <c r="W34" s="32">
        <f t="shared" si="13"/>
        <v>11928432.390043821</v>
      </c>
      <c r="X34" s="32">
        <f t="shared" si="13"/>
        <v>11694541.55886649</v>
      </c>
      <c r="Y34" s="32">
        <f t="shared" si="13"/>
        <v>11465236.822418125</v>
      </c>
      <c r="Z34" s="32">
        <f t="shared" si="13"/>
        <v>11240428.257272674</v>
      </c>
      <c r="AA34" s="32">
        <f t="shared" si="13"/>
        <v>11020027.703208504</v>
      </c>
      <c r="AB34" s="32">
        <f t="shared" si="14"/>
        <v>10803948.728635788</v>
      </c>
      <c r="AC34" s="32">
        <f t="shared" si="14"/>
        <v>10592106.596701752</v>
      </c>
      <c r="AD34" s="32">
        <f t="shared" si="14"/>
        <v>10384418.232060542</v>
      </c>
      <c r="AE34" s="32">
        <f t="shared" si="14"/>
        <v>10180802.188294651</v>
      </c>
      <c r="AF34" s="32">
        <f t="shared" si="14"/>
        <v>9981178.6159751471</v>
      </c>
      <c r="AG34" s="32">
        <f t="shared" si="14"/>
        <v>9785469.231348183</v>
      </c>
      <c r="AH34" s="32">
        <f t="shared" si="14"/>
        <v>9593597.2856354732</v>
      </c>
      <c r="AI34" s="32">
        <f t="shared" si="14"/>
        <v>9405487.5349367391</v>
      </c>
      <c r="AJ34" s="32">
        <f t="shared" si="14"/>
        <v>9221066.2107222918</v>
      </c>
      <c r="AK34" s="32">
        <f t="shared" si="14"/>
        <v>9040260.9909042101</v>
      </c>
      <c r="AL34" s="32">
        <f t="shared" si="15"/>
        <v>8863000.9714747146</v>
      </c>
      <c r="AM34" s="32">
        <f t="shared" si="15"/>
        <v>8689216.6387007032</v>
      </c>
      <c r="AN34" s="32">
        <f t="shared" si="15"/>
        <v>8518839.841863431</v>
      </c>
      <c r="AO34" s="32">
        <f t="shared" si="15"/>
        <v>8351803.7665327759</v>
      </c>
      <c r="AP34" s="32">
        <f t="shared" si="15"/>
        <v>8188042.9083654676</v>
      </c>
      <c r="AQ34" s="32">
        <f t="shared" si="15"/>
        <v>8027493.0474171247</v>
      </c>
      <c r="AR34" s="32">
        <f t="shared" si="15"/>
        <v>7870091.2229579659</v>
      </c>
      <c r="AS34" s="32">
        <f t="shared" si="15"/>
        <v>7715775.708782319</v>
      </c>
      <c r="AT34" s="32">
        <f t="shared" si="15"/>
        <v>7564485.9890022725</v>
      </c>
      <c r="AU34" s="32">
        <f t="shared" si="15"/>
        <v>7416162.734315956</v>
      </c>
      <c r="AV34" s="32">
        <f t="shared" si="16"/>
        <v>7270747.7787411315</v>
      </c>
      <c r="AW34" s="32">
        <f t="shared" si="16"/>
        <v>0</v>
      </c>
      <c r="AX34" s="32">
        <f t="shared" si="16"/>
        <v>0</v>
      </c>
      <c r="AY34" s="32">
        <f t="shared" si="16"/>
        <v>0</v>
      </c>
      <c r="AZ34" s="32">
        <f t="shared" si="16"/>
        <v>0</v>
      </c>
      <c r="BA34" s="32">
        <f t="shared" si="16"/>
        <v>0</v>
      </c>
      <c r="BB34" s="32">
        <f t="shared" si="16"/>
        <v>0</v>
      </c>
      <c r="BC34" s="32">
        <f t="shared" si="16"/>
        <v>0</v>
      </c>
      <c r="BD34" s="32">
        <f t="shared" si="16"/>
        <v>0</v>
      </c>
      <c r="BE34" s="32">
        <f t="shared" si="16"/>
        <v>0</v>
      </c>
      <c r="BF34" s="32">
        <f t="shared" si="16"/>
        <v>0</v>
      </c>
    </row>
    <row r="35" spans="3:58" x14ac:dyDescent="0.2">
      <c r="C35" s="8" t="str">
        <v>Greece</v>
      </c>
      <c r="D35" s="56" t="str">
        <v>Europe &amp; Central Asia</v>
      </c>
      <c r="E35" s="208">
        <f t="shared" si="0"/>
        <v>89845.64</v>
      </c>
      <c r="F35" s="29">
        <f t="shared" si="6"/>
        <v>2001875.1747730898</v>
      </c>
      <c r="H35" s="32">
        <f t="shared" si="12"/>
        <v>89845.64</v>
      </c>
      <c r="I35" s="32">
        <f t="shared" si="12"/>
        <v>88083.96078431372</v>
      </c>
      <c r="J35" s="32">
        <f t="shared" si="12"/>
        <v>86356.824298346794</v>
      </c>
      <c r="K35" s="32">
        <f t="shared" si="12"/>
        <v>84663.55323367333</v>
      </c>
      <c r="L35" s="32">
        <f t="shared" si="12"/>
        <v>83003.483562424823</v>
      </c>
      <c r="M35" s="32">
        <f t="shared" si="12"/>
        <v>81375.964276887084</v>
      </c>
      <c r="N35" s="32">
        <f t="shared" si="12"/>
        <v>79780.357134203019</v>
      </c>
      <c r="O35" s="32">
        <f t="shared" si="12"/>
        <v>78216.036406081403</v>
      </c>
      <c r="P35" s="32">
        <f t="shared" si="12"/>
        <v>76682.388633413138</v>
      </c>
      <c r="Q35" s="32">
        <f t="shared" si="12"/>
        <v>75178.812385699159</v>
      </c>
      <c r="R35" s="32">
        <f t="shared" si="13"/>
        <v>73704.718025195252</v>
      </c>
      <c r="S35" s="32">
        <f t="shared" si="13"/>
        <v>72259.527475681622</v>
      </c>
      <c r="T35" s="32">
        <f t="shared" si="13"/>
        <v>70842.673995766294</v>
      </c>
      <c r="U35" s="32">
        <f t="shared" si="13"/>
        <v>69453.601956633618</v>
      </c>
      <c r="V35" s="32">
        <f t="shared" si="13"/>
        <v>68091.766624150609</v>
      </c>
      <c r="W35" s="32">
        <f t="shared" si="13"/>
        <v>66756.633945245703</v>
      </c>
      <c r="X35" s="32">
        <f t="shared" si="13"/>
        <v>65447.680338476173</v>
      </c>
      <c r="Y35" s="32">
        <f t="shared" si="13"/>
        <v>64164.392488702128</v>
      </c>
      <c r="Z35" s="32">
        <f t="shared" si="13"/>
        <v>62906.267145786405</v>
      </c>
      <c r="AA35" s="32">
        <f t="shared" si="13"/>
        <v>61672.810927241575</v>
      </c>
      <c r="AB35" s="32">
        <f t="shared" si="14"/>
        <v>60463.540124746636</v>
      </c>
      <c r="AC35" s="32">
        <f t="shared" si="14"/>
        <v>59277.980514457493</v>
      </c>
      <c r="AD35" s="32">
        <f t="shared" si="14"/>
        <v>58115.667171036752</v>
      </c>
      <c r="AE35" s="32">
        <f t="shared" si="14"/>
        <v>56976.144285330156</v>
      </c>
      <c r="AF35" s="32">
        <f t="shared" si="14"/>
        <v>55858.9649856178</v>
      </c>
      <c r="AG35" s="32">
        <f t="shared" si="14"/>
        <v>54763.691162370393</v>
      </c>
      <c r="AH35" s="32">
        <f t="shared" si="14"/>
        <v>53689.893296441558</v>
      </c>
      <c r="AI35" s="32">
        <f t="shared" si="14"/>
        <v>52637.15029062899</v>
      </c>
      <c r="AJ35" s="32">
        <f t="shared" si="14"/>
        <v>51605.04930453821</v>
      </c>
      <c r="AK35" s="32">
        <f t="shared" si="14"/>
        <v>50593.185592684531</v>
      </c>
      <c r="AL35" s="32">
        <f t="shared" si="15"/>
        <v>49601.162345769138</v>
      </c>
      <c r="AM35" s="32">
        <f t="shared" si="15"/>
        <v>48628.590535067793</v>
      </c>
      <c r="AN35" s="32">
        <f t="shared" si="15"/>
        <v>47675.088759870378</v>
      </c>
      <c r="AO35" s="32">
        <f t="shared" si="15"/>
        <v>46740.283097912135</v>
      </c>
      <c r="AP35" s="32">
        <f t="shared" si="15"/>
        <v>45823.80695873739</v>
      </c>
      <c r="AQ35" s="32">
        <f t="shared" si="15"/>
        <v>44925.300939938621</v>
      </c>
      <c r="AR35" s="32">
        <f t="shared" si="15"/>
        <v>44044.412686214331</v>
      </c>
      <c r="AS35" s="32">
        <f t="shared" si="15"/>
        <v>43180.796751190515</v>
      </c>
      <c r="AT35" s="32">
        <f t="shared" si="15"/>
        <v>42334.114461951482</v>
      </c>
      <c r="AU35" s="32">
        <f t="shared" si="15"/>
        <v>41504.033786226959</v>
      </c>
      <c r="AV35" s="32">
        <f t="shared" si="16"/>
        <v>40690.229202183284</v>
      </c>
      <c r="AW35" s="32">
        <f t="shared" si="16"/>
        <v>0</v>
      </c>
      <c r="AX35" s="32">
        <f t="shared" si="16"/>
        <v>0</v>
      </c>
      <c r="AY35" s="32">
        <f t="shared" si="16"/>
        <v>0</v>
      </c>
      <c r="AZ35" s="32">
        <f t="shared" si="16"/>
        <v>0</v>
      </c>
      <c r="BA35" s="32">
        <f t="shared" si="16"/>
        <v>0</v>
      </c>
      <c r="BB35" s="32">
        <f t="shared" si="16"/>
        <v>0</v>
      </c>
      <c r="BC35" s="32">
        <f t="shared" si="16"/>
        <v>0</v>
      </c>
      <c r="BD35" s="32">
        <f t="shared" si="16"/>
        <v>0</v>
      </c>
      <c r="BE35" s="32">
        <f t="shared" si="16"/>
        <v>0</v>
      </c>
      <c r="BF35" s="32">
        <f t="shared" si="16"/>
        <v>0</v>
      </c>
    </row>
    <row r="36" spans="3:58" x14ac:dyDescent="0.2">
      <c r="C36" s="8" t="str">
        <v>Guatemala</v>
      </c>
      <c r="D36" s="56" t="str">
        <v>Latin America &amp; Caribbean</v>
      </c>
      <c r="E36" s="208">
        <f t="shared" si="0"/>
        <v>137837.04855000001</v>
      </c>
      <c r="F36" s="29">
        <f t="shared" si="6"/>
        <v>3071184.819388432</v>
      </c>
      <c r="H36" s="32">
        <f t="shared" si="12"/>
        <v>137837.04855000001</v>
      </c>
      <c r="I36" s="32">
        <f t="shared" si="12"/>
        <v>135134.36132352942</v>
      </c>
      <c r="J36" s="32">
        <f t="shared" si="12"/>
        <v>132484.66796424452</v>
      </c>
      <c r="K36" s="32">
        <f t="shared" si="12"/>
        <v>129886.92937671034</v>
      </c>
      <c r="L36" s="32">
        <f t="shared" si="12"/>
        <v>127340.12683991209</v>
      </c>
      <c r="M36" s="32">
        <f t="shared" si="12"/>
        <v>124843.26160775694</v>
      </c>
      <c r="N36" s="32">
        <f t="shared" si="12"/>
        <v>122395.35451740876</v>
      </c>
      <c r="O36" s="32">
        <f t="shared" si="12"/>
        <v>119995.44560530272</v>
      </c>
      <c r="P36" s="32">
        <f t="shared" si="12"/>
        <v>117642.59373068894</v>
      </c>
      <c r="Q36" s="32">
        <f t="shared" si="12"/>
        <v>115335.87620655779</v>
      </c>
      <c r="R36" s="32">
        <f t="shared" si="13"/>
        <v>113074.38843780174</v>
      </c>
      <c r="S36" s="32">
        <f t="shared" si="13"/>
        <v>110857.24356647232</v>
      </c>
      <c r="T36" s="32">
        <f t="shared" si="13"/>
        <v>108683.57212399245</v>
      </c>
      <c r="U36" s="32">
        <f t="shared" si="13"/>
        <v>106552.52169018869</v>
      </c>
      <c r="V36" s="32">
        <f t="shared" si="13"/>
        <v>104463.2565590085</v>
      </c>
      <c r="W36" s="32">
        <f t="shared" si="13"/>
        <v>102414.95741079267</v>
      </c>
      <c r="X36" s="32">
        <f t="shared" si="13"/>
        <v>100406.8209909732</v>
      </c>
      <c r="Y36" s="32">
        <f t="shared" si="13"/>
        <v>98438.059795071749</v>
      </c>
      <c r="Z36" s="32">
        <f t="shared" si="13"/>
        <v>96507.901759874279</v>
      </c>
      <c r="AA36" s="32">
        <f t="shared" si="13"/>
        <v>94615.589960661062</v>
      </c>
      <c r="AB36" s="32">
        <f t="shared" si="14"/>
        <v>92760.382314373579</v>
      </c>
      <c r="AC36" s="32">
        <f t="shared" si="14"/>
        <v>90941.551288601564</v>
      </c>
      <c r="AD36" s="32">
        <f t="shared" si="14"/>
        <v>89158.383616276027</v>
      </c>
      <c r="AE36" s="32">
        <f t="shared" si="14"/>
        <v>87410.18001595691</v>
      </c>
      <c r="AF36" s="32">
        <f t="shared" si="14"/>
        <v>85696.254917604805</v>
      </c>
      <c r="AG36" s="32">
        <f t="shared" si="14"/>
        <v>84015.936193730202</v>
      </c>
      <c r="AH36" s="32">
        <f t="shared" si="14"/>
        <v>82368.564895813921</v>
      </c>
      <c r="AI36" s="32">
        <f t="shared" si="14"/>
        <v>80753.494995896006</v>
      </c>
      <c r="AJ36" s="32">
        <f t="shared" si="14"/>
        <v>79170.093133231363</v>
      </c>
      <c r="AK36" s="32">
        <f t="shared" si="14"/>
        <v>77617.738365913116</v>
      </c>
      <c r="AL36" s="32">
        <f t="shared" si="15"/>
        <v>76095.821927365789</v>
      </c>
      <c r="AM36" s="32">
        <f t="shared" si="15"/>
        <v>74603.746987613544</v>
      </c>
      <c r="AN36" s="32">
        <f t="shared" si="15"/>
        <v>73140.928419228949</v>
      </c>
      <c r="AO36" s="32">
        <f t="shared" si="15"/>
        <v>71706.792567871511</v>
      </c>
      <c r="AP36" s="32">
        <f t="shared" si="15"/>
        <v>70300.777027325021</v>
      </c>
      <c r="AQ36" s="32">
        <f t="shared" si="15"/>
        <v>68922.330418946105</v>
      </c>
      <c r="AR36" s="32">
        <f t="shared" si="15"/>
        <v>67570.912175437348</v>
      </c>
      <c r="AS36" s="32">
        <f t="shared" si="15"/>
        <v>66245.992328860142</v>
      </c>
      <c r="AT36" s="32">
        <f t="shared" si="15"/>
        <v>64947.051302804051</v>
      </c>
      <c r="AU36" s="32">
        <f t="shared" si="15"/>
        <v>63673.579708631449</v>
      </c>
      <c r="AV36" s="32">
        <f t="shared" si="16"/>
        <v>62425.078145717096</v>
      </c>
      <c r="AW36" s="32">
        <f t="shared" si="16"/>
        <v>0</v>
      </c>
      <c r="AX36" s="32">
        <f t="shared" si="16"/>
        <v>0</v>
      </c>
      <c r="AY36" s="32">
        <f t="shared" si="16"/>
        <v>0</v>
      </c>
      <c r="AZ36" s="32">
        <f t="shared" si="16"/>
        <v>0</v>
      </c>
      <c r="BA36" s="32">
        <f t="shared" si="16"/>
        <v>0</v>
      </c>
      <c r="BB36" s="32">
        <f t="shared" si="16"/>
        <v>0</v>
      </c>
      <c r="BC36" s="32">
        <f t="shared" si="16"/>
        <v>0</v>
      </c>
      <c r="BD36" s="32">
        <f t="shared" si="16"/>
        <v>0</v>
      </c>
      <c r="BE36" s="32">
        <f t="shared" si="16"/>
        <v>0</v>
      </c>
      <c r="BF36" s="32">
        <f t="shared" si="16"/>
        <v>0</v>
      </c>
    </row>
    <row r="37" spans="3:58" x14ac:dyDescent="0.2">
      <c r="C37" s="8" t="str">
        <v>Hungary</v>
      </c>
      <c r="D37" s="56" t="str">
        <v>Europe &amp; Central Asia</v>
      </c>
      <c r="E37" s="208">
        <f t="shared" si="0"/>
        <v>534629.19334999996</v>
      </c>
      <c r="F37" s="29">
        <f t="shared" si="6"/>
        <v>11912218.666106973</v>
      </c>
      <c r="H37" s="32">
        <f t="shared" si="12"/>
        <v>534629.19334999996</v>
      </c>
      <c r="I37" s="32">
        <f t="shared" si="12"/>
        <v>524146.26799019601</v>
      </c>
      <c r="J37" s="32">
        <f t="shared" si="12"/>
        <v>513868.89018646668</v>
      </c>
      <c r="K37" s="32">
        <f t="shared" si="12"/>
        <v>503793.02959457523</v>
      </c>
      <c r="L37" s="32">
        <f t="shared" si="12"/>
        <v>493914.73489664239</v>
      </c>
      <c r="M37" s="32">
        <f t="shared" si="12"/>
        <v>484230.13225161016</v>
      </c>
      <c r="N37" s="32">
        <f t="shared" si="12"/>
        <v>474735.42377608834</v>
      </c>
      <c r="O37" s="32">
        <f t="shared" si="12"/>
        <v>465426.88605498866</v>
      </c>
      <c r="P37" s="32">
        <f t="shared" si="12"/>
        <v>456300.86868136143</v>
      </c>
      <c r="Q37" s="32">
        <f t="shared" si="12"/>
        <v>447353.79282486415</v>
      </c>
      <c r="R37" s="32">
        <f t="shared" si="13"/>
        <v>438582.14982829813</v>
      </c>
      <c r="S37" s="32">
        <f t="shared" si="13"/>
        <v>429982.4998316649</v>
      </c>
      <c r="T37" s="32">
        <f t="shared" si="13"/>
        <v>421551.47042320087</v>
      </c>
      <c r="U37" s="32">
        <f t="shared" si="13"/>
        <v>413285.75531686359</v>
      </c>
      <c r="V37" s="32">
        <f t="shared" si="13"/>
        <v>405182.11305574857</v>
      </c>
      <c r="W37" s="32">
        <f t="shared" si="13"/>
        <v>397237.36574093008</v>
      </c>
      <c r="X37" s="32">
        <f t="shared" si="13"/>
        <v>389448.39778522553</v>
      </c>
      <c r="Y37" s="32">
        <f t="shared" si="13"/>
        <v>381812.1546913975</v>
      </c>
      <c r="Z37" s="32">
        <f t="shared" si="13"/>
        <v>374325.64185431134</v>
      </c>
      <c r="AA37" s="32">
        <f t="shared" si="13"/>
        <v>366985.92338657979</v>
      </c>
      <c r="AB37" s="32">
        <f t="shared" si="14"/>
        <v>359790.12096723501</v>
      </c>
      <c r="AC37" s="32">
        <f t="shared" si="14"/>
        <v>352735.41271297552</v>
      </c>
      <c r="AD37" s="32">
        <f t="shared" si="14"/>
        <v>345819.03207154461</v>
      </c>
      <c r="AE37" s="32">
        <f t="shared" si="14"/>
        <v>339038.26673680852</v>
      </c>
      <c r="AF37" s="32">
        <f t="shared" si="14"/>
        <v>332390.45758510637</v>
      </c>
      <c r="AG37" s="32">
        <f t="shared" si="14"/>
        <v>325872.99763245723</v>
      </c>
      <c r="AH37" s="32">
        <f t="shared" si="14"/>
        <v>319483.33101221296</v>
      </c>
      <c r="AI37" s="32">
        <f t="shared" si="14"/>
        <v>313218.95197275782</v>
      </c>
      <c r="AJ37" s="32">
        <f t="shared" si="14"/>
        <v>307077.40389486059</v>
      </c>
      <c r="AK37" s="32">
        <f t="shared" si="14"/>
        <v>301056.27832829469</v>
      </c>
      <c r="AL37" s="32">
        <f t="shared" si="15"/>
        <v>295153.21404734772</v>
      </c>
      <c r="AM37" s="32">
        <f t="shared" si="15"/>
        <v>289365.89612485078</v>
      </c>
      <c r="AN37" s="32">
        <f t="shared" si="15"/>
        <v>283692.05502436345</v>
      </c>
      <c r="AO37" s="32">
        <f t="shared" si="15"/>
        <v>278129.46571016026</v>
      </c>
      <c r="AP37" s="32">
        <f t="shared" si="15"/>
        <v>272675.9467746669</v>
      </c>
      <c r="AQ37" s="32">
        <f t="shared" si="15"/>
        <v>267329.35958300676</v>
      </c>
      <c r="AR37" s="32">
        <f t="shared" si="15"/>
        <v>262087.60743432041</v>
      </c>
      <c r="AS37" s="32">
        <f t="shared" si="15"/>
        <v>256948.63473952978</v>
      </c>
      <c r="AT37" s="32">
        <f t="shared" si="15"/>
        <v>251910.42621522525</v>
      </c>
      <c r="AU37" s="32">
        <f t="shared" si="15"/>
        <v>246971.00609335818</v>
      </c>
      <c r="AV37" s="32">
        <f t="shared" si="16"/>
        <v>242128.43734642951</v>
      </c>
      <c r="AW37" s="32">
        <f t="shared" si="16"/>
        <v>0</v>
      </c>
      <c r="AX37" s="32">
        <f t="shared" si="16"/>
        <v>0</v>
      </c>
      <c r="AY37" s="32">
        <f t="shared" si="16"/>
        <v>0</v>
      </c>
      <c r="AZ37" s="32">
        <f t="shared" si="16"/>
        <v>0</v>
      </c>
      <c r="BA37" s="32">
        <f t="shared" si="16"/>
        <v>0</v>
      </c>
      <c r="BB37" s="32">
        <f t="shared" si="16"/>
        <v>0</v>
      </c>
      <c r="BC37" s="32">
        <f t="shared" si="16"/>
        <v>0</v>
      </c>
      <c r="BD37" s="32">
        <f t="shared" si="16"/>
        <v>0</v>
      </c>
      <c r="BE37" s="32">
        <f t="shared" si="16"/>
        <v>0</v>
      </c>
      <c r="BF37" s="32">
        <f t="shared" si="16"/>
        <v>0</v>
      </c>
    </row>
    <row r="38" spans="3:58" x14ac:dyDescent="0.2">
      <c r="C38" s="8" t="str">
        <v>India</v>
      </c>
      <c r="D38" s="56" t="str">
        <v>South Asia</v>
      </c>
      <c r="E38" s="208">
        <f t="shared" si="0"/>
        <v>0</v>
      </c>
      <c r="F38" s="29">
        <f t="shared" si="6"/>
        <v>0</v>
      </c>
      <c r="H38" s="32">
        <f t="shared" si="12"/>
        <v>0</v>
      </c>
      <c r="I38" s="32">
        <f t="shared" si="12"/>
        <v>0</v>
      </c>
      <c r="J38" s="32">
        <f t="shared" si="12"/>
        <v>0</v>
      </c>
      <c r="K38" s="32">
        <f t="shared" si="12"/>
        <v>0</v>
      </c>
      <c r="L38" s="32">
        <f t="shared" si="12"/>
        <v>0</v>
      </c>
      <c r="M38" s="32">
        <f t="shared" si="12"/>
        <v>0</v>
      </c>
      <c r="N38" s="32">
        <f t="shared" si="12"/>
        <v>0</v>
      </c>
      <c r="O38" s="32">
        <f t="shared" si="12"/>
        <v>0</v>
      </c>
      <c r="P38" s="32">
        <f t="shared" si="12"/>
        <v>0</v>
      </c>
      <c r="Q38" s="32">
        <f t="shared" si="12"/>
        <v>0</v>
      </c>
      <c r="R38" s="32">
        <f t="shared" si="13"/>
        <v>0</v>
      </c>
      <c r="S38" s="32">
        <f t="shared" si="13"/>
        <v>0</v>
      </c>
      <c r="T38" s="32">
        <f t="shared" si="13"/>
        <v>0</v>
      </c>
      <c r="U38" s="32">
        <f t="shared" si="13"/>
        <v>0</v>
      </c>
      <c r="V38" s="32">
        <f t="shared" si="13"/>
        <v>0</v>
      </c>
      <c r="W38" s="32">
        <f t="shared" si="13"/>
        <v>0</v>
      </c>
      <c r="X38" s="32">
        <f t="shared" si="13"/>
        <v>0</v>
      </c>
      <c r="Y38" s="32">
        <f t="shared" si="13"/>
        <v>0</v>
      </c>
      <c r="Z38" s="32">
        <f t="shared" si="13"/>
        <v>0</v>
      </c>
      <c r="AA38" s="32">
        <f t="shared" si="13"/>
        <v>0</v>
      </c>
      <c r="AB38" s="32">
        <f t="shared" si="14"/>
        <v>0</v>
      </c>
      <c r="AC38" s="32">
        <f t="shared" si="14"/>
        <v>0</v>
      </c>
      <c r="AD38" s="32">
        <f t="shared" si="14"/>
        <v>0</v>
      </c>
      <c r="AE38" s="32">
        <f t="shared" si="14"/>
        <v>0</v>
      </c>
      <c r="AF38" s="32">
        <f t="shared" si="14"/>
        <v>0</v>
      </c>
      <c r="AG38" s="32">
        <f t="shared" si="14"/>
        <v>0</v>
      </c>
      <c r="AH38" s="32">
        <f t="shared" si="14"/>
        <v>0</v>
      </c>
      <c r="AI38" s="32">
        <f t="shared" si="14"/>
        <v>0</v>
      </c>
      <c r="AJ38" s="32">
        <f t="shared" si="14"/>
        <v>0</v>
      </c>
      <c r="AK38" s="32">
        <f t="shared" si="14"/>
        <v>0</v>
      </c>
      <c r="AL38" s="32">
        <f t="shared" si="15"/>
        <v>0</v>
      </c>
      <c r="AM38" s="32">
        <f t="shared" si="15"/>
        <v>0</v>
      </c>
      <c r="AN38" s="32">
        <f t="shared" si="15"/>
        <v>0</v>
      </c>
      <c r="AO38" s="32">
        <f t="shared" si="15"/>
        <v>0</v>
      </c>
      <c r="AP38" s="32">
        <f t="shared" si="15"/>
        <v>0</v>
      </c>
      <c r="AQ38" s="32">
        <f t="shared" si="15"/>
        <v>0</v>
      </c>
      <c r="AR38" s="32">
        <f t="shared" si="15"/>
        <v>0</v>
      </c>
      <c r="AS38" s="32">
        <f t="shared" si="15"/>
        <v>0</v>
      </c>
      <c r="AT38" s="32">
        <f t="shared" si="15"/>
        <v>0</v>
      </c>
      <c r="AU38" s="32">
        <f t="shared" si="15"/>
        <v>0</v>
      </c>
      <c r="AV38" s="32">
        <f t="shared" si="16"/>
        <v>0</v>
      </c>
      <c r="AW38" s="32">
        <f t="shared" si="16"/>
        <v>0</v>
      </c>
      <c r="AX38" s="32">
        <f t="shared" si="16"/>
        <v>0</v>
      </c>
      <c r="AY38" s="32">
        <f t="shared" si="16"/>
        <v>0</v>
      </c>
      <c r="AZ38" s="32">
        <f t="shared" si="16"/>
        <v>0</v>
      </c>
      <c r="BA38" s="32">
        <f t="shared" si="16"/>
        <v>0</v>
      </c>
      <c r="BB38" s="32">
        <f t="shared" si="16"/>
        <v>0</v>
      </c>
      <c r="BC38" s="32">
        <f t="shared" si="16"/>
        <v>0</v>
      </c>
      <c r="BD38" s="32">
        <f t="shared" si="16"/>
        <v>0</v>
      </c>
      <c r="BE38" s="32">
        <f t="shared" si="16"/>
        <v>0</v>
      </c>
      <c r="BF38" s="32">
        <f t="shared" si="16"/>
        <v>0</v>
      </c>
    </row>
    <row r="39" spans="3:58" x14ac:dyDescent="0.2">
      <c r="C39" s="8" t="str">
        <v>Indonesia</v>
      </c>
      <c r="D39" s="56" t="str">
        <v>East Asia &amp; Pacific</v>
      </c>
      <c r="E39" s="208">
        <f t="shared" si="0"/>
        <v>11084000</v>
      </c>
      <c r="F39" s="29">
        <f t="shared" si="6"/>
        <v>246965622.78575709</v>
      </c>
      <c r="H39" s="32">
        <f t="shared" si="12"/>
        <v>11084000</v>
      </c>
      <c r="I39" s="32">
        <f t="shared" si="12"/>
        <v>10866666.666666666</v>
      </c>
      <c r="J39" s="32">
        <f t="shared" si="12"/>
        <v>10653594.771241831</v>
      </c>
      <c r="K39" s="32">
        <f t="shared" si="12"/>
        <v>10444700.756119441</v>
      </c>
      <c r="L39" s="32">
        <f t="shared" si="12"/>
        <v>10239902.702077884</v>
      </c>
      <c r="M39" s="32">
        <f t="shared" si="12"/>
        <v>10039120.296154788</v>
      </c>
      <c r="N39" s="32">
        <f t="shared" si="12"/>
        <v>9842274.8001517523</v>
      </c>
      <c r="O39" s="32">
        <f t="shared" si="12"/>
        <v>9649289.0197566226</v>
      </c>
      <c r="P39" s="32">
        <f t="shared" si="12"/>
        <v>9460087.2742711976</v>
      </c>
      <c r="Q39" s="32">
        <f t="shared" si="12"/>
        <v>9274595.3669325467</v>
      </c>
      <c r="R39" s="32">
        <f t="shared" si="13"/>
        <v>9092740.555816222</v>
      </c>
      <c r="S39" s="32">
        <f t="shared" si="13"/>
        <v>8914451.5253100228</v>
      </c>
      <c r="T39" s="32">
        <f t="shared" si="13"/>
        <v>8739658.3581470791</v>
      </c>
      <c r="U39" s="32">
        <f t="shared" si="13"/>
        <v>8568292.5079873335</v>
      </c>
      <c r="V39" s="32">
        <f t="shared" si="13"/>
        <v>8400286.7725366</v>
      </c>
      <c r="W39" s="32">
        <f t="shared" si="13"/>
        <v>8235575.2671927474</v>
      </c>
      <c r="X39" s="32">
        <f t="shared" si="13"/>
        <v>8074093.3992085746</v>
      </c>
      <c r="Y39" s="32">
        <f t="shared" si="13"/>
        <v>7915777.8423613468</v>
      </c>
      <c r="Z39" s="32">
        <f t="shared" si="13"/>
        <v>7760566.5121189691</v>
      </c>
      <c r="AA39" s="32">
        <f t="shared" si="13"/>
        <v>7608398.541293107</v>
      </c>
      <c r="AB39" s="32">
        <f t="shared" si="14"/>
        <v>7459214.2561697122</v>
      </c>
      <c r="AC39" s="32">
        <f t="shared" si="14"/>
        <v>7312955.1531075612</v>
      </c>
      <c r="AD39" s="32">
        <f t="shared" si="14"/>
        <v>7169563.8755956478</v>
      </c>
      <c r="AE39" s="32">
        <f t="shared" si="14"/>
        <v>7028984.1917604404</v>
      </c>
      <c r="AF39" s="32">
        <f t="shared" si="14"/>
        <v>6891160.9723141566</v>
      </c>
      <c r="AG39" s="32">
        <f t="shared" si="14"/>
        <v>6756040.1689354479</v>
      </c>
      <c r="AH39" s="32">
        <f t="shared" si="14"/>
        <v>6623568.793073968</v>
      </c>
      <c r="AI39" s="32">
        <f t="shared" si="14"/>
        <v>6493694.8951705582</v>
      </c>
      <c r="AJ39" s="32">
        <f t="shared" si="14"/>
        <v>6366367.5442848597</v>
      </c>
      <c r="AK39" s="32">
        <f t="shared" si="14"/>
        <v>6241536.8081224123</v>
      </c>
      <c r="AL39" s="32">
        <f t="shared" si="15"/>
        <v>6119153.7334533446</v>
      </c>
      <c r="AM39" s="32">
        <f t="shared" si="15"/>
        <v>5999170.3269150453</v>
      </c>
      <c r="AN39" s="32">
        <f t="shared" si="15"/>
        <v>5881539.5361912195</v>
      </c>
      <c r="AO39" s="32">
        <f t="shared" si="15"/>
        <v>5766215.2315600188</v>
      </c>
      <c r="AP39" s="32">
        <f t="shared" si="15"/>
        <v>5653152.1878039408</v>
      </c>
      <c r="AQ39" s="32">
        <f t="shared" si="15"/>
        <v>5542306.0664744517</v>
      </c>
      <c r="AR39" s="32">
        <f t="shared" si="15"/>
        <v>5433633.3985043643</v>
      </c>
      <c r="AS39" s="32">
        <f t="shared" si="15"/>
        <v>5327091.567161141</v>
      </c>
      <c r="AT39" s="32">
        <f t="shared" si="15"/>
        <v>5222638.7913344512</v>
      </c>
      <c r="AU39" s="32">
        <f t="shared" si="15"/>
        <v>5120234.1091514248</v>
      </c>
      <c r="AV39" s="32">
        <f t="shared" si="16"/>
        <v>5019837.3619131604</v>
      </c>
      <c r="AW39" s="32">
        <f t="shared" si="16"/>
        <v>0</v>
      </c>
      <c r="AX39" s="32">
        <f t="shared" si="16"/>
        <v>0</v>
      </c>
      <c r="AY39" s="32">
        <f t="shared" si="16"/>
        <v>0</v>
      </c>
      <c r="AZ39" s="32">
        <f t="shared" si="16"/>
        <v>0</v>
      </c>
      <c r="BA39" s="32">
        <f t="shared" si="16"/>
        <v>0</v>
      </c>
      <c r="BB39" s="32">
        <f t="shared" si="16"/>
        <v>0</v>
      </c>
      <c r="BC39" s="32">
        <f t="shared" si="16"/>
        <v>0</v>
      </c>
      <c r="BD39" s="32">
        <f t="shared" si="16"/>
        <v>0</v>
      </c>
      <c r="BE39" s="32">
        <f t="shared" si="16"/>
        <v>0</v>
      </c>
      <c r="BF39" s="32">
        <f t="shared" si="16"/>
        <v>0</v>
      </c>
    </row>
    <row r="40" spans="3:58" x14ac:dyDescent="0.2">
      <c r="C40" s="8" t="str">
        <v>Ireland</v>
      </c>
      <c r="D40" s="56" t="str">
        <v>Europe &amp; Central Asia</v>
      </c>
      <c r="E40" s="208">
        <f t="shared" si="0"/>
        <v>494811.35</v>
      </c>
      <c r="F40" s="29">
        <f t="shared" si="6"/>
        <v>11025026.453826349</v>
      </c>
      <c r="H40" s="32">
        <f t="shared" si="12"/>
        <v>494811.35</v>
      </c>
      <c r="I40" s="32">
        <f t="shared" si="12"/>
        <v>485109.16666666663</v>
      </c>
      <c r="J40" s="32">
        <f t="shared" si="12"/>
        <v>475597.22222222219</v>
      </c>
      <c r="K40" s="32">
        <f t="shared" si="12"/>
        <v>466271.78649237473</v>
      </c>
      <c r="L40" s="32">
        <f t="shared" si="12"/>
        <v>457129.20244350465</v>
      </c>
      <c r="M40" s="32">
        <f t="shared" si="12"/>
        <v>448165.88474853395</v>
      </c>
      <c r="N40" s="32">
        <f t="shared" si="12"/>
        <v>439378.31838091562</v>
      </c>
      <c r="O40" s="32">
        <f t="shared" si="12"/>
        <v>430763.05723619187</v>
      </c>
      <c r="P40" s="32">
        <f t="shared" si="12"/>
        <v>422316.72278058022</v>
      </c>
      <c r="Q40" s="32">
        <f t="shared" si="12"/>
        <v>414036.00272605906</v>
      </c>
      <c r="R40" s="32">
        <f t="shared" si="13"/>
        <v>405917.6497314304</v>
      </c>
      <c r="S40" s="32">
        <f t="shared" si="13"/>
        <v>397958.48012885341</v>
      </c>
      <c r="T40" s="32">
        <f t="shared" si="13"/>
        <v>390155.37267534644</v>
      </c>
      <c r="U40" s="32">
        <f t="shared" si="13"/>
        <v>382505.26732877101</v>
      </c>
      <c r="V40" s="32">
        <f t="shared" si="13"/>
        <v>375005.16404781467</v>
      </c>
      <c r="W40" s="32">
        <f t="shared" si="13"/>
        <v>367652.12161550467</v>
      </c>
      <c r="X40" s="32">
        <f t="shared" si="13"/>
        <v>360443.25648578885</v>
      </c>
      <c r="Y40" s="32">
        <f t="shared" si="13"/>
        <v>353375.74165273417</v>
      </c>
      <c r="Z40" s="32">
        <f t="shared" si="13"/>
        <v>346446.80554189626</v>
      </c>
      <c r="AA40" s="32">
        <f t="shared" si="13"/>
        <v>339653.73092342773</v>
      </c>
      <c r="AB40" s="32">
        <f t="shared" si="14"/>
        <v>332993.85384649772</v>
      </c>
      <c r="AC40" s="32">
        <f t="shared" si="14"/>
        <v>326464.56259460567</v>
      </c>
      <c r="AD40" s="32">
        <f t="shared" si="14"/>
        <v>320063.29666137806</v>
      </c>
      <c r="AE40" s="32">
        <f t="shared" si="14"/>
        <v>313787.54574644915</v>
      </c>
      <c r="AF40" s="32">
        <f t="shared" si="14"/>
        <v>307634.84877102857</v>
      </c>
      <c r="AG40" s="32">
        <f t="shared" si="14"/>
        <v>301602.79291277309</v>
      </c>
      <c r="AH40" s="32">
        <f t="shared" si="14"/>
        <v>295689.01265958144</v>
      </c>
      <c r="AI40" s="32">
        <f t="shared" si="14"/>
        <v>289891.18888194265</v>
      </c>
      <c r="AJ40" s="32">
        <f t="shared" si="14"/>
        <v>284207.04792347312</v>
      </c>
      <c r="AK40" s="32">
        <f t="shared" si="14"/>
        <v>278634.3607092874</v>
      </c>
      <c r="AL40" s="32">
        <f t="shared" si="15"/>
        <v>273170.94187185034</v>
      </c>
      <c r="AM40" s="32">
        <f t="shared" si="15"/>
        <v>267814.648893971</v>
      </c>
      <c r="AN40" s="32">
        <f t="shared" si="15"/>
        <v>262563.38126859895</v>
      </c>
      <c r="AO40" s="32">
        <f t="shared" si="15"/>
        <v>257415.07967509702</v>
      </c>
      <c r="AP40" s="32">
        <f t="shared" si="15"/>
        <v>252367.72517166377</v>
      </c>
      <c r="AQ40" s="32">
        <f t="shared" si="15"/>
        <v>247419.33840359194</v>
      </c>
      <c r="AR40" s="32">
        <f t="shared" si="15"/>
        <v>242567.97882705095</v>
      </c>
      <c r="AS40" s="32">
        <f t="shared" si="15"/>
        <v>237811.7439480891</v>
      </c>
      <c r="AT40" s="32">
        <f t="shared" si="15"/>
        <v>233148.76857655792</v>
      </c>
      <c r="AU40" s="32">
        <f t="shared" si="15"/>
        <v>228577.22409466474</v>
      </c>
      <c r="AV40" s="32">
        <f t="shared" si="16"/>
        <v>224095.31773986731</v>
      </c>
      <c r="AW40" s="32">
        <f t="shared" si="16"/>
        <v>0</v>
      </c>
      <c r="AX40" s="32">
        <f t="shared" si="16"/>
        <v>0</v>
      </c>
      <c r="AY40" s="32">
        <f t="shared" si="16"/>
        <v>0</v>
      </c>
      <c r="AZ40" s="32">
        <f t="shared" si="16"/>
        <v>0</v>
      </c>
      <c r="BA40" s="32">
        <f t="shared" si="16"/>
        <v>0</v>
      </c>
      <c r="BB40" s="32">
        <f t="shared" si="16"/>
        <v>0</v>
      </c>
      <c r="BC40" s="32">
        <f t="shared" si="16"/>
        <v>0</v>
      </c>
      <c r="BD40" s="32">
        <f t="shared" si="16"/>
        <v>0</v>
      </c>
      <c r="BE40" s="32">
        <f t="shared" si="16"/>
        <v>0</v>
      </c>
      <c r="BF40" s="32">
        <f t="shared" si="16"/>
        <v>0</v>
      </c>
    </row>
    <row r="41" spans="3:58" x14ac:dyDescent="0.2">
      <c r="C41" s="8" t="str">
        <v>Israel</v>
      </c>
      <c r="D41" s="56" t="str">
        <v>Middle East &amp; North Africa</v>
      </c>
      <c r="E41" s="208">
        <f t="shared" si="0"/>
        <v>81000</v>
      </c>
      <c r="F41" s="29">
        <f t="shared" si="6"/>
        <v>1804783.0607764635</v>
      </c>
      <c r="H41" s="32">
        <f t="shared" si="12"/>
        <v>81000</v>
      </c>
      <c r="I41" s="32">
        <f t="shared" si="12"/>
        <v>79411.76470588235</v>
      </c>
      <c r="J41" s="32">
        <f t="shared" si="12"/>
        <v>77854.671280276816</v>
      </c>
      <c r="K41" s="32">
        <f t="shared" si="12"/>
        <v>76328.109098310611</v>
      </c>
      <c r="L41" s="32">
        <f t="shared" si="12"/>
        <v>74831.479508147648</v>
      </c>
      <c r="M41" s="32">
        <f t="shared" si="12"/>
        <v>73364.195596223188</v>
      </c>
      <c r="N41" s="32">
        <f t="shared" si="12"/>
        <v>71925.681957081557</v>
      </c>
      <c r="O41" s="32">
        <f t="shared" si="12"/>
        <v>70515.37446772703</v>
      </c>
      <c r="P41" s="32">
        <f t="shared" si="12"/>
        <v>69132.720066399037</v>
      </c>
      <c r="Q41" s="32">
        <f t="shared" si="12"/>
        <v>67777.176535685328</v>
      </c>
      <c r="R41" s="32">
        <f t="shared" si="13"/>
        <v>66448.212289887582</v>
      </c>
      <c r="S41" s="32">
        <f t="shared" si="13"/>
        <v>65145.30616655646</v>
      </c>
      <c r="T41" s="32">
        <f t="shared" si="13"/>
        <v>63867.94722211417</v>
      </c>
      <c r="U41" s="32">
        <f t="shared" si="13"/>
        <v>62615.63453148448</v>
      </c>
      <c r="V41" s="32">
        <f t="shared" si="13"/>
        <v>61387.87699165145</v>
      </c>
      <c r="W41" s="32">
        <f t="shared" si="13"/>
        <v>60184.19312907006</v>
      </c>
      <c r="X41" s="32">
        <f t="shared" si="13"/>
        <v>59004.110910852993</v>
      </c>
      <c r="Y41" s="32">
        <f t="shared" si="13"/>
        <v>57847.167559659792</v>
      </c>
      <c r="Z41" s="32">
        <f t="shared" si="13"/>
        <v>56712.909372215487</v>
      </c>
      <c r="AA41" s="32">
        <f t="shared" si="13"/>
        <v>55600.891541387733</v>
      </c>
      <c r="AB41" s="32">
        <f t="shared" si="14"/>
        <v>54510.677981752677</v>
      </c>
      <c r="AC41" s="32">
        <f t="shared" si="14"/>
        <v>53441.841158581061</v>
      </c>
      <c r="AD41" s="32">
        <f t="shared" si="14"/>
        <v>52393.961920177506</v>
      </c>
      <c r="AE41" s="32">
        <f t="shared" si="14"/>
        <v>51366.629333507371</v>
      </c>
      <c r="AF41" s="32">
        <f t="shared" si="14"/>
        <v>50359.44052304644</v>
      </c>
      <c r="AG41" s="32">
        <f t="shared" si="14"/>
        <v>49372.000512790626</v>
      </c>
      <c r="AH41" s="32">
        <f t="shared" si="14"/>
        <v>48403.922071363355</v>
      </c>
      <c r="AI41" s="32">
        <f t="shared" si="14"/>
        <v>47454.825560160156</v>
      </c>
      <c r="AJ41" s="32">
        <f t="shared" si="14"/>
        <v>46524.338784470732</v>
      </c>
      <c r="AK41" s="32">
        <f t="shared" si="14"/>
        <v>45612.096847520334</v>
      </c>
      <c r="AL41" s="32">
        <f t="shared" si="15"/>
        <v>44717.742007372872</v>
      </c>
      <c r="AM41" s="32">
        <f t="shared" si="15"/>
        <v>43840.923536640083</v>
      </c>
      <c r="AN41" s="32">
        <f t="shared" si="15"/>
        <v>42981.297584941247</v>
      </c>
      <c r="AO41" s="32">
        <f t="shared" si="15"/>
        <v>42138.527044060043</v>
      </c>
      <c r="AP41" s="32">
        <f t="shared" si="15"/>
        <v>41312.281415745143</v>
      </c>
      <c r="AQ41" s="32">
        <f t="shared" si="15"/>
        <v>40502.236682103081</v>
      </c>
      <c r="AR41" s="32">
        <f t="shared" si="15"/>
        <v>39708.075178532439</v>
      </c>
      <c r="AS41" s="32">
        <f t="shared" si="15"/>
        <v>38929.48546914944</v>
      </c>
      <c r="AT41" s="32">
        <f t="shared" si="15"/>
        <v>38166.162224656313</v>
      </c>
      <c r="AU41" s="32">
        <f t="shared" si="15"/>
        <v>37417.806102604241</v>
      </c>
      <c r="AV41" s="32">
        <f t="shared" si="16"/>
        <v>36684.123630004149</v>
      </c>
      <c r="AW41" s="32">
        <f t="shared" si="16"/>
        <v>0</v>
      </c>
      <c r="AX41" s="32">
        <f t="shared" si="16"/>
        <v>0</v>
      </c>
      <c r="AY41" s="32">
        <f t="shared" si="16"/>
        <v>0</v>
      </c>
      <c r="AZ41" s="32">
        <f t="shared" si="16"/>
        <v>0</v>
      </c>
      <c r="BA41" s="32">
        <f t="shared" si="16"/>
        <v>0</v>
      </c>
      <c r="BB41" s="32">
        <f t="shared" si="16"/>
        <v>0</v>
      </c>
      <c r="BC41" s="32">
        <f t="shared" si="16"/>
        <v>0</v>
      </c>
      <c r="BD41" s="32">
        <f t="shared" si="16"/>
        <v>0</v>
      </c>
      <c r="BE41" s="32">
        <f t="shared" si="16"/>
        <v>0</v>
      </c>
      <c r="BF41" s="32">
        <f t="shared" si="16"/>
        <v>0</v>
      </c>
    </row>
    <row r="42" spans="3:58" x14ac:dyDescent="0.2">
      <c r="C42" s="8" t="str">
        <v>Italy</v>
      </c>
      <c r="D42" s="56" t="str">
        <v>Europe &amp; Central Asia</v>
      </c>
      <c r="E42" s="208">
        <f t="shared" si="0"/>
        <v>5716796</v>
      </c>
      <c r="F42" s="29">
        <f t="shared" si="6"/>
        <v>127377488.67548946</v>
      </c>
      <c r="H42" s="32">
        <f t="shared" si="12"/>
        <v>5716796</v>
      </c>
      <c r="I42" s="32">
        <f t="shared" si="12"/>
        <v>5604701.9607843133</v>
      </c>
      <c r="J42" s="32">
        <f t="shared" si="12"/>
        <v>5494805.8439061902</v>
      </c>
      <c r="K42" s="32">
        <f t="shared" si="12"/>
        <v>5387064.5528492061</v>
      </c>
      <c r="L42" s="32">
        <f t="shared" si="12"/>
        <v>5281435.8361266721</v>
      </c>
      <c r="M42" s="32">
        <f t="shared" si="12"/>
        <v>5177878.2707124241</v>
      </c>
      <c r="N42" s="32">
        <f t="shared" si="12"/>
        <v>5076351.2457964933</v>
      </c>
      <c r="O42" s="32">
        <f t="shared" si="12"/>
        <v>4976814.9468593085</v>
      </c>
      <c r="P42" s="32">
        <f t="shared" si="12"/>
        <v>4879230.3400581451</v>
      </c>
      <c r="Q42" s="32">
        <f t="shared" si="12"/>
        <v>4783559.1569197504</v>
      </c>
      <c r="R42" s="32">
        <f t="shared" si="13"/>
        <v>4689763.8793330882</v>
      </c>
      <c r="S42" s="32">
        <f t="shared" si="13"/>
        <v>4597807.7248363616</v>
      </c>
      <c r="T42" s="32">
        <f t="shared" si="13"/>
        <v>4507654.6321925111</v>
      </c>
      <c r="U42" s="32">
        <f t="shared" si="13"/>
        <v>4419269.2472475599</v>
      </c>
      <c r="V42" s="32">
        <f t="shared" si="13"/>
        <v>4332616.9090662347</v>
      </c>
      <c r="W42" s="32">
        <f t="shared" si="13"/>
        <v>4247663.6363394475</v>
      </c>
      <c r="X42" s="32">
        <f t="shared" si="13"/>
        <v>4164376.1140582808</v>
      </c>
      <c r="Y42" s="32">
        <f t="shared" si="13"/>
        <v>4082721.6804492944</v>
      </c>
      <c r="Z42" s="32">
        <f t="shared" si="13"/>
        <v>4002668.3141659754</v>
      </c>
      <c r="AA42" s="32">
        <f t="shared" si="13"/>
        <v>3924184.6217313488</v>
      </c>
      <c r="AB42" s="32">
        <f t="shared" si="14"/>
        <v>3847239.8252268122</v>
      </c>
      <c r="AC42" s="32">
        <f t="shared" si="14"/>
        <v>3771803.7502223649</v>
      </c>
      <c r="AD42" s="32">
        <f t="shared" si="14"/>
        <v>3697846.813943495</v>
      </c>
      <c r="AE42" s="32">
        <f t="shared" si="14"/>
        <v>3625340.0136700938</v>
      </c>
      <c r="AF42" s="32">
        <f t="shared" si="14"/>
        <v>3554254.9153628368</v>
      </c>
      <c r="AG42" s="32">
        <f t="shared" si="14"/>
        <v>3484563.642512585</v>
      </c>
      <c r="AH42" s="32">
        <f t="shared" si="14"/>
        <v>3416238.8652084162</v>
      </c>
      <c r="AI42" s="32">
        <f t="shared" si="14"/>
        <v>3349253.7894200166</v>
      </c>
      <c r="AJ42" s="32">
        <f t="shared" si="14"/>
        <v>3283582.1464902116</v>
      </c>
      <c r="AK42" s="32">
        <f t="shared" si="14"/>
        <v>3219198.1828335412</v>
      </c>
      <c r="AL42" s="32">
        <f t="shared" si="15"/>
        <v>3156076.6498368052</v>
      </c>
      <c r="AM42" s="32">
        <f t="shared" si="15"/>
        <v>3094192.7939576525</v>
      </c>
      <c r="AN42" s="32">
        <f t="shared" si="15"/>
        <v>3033522.3470173059</v>
      </c>
      <c r="AO42" s="32">
        <f t="shared" si="15"/>
        <v>2974041.516683633</v>
      </c>
      <c r="AP42" s="32">
        <f t="shared" si="15"/>
        <v>2915726.9771408169</v>
      </c>
      <c r="AQ42" s="32">
        <f t="shared" si="15"/>
        <v>2858555.8599419775</v>
      </c>
      <c r="AR42" s="32">
        <f t="shared" si="15"/>
        <v>2802505.7450411548</v>
      </c>
      <c r="AS42" s="32">
        <f t="shared" si="15"/>
        <v>2747554.6520011318</v>
      </c>
      <c r="AT42" s="32">
        <f t="shared" si="15"/>
        <v>2693681.0313736582</v>
      </c>
      <c r="AU42" s="32">
        <f t="shared" si="15"/>
        <v>2640863.7562486855</v>
      </c>
      <c r="AV42" s="32">
        <f t="shared" si="16"/>
        <v>2589082.113969299</v>
      </c>
      <c r="AW42" s="32">
        <f t="shared" si="16"/>
        <v>0</v>
      </c>
      <c r="AX42" s="32">
        <f t="shared" si="16"/>
        <v>0</v>
      </c>
      <c r="AY42" s="32">
        <f t="shared" si="16"/>
        <v>0</v>
      </c>
      <c r="AZ42" s="32">
        <f t="shared" si="16"/>
        <v>0</v>
      </c>
      <c r="BA42" s="32">
        <f t="shared" si="16"/>
        <v>0</v>
      </c>
      <c r="BB42" s="32">
        <f t="shared" si="16"/>
        <v>0</v>
      </c>
      <c r="BC42" s="32">
        <f t="shared" si="16"/>
        <v>0</v>
      </c>
      <c r="BD42" s="32">
        <f t="shared" si="16"/>
        <v>0</v>
      </c>
      <c r="BE42" s="32">
        <f t="shared" si="16"/>
        <v>0</v>
      </c>
      <c r="BF42" s="32">
        <f t="shared" si="16"/>
        <v>0</v>
      </c>
    </row>
    <row r="43" spans="3:58" x14ac:dyDescent="0.2">
      <c r="C43" s="8" t="str">
        <v>Jamaica</v>
      </c>
      <c r="D43" s="56" t="str">
        <v>Latin America &amp; Caribbean</v>
      </c>
      <c r="E43" s="208">
        <f t="shared" si="0"/>
        <v>0</v>
      </c>
      <c r="F43" s="29">
        <f t="shared" si="6"/>
        <v>0</v>
      </c>
      <c r="H43" s="32">
        <f t="shared" ref="H43:Q52" si="17">IFERROR(IF(H$11&lt;=$F$3,$E43/(1+$I$3)^H$11,0),"No value")</f>
        <v>0</v>
      </c>
      <c r="I43" s="32">
        <f t="shared" si="17"/>
        <v>0</v>
      </c>
      <c r="J43" s="32">
        <f t="shared" si="17"/>
        <v>0</v>
      </c>
      <c r="K43" s="32">
        <f t="shared" si="17"/>
        <v>0</v>
      </c>
      <c r="L43" s="32">
        <f t="shared" si="17"/>
        <v>0</v>
      </c>
      <c r="M43" s="32">
        <f t="shared" si="17"/>
        <v>0</v>
      </c>
      <c r="N43" s="32">
        <f t="shared" si="17"/>
        <v>0</v>
      </c>
      <c r="O43" s="32">
        <f t="shared" si="17"/>
        <v>0</v>
      </c>
      <c r="P43" s="32">
        <f t="shared" si="17"/>
        <v>0</v>
      </c>
      <c r="Q43" s="32">
        <f t="shared" si="17"/>
        <v>0</v>
      </c>
      <c r="R43" s="32">
        <f t="shared" ref="R43:AA52" si="18">IFERROR(IF(R$11&lt;=$F$3,$E43/(1+$I$3)^R$11,0),"No value")</f>
        <v>0</v>
      </c>
      <c r="S43" s="32">
        <f t="shared" si="18"/>
        <v>0</v>
      </c>
      <c r="T43" s="32">
        <f t="shared" si="18"/>
        <v>0</v>
      </c>
      <c r="U43" s="32">
        <f t="shared" si="18"/>
        <v>0</v>
      </c>
      <c r="V43" s="32">
        <f t="shared" si="18"/>
        <v>0</v>
      </c>
      <c r="W43" s="32">
        <f t="shared" si="18"/>
        <v>0</v>
      </c>
      <c r="X43" s="32">
        <f t="shared" si="18"/>
        <v>0</v>
      </c>
      <c r="Y43" s="32">
        <f t="shared" si="18"/>
        <v>0</v>
      </c>
      <c r="Z43" s="32">
        <f t="shared" si="18"/>
        <v>0</v>
      </c>
      <c r="AA43" s="32">
        <f t="shared" si="18"/>
        <v>0</v>
      </c>
      <c r="AB43" s="32">
        <f t="shared" ref="AB43:AK52" si="19">IFERROR(IF(AB$11&lt;=$F$3,$E43/(1+$I$3)^AB$11,0),"No value")</f>
        <v>0</v>
      </c>
      <c r="AC43" s="32">
        <f t="shared" si="19"/>
        <v>0</v>
      </c>
      <c r="AD43" s="32">
        <f t="shared" si="19"/>
        <v>0</v>
      </c>
      <c r="AE43" s="32">
        <f t="shared" si="19"/>
        <v>0</v>
      </c>
      <c r="AF43" s="32">
        <f t="shared" si="19"/>
        <v>0</v>
      </c>
      <c r="AG43" s="32">
        <f t="shared" si="19"/>
        <v>0</v>
      </c>
      <c r="AH43" s="32">
        <f t="shared" si="19"/>
        <v>0</v>
      </c>
      <c r="AI43" s="32">
        <f t="shared" si="19"/>
        <v>0</v>
      </c>
      <c r="AJ43" s="32">
        <f t="shared" si="19"/>
        <v>0</v>
      </c>
      <c r="AK43" s="32">
        <f t="shared" si="19"/>
        <v>0</v>
      </c>
      <c r="AL43" s="32">
        <f t="shared" ref="AL43:AU52" si="20">IFERROR(IF(AL$11&lt;=$F$3,$E43/(1+$I$3)^AL$11,0),"No value")</f>
        <v>0</v>
      </c>
      <c r="AM43" s="32">
        <f t="shared" si="20"/>
        <v>0</v>
      </c>
      <c r="AN43" s="32">
        <f t="shared" si="20"/>
        <v>0</v>
      </c>
      <c r="AO43" s="32">
        <f t="shared" si="20"/>
        <v>0</v>
      </c>
      <c r="AP43" s="32">
        <f t="shared" si="20"/>
        <v>0</v>
      </c>
      <c r="AQ43" s="32">
        <f t="shared" si="20"/>
        <v>0</v>
      </c>
      <c r="AR43" s="32">
        <f t="shared" si="20"/>
        <v>0</v>
      </c>
      <c r="AS43" s="32">
        <f t="shared" si="20"/>
        <v>0</v>
      </c>
      <c r="AT43" s="32">
        <f t="shared" si="20"/>
        <v>0</v>
      </c>
      <c r="AU43" s="32">
        <f t="shared" si="20"/>
        <v>0</v>
      </c>
      <c r="AV43" s="32">
        <f t="shared" ref="AV43:BF52" si="21">IFERROR(IF(AV$11&lt;=$F$3,$E43/(1+$I$3)^AV$11,0),"No value")</f>
        <v>0</v>
      </c>
      <c r="AW43" s="32">
        <f t="shared" si="21"/>
        <v>0</v>
      </c>
      <c r="AX43" s="32">
        <f t="shared" si="21"/>
        <v>0</v>
      </c>
      <c r="AY43" s="32">
        <f t="shared" si="21"/>
        <v>0</v>
      </c>
      <c r="AZ43" s="32">
        <f t="shared" si="21"/>
        <v>0</v>
      </c>
      <c r="BA43" s="32">
        <f t="shared" si="21"/>
        <v>0</v>
      </c>
      <c r="BB43" s="32">
        <f t="shared" si="21"/>
        <v>0</v>
      </c>
      <c r="BC43" s="32">
        <f t="shared" si="21"/>
        <v>0</v>
      </c>
      <c r="BD43" s="32">
        <f t="shared" si="21"/>
        <v>0</v>
      </c>
      <c r="BE43" s="32">
        <f t="shared" si="21"/>
        <v>0</v>
      </c>
      <c r="BF43" s="32">
        <f t="shared" si="21"/>
        <v>0</v>
      </c>
    </row>
    <row r="44" spans="3:58" x14ac:dyDescent="0.2">
      <c r="C44" s="8" t="str">
        <v>Japan</v>
      </c>
      <c r="D44" s="56" t="str">
        <v>East Asia &amp; Pacific</v>
      </c>
      <c r="E44" s="208">
        <f t="shared" si="0"/>
        <v>34261440</v>
      </c>
      <c r="F44" s="29">
        <f t="shared" si="6"/>
        <v>763388475.92357004</v>
      </c>
      <c r="H44" s="32">
        <f t="shared" si="17"/>
        <v>34261440</v>
      </c>
      <c r="I44" s="32">
        <f t="shared" si="17"/>
        <v>33589647.058823526</v>
      </c>
      <c r="J44" s="32">
        <f t="shared" si="17"/>
        <v>32931026.528258361</v>
      </c>
      <c r="K44" s="32">
        <f t="shared" si="17"/>
        <v>32285320.125743493</v>
      </c>
      <c r="L44" s="32">
        <f t="shared" si="17"/>
        <v>31652274.633081857</v>
      </c>
      <c r="M44" s="32">
        <f t="shared" si="17"/>
        <v>31031641.797139075</v>
      </c>
      <c r="N44" s="32">
        <f t="shared" si="17"/>
        <v>30423178.232489288</v>
      </c>
      <c r="O44" s="32">
        <f t="shared" si="17"/>
        <v>29826645.325969893</v>
      </c>
      <c r="P44" s="32">
        <f t="shared" si="17"/>
        <v>29241809.143107738</v>
      </c>
      <c r="Q44" s="32">
        <f t="shared" si="17"/>
        <v>28668440.336380135</v>
      </c>
      <c r="R44" s="32">
        <f t="shared" si="18"/>
        <v>28106314.055274639</v>
      </c>
      <c r="S44" s="32">
        <f t="shared" si="18"/>
        <v>27555209.858112399</v>
      </c>
      <c r="T44" s="32">
        <f t="shared" si="18"/>
        <v>27014911.625600386</v>
      </c>
      <c r="U44" s="32">
        <f t="shared" si="18"/>
        <v>26485207.476078812</v>
      </c>
      <c r="V44" s="32">
        <f t="shared" si="18"/>
        <v>25965889.682430204</v>
      </c>
      <c r="W44" s="32">
        <f t="shared" si="18"/>
        <v>25456754.590617854</v>
      </c>
      <c r="X44" s="32">
        <f t="shared" si="18"/>
        <v>24957602.53982142</v>
      </c>
      <c r="Y44" s="32">
        <f t="shared" si="18"/>
        <v>24468237.784138646</v>
      </c>
      <c r="Z44" s="32">
        <f t="shared" si="18"/>
        <v>23988468.415822204</v>
      </c>
      <c r="AA44" s="32">
        <f t="shared" si="18"/>
        <v>23518106.29002177</v>
      </c>
      <c r="AB44" s="32">
        <f t="shared" si="19"/>
        <v>23056966.951001734</v>
      </c>
      <c r="AC44" s="32">
        <f t="shared" si="19"/>
        <v>22604869.559805624</v>
      </c>
      <c r="AD44" s="32">
        <f t="shared" si="19"/>
        <v>22161636.823338844</v>
      </c>
      <c r="AE44" s="32">
        <f t="shared" si="19"/>
        <v>21727094.924842007</v>
      </c>
      <c r="AF44" s="32">
        <f t="shared" si="19"/>
        <v>21301073.455727458</v>
      </c>
      <c r="AG44" s="32">
        <f t="shared" si="19"/>
        <v>20883405.348752409</v>
      </c>
      <c r="AH44" s="32">
        <f t="shared" si="19"/>
        <v>20473926.812502362</v>
      </c>
      <c r="AI44" s="32">
        <f t="shared" si="19"/>
        <v>20072477.267159183</v>
      </c>
      <c r="AJ44" s="32">
        <f t="shared" si="19"/>
        <v>19678899.281528603</v>
      </c>
      <c r="AK44" s="32">
        <f t="shared" si="19"/>
        <v>19293038.511302557</v>
      </c>
      <c r="AL44" s="32">
        <f t="shared" si="20"/>
        <v>18914743.638531916</v>
      </c>
      <c r="AM44" s="32">
        <f t="shared" si="20"/>
        <v>18543866.312286198</v>
      </c>
      <c r="AN44" s="32">
        <f t="shared" si="20"/>
        <v>18180261.090476658</v>
      </c>
      <c r="AO44" s="32">
        <f t="shared" si="20"/>
        <v>17823785.382820252</v>
      </c>
      <c r="AP44" s="32">
        <f t="shared" si="20"/>
        <v>17474299.394921821</v>
      </c>
      <c r="AQ44" s="32">
        <f t="shared" si="20"/>
        <v>17131666.073452763</v>
      </c>
      <c r="AR44" s="32">
        <f t="shared" si="20"/>
        <v>16795751.052404672</v>
      </c>
      <c r="AS44" s="32">
        <f t="shared" si="20"/>
        <v>16466422.600396734</v>
      </c>
      <c r="AT44" s="32">
        <f t="shared" si="20"/>
        <v>16143551.569016404</v>
      </c>
      <c r="AU44" s="32">
        <f t="shared" si="20"/>
        <v>15827011.342172952</v>
      </c>
      <c r="AV44" s="32">
        <f t="shared" si="21"/>
        <v>15516677.786444066</v>
      </c>
      <c r="AW44" s="32">
        <f t="shared" si="21"/>
        <v>0</v>
      </c>
      <c r="AX44" s="32">
        <f t="shared" si="21"/>
        <v>0</v>
      </c>
      <c r="AY44" s="32">
        <f t="shared" si="21"/>
        <v>0</v>
      </c>
      <c r="AZ44" s="32">
        <f t="shared" si="21"/>
        <v>0</v>
      </c>
      <c r="BA44" s="32">
        <f t="shared" si="21"/>
        <v>0</v>
      </c>
      <c r="BB44" s="32">
        <f t="shared" si="21"/>
        <v>0</v>
      </c>
      <c r="BC44" s="32">
        <f t="shared" si="21"/>
        <v>0</v>
      </c>
      <c r="BD44" s="32">
        <f t="shared" si="21"/>
        <v>0</v>
      </c>
      <c r="BE44" s="32">
        <f t="shared" si="21"/>
        <v>0</v>
      </c>
      <c r="BF44" s="32">
        <f t="shared" si="21"/>
        <v>0</v>
      </c>
    </row>
    <row r="45" spans="3:58" x14ac:dyDescent="0.2">
      <c r="C45" s="8" t="str">
        <v>Jordan</v>
      </c>
      <c r="D45" s="56" t="str">
        <v>Middle East &amp; North Africa</v>
      </c>
      <c r="E45" s="208">
        <f t="shared" ref="E45:E74" si="22">INDEX(Input_IncinerationWasteTonnes,MATCH(C45,Input_countries,0))</f>
        <v>12649.985000000001</v>
      </c>
      <c r="F45" s="29">
        <f t="shared" si="6"/>
        <v>281857.76107501675</v>
      </c>
      <c r="H45" s="32">
        <f t="shared" si="17"/>
        <v>12649.985000000001</v>
      </c>
      <c r="I45" s="32">
        <f t="shared" si="17"/>
        <v>12401.946078431372</v>
      </c>
      <c r="J45" s="32">
        <f t="shared" si="17"/>
        <v>12158.770665128797</v>
      </c>
      <c r="K45" s="32">
        <f t="shared" si="17"/>
        <v>11920.363397185096</v>
      </c>
      <c r="L45" s="32">
        <f t="shared" si="17"/>
        <v>11686.630781554015</v>
      </c>
      <c r="M45" s="32">
        <f t="shared" si="17"/>
        <v>11457.481158386288</v>
      </c>
      <c r="N45" s="32">
        <f t="shared" si="17"/>
        <v>11232.824665084596</v>
      </c>
      <c r="O45" s="32">
        <f t="shared" si="17"/>
        <v>11012.573201063333</v>
      </c>
      <c r="P45" s="32">
        <f t="shared" si="17"/>
        <v>10796.640393199345</v>
      </c>
      <c r="Q45" s="32">
        <f t="shared" si="17"/>
        <v>10584.941561960142</v>
      </c>
      <c r="R45" s="32">
        <f t="shared" si="18"/>
        <v>10377.393688196216</v>
      </c>
      <c r="S45" s="32">
        <f t="shared" si="18"/>
        <v>10173.915380584529</v>
      </c>
      <c r="T45" s="32">
        <f t="shared" si="18"/>
        <v>9974.4268437103201</v>
      </c>
      <c r="U45" s="32">
        <f t="shared" si="18"/>
        <v>9778.849846774825</v>
      </c>
      <c r="V45" s="32">
        <f t="shared" si="18"/>
        <v>9587.1076929164938</v>
      </c>
      <c r="W45" s="32">
        <f t="shared" si="18"/>
        <v>9399.1251891338197</v>
      </c>
      <c r="X45" s="32">
        <f t="shared" si="18"/>
        <v>9214.8286167978604</v>
      </c>
      <c r="Y45" s="32">
        <f t="shared" si="18"/>
        <v>9034.1457027430006</v>
      </c>
      <c r="Z45" s="32">
        <f t="shared" si="18"/>
        <v>8857.0055909245111</v>
      </c>
      <c r="AA45" s="32">
        <f t="shared" si="18"/>
        <v>8683.3388146318739</v>
      </c>
      <c r="AB45" s="32">
        <f t="shared" si="19"/>
        <v>8513.0772692469345</v>
      </c>
      <c r="AC45" s="32">
        <f t="shared" si="19"/>
        <v>8346.1541855362102</v>
      </c>
      <c r="AD45" s="32">
        <f t="shared" si="19"/>
        <v>8182.5041034668729</v>
      </c>
      <c r="AE45" s="32">
        <f t="shared" si="19"/>
        <v>8022.0628465361515</v>
      </c>
      <c r="AF45" s="32">
        <f t="shared" si="19"/>
        <v>7864.7674966040695</v>
      </c>
      <c r="AG45" s="32">
        <f t="shared" si="19"/>
        <v>7710.5563692196756</v>
      </c>
      <c r="AH45" s="32">
        <f t="shared" si="19"/>
        <v>7559.3689894310537</v>
      </c>
      <c r="AI45" s="32">
        <f t="shared" si="19"/>
        <v>7411.1460680696619</v>
      </c>
      <c r="AJ45" s="32">
        <f t="shared" si="19"/>
        <v>7265.8294784996669</v>
      </c>
      <c r="AK45" s="32">
        <f t="shared" si="19"/>
        <v>7123.3622338232044</v>
      </c>
      <c r="AL45" s="32">
        <f t="shared" si="20"/>
        <v>6983.6884645325526</v>
      </c>
      <c r="AM45" s="32">
        <f t="shared" si="20"/>
        <v>6846.7533966005431</v>
      </c>
      <c r="AN45" s="32">
        <f t="shared" si="20"/>
        <v>6712.5033300005316</v>
      </c>
      <c r="AO45" s="32">
        <f t="shared" si="20"/>
        <v>6580.8856176475792</v>
      </c>
      <c r="AP45" s="32">
        <f t="shared" si="20"/>
        <v>6451.8486447525293</v>
      </c>
      <c r="AQ45" s="32">
        <f t="shared" si="20"/>
        <v>6325.3418085809108</v>
      </c>
      <c r="AR45" s="32">
        <f t="shared" si="20"/>
        <v>6201.3154986087366</v>
      </c>
      <c r="AS45" s="32">
        <f t="shared" si="20"/>
        <v>6079.7210770673883</v>
      </c>
      <c r="AT45" s="32">
        <f t="shared" si="20"/>
        <v>5960.5108598699881</v>
      </c>
      <c r="AU45" s="32">
        <f t="shared" si="20"/>
        <v>5843.6380979117548</v>
      </c>
      <c r="AV45" s="32">
        <f t="shared" si="21"/>
        <v>5729.0569587370128</v>
      </c>
      <c r="AW45" s="32">
        <f t="shared" si="21"/>
        <v>0</v>
      </c>
      <c r="AX45" s="32">
        <f t="shared" si="21"/>
        <v>0</v>
      </c>
      <c r="AY45" s="32">
        <f t="shared" si="21"/>
        <v>0</v>
      </c>
      <c r="AZ45" s="32">
        <f t="shared" si="21"/>
        <v>0</v>
      </c>
      <c r="BA45" s="32">
        <f t="shared" si="21"/>
        <v>0</v>
      </c>
      <c r="BB45" s="32">
        <f t="shared" si="21"/>
        <v>0</v>
      </c>
      <c r="BC45" s="32">
        <f t="shared" si="21"/>
        <v>0</v>
      </c>
      <c r="BD45" s="32">
        <f t="shared" si="21"/>
        <v>0</v>
      </c>
      <c r="BE45" s="32">
        <f t="shared" si="21"/>
        <v>0</v>
      </c>
      <c r="BF45" s="32">
        <f t="shared" si="21"/>
        <v>0</v>
      </c>
    </row>
    <row r="46" spans="3:58" x14ac:dyDescent="0.2">
      <c r="C46" s="8" t="str">
        <v>Korea, Rep.</v>
      </c>
      <c r="D46" s="56" t="str">
        <v>East Asia &amp; Pacific</v>
      </c>
      <c r="E46" s="208">
        <f t="shared" si="22"/>
        <v>5113194</v>
      </c>
      <c r="F46" s="29">
        <f t="shared" si="6"/>
        <v>113928468.1193068</v>
      </c>
      <c r="H46" s="32">
        <f t="shared" si="17"/>
        <v>5113194</v>
      </c>
      <c r="I46" s="32">
        <f t="shared" si="17"/>
        <v>5012935.2941176472</v>
      </c>
      <c r="J46" s="32">
        <f t="shared" si="17"/>
        <v>4914642.4452133793</v>
      </c>
      <c r="K46" s="32">
        <f t="shared" si="17"/>
        <v>4818276.9070719406</v>
      </c>
      <c r="L46" s="32">
        <f t="shared" si="17"/>
        <v>4723800.8892862163</v>
      </c>
      <c r="M46" s="32">
        <f t="shared" si="17"/>
        <v>4631177.3424374666</v>
      </c>
      <c r="N46" s="32">
        <f t="shared" si="17"/>
        <v>4540369.9435661435</v>
      </c>
      <c r="O46" s="32">
        <f t="shared" si="17"/>
        <v>4451343.0819275929</v>
      </c>
      <c r="P46" s="32">
        <f t="shared" si="17"/>
        <v>4364061.8450270519</v>
      </c>
      <c r="Q46" s="32">
        <f t="shared" si="17"/>
        <v>4278492.0049284818</v>
      </c>
      <c r="R46" s="32">
        <f t="shared" si="18"/>
        <v>4194600.0048318449</v>
      </c>
      <c r="S46" s="32">
        <f t="shared" si="18"/>
        <v>4112352.9459135742</v>
      </c>
      <c r="T46" s="32">
        <f t="shared" si="18"/>
        <v>4031718.5744250719</v>
      </c>
      <c r="U46" s="32">
        <f t="shared" si="18"/>
        <v>3952665.2690441883</v>
      </c>
      <c r="V46" s="32">
        <f t="shared" si="18"/>
        <v>3875162.0284746941</v>
      </c>
      <c r="W46" s="32">
        <f t="shared" si="18"/>
        <v>3799178.459288917</v>
      </c>
      <c r="X46" s="32">
        <f t="shared" si="18"/>
        <v>3724684.7640087414</v>
      </c>
      <c r="Y46" s="32">
        <f t="shared" si="18"/>
        <v>3651651.7294203346</v>
      </c>
      <c r="Z46" s="32">
        <f t="shared" si="18"/>
        <v>3580050.7151179751</v>
      </c>
      <c r="AA46" s="32">
        <f t="shared" si="18"/>
        <v>3509853.642272525</v>
      </c>
      <c r="AB46" s="32">
        <f t="shared" si="19"/>
        <v>3441032.9826201224</v>
      </c>
      <c r="AC46" s="32">
        <f t="shared" si="19"/>
        <v>3373561.7476667869</v>
      </c>
      <c r="AD46" s="32">
        <f t="shared" si="19"/>
        <v>3307413.4781046924</v>
      </c>
      <c r="AE46" s="32">
        <f t="shared" si="19"/>
        <v>3242562.233435974</v>
      </c>
      <c r="AF46" s="32">
        <f t="shared" si="19"/>
        <v>3178982.5817999742</v>
      </c>
      <c r="AG46" s="32">
        <f t="shared" si="19"/>
        <v>3116649.5899999747</v>
      </c>
      <c r="AH46" s="32">
        <f t="shared" si="19"/>
        <v>3055538.813725465</v>
      </c>
      <c r="AI46" s="32">
        <f t="shared" si="19"/>
        <v>2995626.2879661429</v>
      </c>
      <c r="AJ46" s="32">
        <f t="shared" si="19"/>
        <v>2936888.517613865</v>
      </c>
      <c r="AK46" s="32">
        <f t="shared" si="19"/>
        <v>2879302.4682488875</v>
      </c>
      <c r="AL46" s="32">
        <f t="shared" si="20"/>
        <v>2822845.5571067524</v>
      </c>
      <c r="AM46" s="32">
        <f t="shared" si="20"/>
        <v>2767495.6442223066</v>
      </c>
      <c r="AN46" s="32">
        <f t="shared" si="20"/>
        <v>2713231.0237473589</v>
      </c>
      <c r="AO46" s="32">
        <f t="shared" si="20"/>
        <v>2660030.4154385868</v>
      </c>
      <c r="AP46" s="32">
        <f t="shared" si="20"/>
        <v>2607872.9563123407</v>
      </c>
      <c r="AQ46" s="32">
        <f t="shared" si="20"/>
        <v>2556738.192463079</v>
      </c>
      <c r="AR46" s="32">
        <f t="shared" si="20"/>
        <v>2506606.0710422345</v>
      </c>
      <c r="AS46" s="32">
        <f t="shared" si="20"/>
        <v>2457456.9323943472</v>
      </c>
      <c r="AT46" s="32">
        <f t="shared" si="20"/>
        <v>2409271.502347399</v>
      </c>
      <c r="AU46" s="32">
        <f t="shared" si="20"/>
        <v>2362030.8846543133</v>
      </c>
      <c r="AV46" s="32">
        <f t="shared" si="21"/>
        <v>2315716.5535826599</v>
      </c>
      <c r="AW46" s="32">
        <f t="shared" si="21"/>
        <v>0</v>
      </c>
      <c r="AX46" s="32">
        <f t="shared" si="21"/>
        <v>0</v>
      </c>
      <c r="AY46" s="32">
        <f t="shared" si="21"/>
        <v>0</v>
      </c>
      <c r="AZ46" s="32">
        <f t="shared" si="21"/>
        <v>0</v>
      </c>
      <c r="BA46" s="32">
        <f t="shared" si="21"/>
        <v>0</v>
      </c>
      <c r="BB46" s="32">
        <f t="shared" si="21"/>
        <v>0</v>
      </c>
      <c r="BC46" s="32">
        <f t="shared" si="21"/>
        <v>0</v>
      </c>
      <c r="BD46" s="32">
        <f t="shared" si="21"/>
        <v>0</v>
      </c>
      <c r="BE46" s="32">
        <f t="shared" si="21"/>
        <v>0</v>
      </c>
      <c r="BF46" s="32">
        <f t="shared" si="21"/>
        <v>0</v>
      </c>
    </row>
    <row r="47" spans="3:58" x14ac:dyDescent="0.2">
      <c r="C47" s="8" t="str">
        <v>Latvia</v>
      </c>
      <c r="D47" s="56" t="str">
        <v>Europe &amp; Central Asia</v>
      </c>
      <c r="E47" s="208">
        <f t="shared" si="22"/>
        <v>28550.288750000003</v>
      </c>
      <c r="F47" s="29">
        <f t="shared" si="6"/>
        <v>636136.75946020789</v>
      </c>
      <c r="H47" s="32">
        <f t="shared" si="17"/>
        <v>28550.288750000003</v>
      </c>
      <c r="I47" s="32">
        <f t="shared" si="17"/>
        <v>27990.479166666668</v>
      </c>
      <c r="J47" s="32">
        <f t="shared" si="17"/>
        <v>27441.646241830069</v>
      </c>
      <c r="K47" s="32">
        <f t="shared" si="17"/>
        <v>26903.574746892227</v>
      </c>
      <c r="L47" s="32">
        <f t="shared" si="17"/>
        <v>26376.05367342375</v>
      </c>
      <c r="M47" s="32">
        <f t="shared" si="17"/>
        <v>25858.876150415439</v>
      </c>
      <c r="N47" s="32">
        <f t="shared" si="17"/>
        <v>25351.83936315239</v>
      </c>
      <c r="O47" s="32">
        <f t="shared" si="17"/>
        <v>24854.74447367882</v>
      </c>
      <c r="P47" s="32">
        <f t="shared" si="17"/>
        <v>24367.396542822371</v>
      </c>
      <c r="Q47" s="32">
        <f t="shared" si="17"/>
        <v>23889.604453747423</v>
      </c>
      <c r="R47" s="32">
        <f t="shared" si="18"/>
        <v>23421.180837007276</v>
      </c>
      <c r="S47" s="32">
        <f t="shared" si="18"/>
        <v>22961.941997065962</v>
      </c>
      <c r="T47" s="32">
        <f t="shared" si="18"/>
        <v>22511.70784026074</v>
      </c>
      <c r="U47" s="32">
        <f t="shared" si="18"/>
        <v>22070.301804177197</v>
      </c>
      <c r="V47" s="32">
        <f t="shared" si="18"/>
        <v>21637.550788409018</v>
      </c>
      <c r="W47" s="32">
        <f t="shared" si="18"/>
        <v>21213.285086675511</v>
      </c>
      <c r="X47" s="32">
        <f t="shared" si="18"/>
        <v>20797.338320270108</v>
      </c>
      <c r="Y47" s="32">
        <f t="shared" si="18"/>
        <v>20389.547372813828</v>
      </c>
      <c r="Z47" s="32">
        <f t="shared" si="18"/>
        <v>19989.752326288068</v>
      </c>
      <c r="AA47" s="32">
        <f t="shared" si="18"/>
        <v>19597.796398321636</v>
      </c>
      <c r="AB47" s="32">
        <f t="shared" si="19"/>
        <v>19213.525880707486</v>
      </c>
      <c r="AC47" s="32">
        <f t="shared" si="19"/>
        <v>18836.790079124989</v>
      </c>
      <c r="AD47" s="32">
        <f t="shared" si="19"/>
        <v>18467.441254044104</v>
      </c>
      <c r="AE47" s="32">
        <f t="shared" si="19"/>
        <v>18105.334562788339</v>
      </c>
      <c r="AF47" s="32">
        <f t="shared" si="19"/>
        <v>17750.328002733666</v>
      </c>
      <c r="AG47" s="32">
        <f t="shared" si="19"/>
        <v>17402.282355621242</v>
      </c>
      <c r="AH47" s="32">
        <f t="shared" si="19"/>
        <v>17061.061132962001</v>
      </c>
      <c r="AI47" s="32">
        <f t="shared" si="19"/>
        <v>16726.530522511766</v>
      </c>
      <c r="AJ47" s="32">
        <f t="shared" si="19"/>
        <v>16398.559335795846</v>
      </c>
      <c r="AK47" s="32">
        <f t="shared" si="19"/>
        <v>16077.018956662598</v>
      </c>
      <c r="AL47" s="32">
        <f t="shared" si="20"/>
        <v>15761.783290845682</v>
      </c>
      <c r="AM47" s="32">
        <f t="shared" si="20"/>
        <v>15452.728716515379</v>
      </c>
      <c r="AN47" s="32">
        <f t="shared" si="20"/>
        <v>15149.734035799387</v>
      </c>
      <c r="AO47" s="32">
        <f t="shared" si="20"/>
        <v>14852.680427254301</v>
      </c>
      <c r="AP47" s="32">
        <f t="shared" si="20"/>
        <v>14561.451399268924</v>
      </c>
      <c r="AQ47" s="32">
        <f t="shared" si="20"/>
        <v>14275.932744381298</v>
      </c>
      <c r="AR47" s="32">
        <f t="shared" si="20"/>
        <v>13996.01249449147</v>
      </c>
      <c r="AS47" s="32">
        <f t="shared" si="20"/>
        <v>13721.580876952419</v>
      </c>
      <c r="AT47" s="32">
        <f t="shared" si="20"/>
        <v>13452.530271521979</v>
      </c>
      <c r="AU47" s="32">
        <f t="shared" si="20"/>
        <v>13188.755168158807</v>
      </c>
      <c r="AV47" s="32">
        <f t="shared" si="21"/>
        <v>12930.152125645885</v>
      </c>
      <c r="AW47" s="32">
        <f t="shared" si="21"/>
        <v>0</v>
      </c>
      <c r="AX47" s="32">
        <f t="shared" si="21"/>
        <v>0</v>
      </c>
      <c r="AY47" s="32">
        <f t="shared" si="21"/>
        <v>0</v>
      </c>
      <c r="AZ47" s="32">
        <f t="shared" si="21"/>
        <v>0</v>
      </c>
      <c r="BA47" s="32">
        <f t="shared" si="21"/>
        <v>0</v>
      </c>
      <c r="BB47" s="32">
        <f t="shared" si="21"/>
        <v>0</v>
      </c>
      <c r="BC47" s="32">
        <f t="shared" si="21"/>
        <v>0</v>
      </c>
      <c r="BD47" s="32">
        <f t="shared" si="21"/>
        <v>0</v>
      </c>
      <c r="BE47" s="32">
        <f t="shared" si="21"/>
        <v>0</v>
      </c>
      <c r="BF47" s="32">
        <f t="shared" si="21"/>
        <v>0</v>
      </c>
    </row>
    <row r="48" spans="3:58" x14ac:dyDescent="0.2">
      <c r="C48" s="8" t="str">
        <v>Lithuania</v>
      </c>
      <c r="D48" s="56" t="str">
        <v>Europe &amp; Central Asia</v>
      </c>
      <c r="E48" s="208">
        <f t="shared" si="22"/>
        <v>151796.049275</v>
      </c>
      <c r="F48" s="29">
        <f t="shared" si="6"/>
        <v>3382209.1163494997</v>
      </c>
      <c r="H48" s="32">
        <f t="shared" si="17"/>
        <v>151796.049275</v>
      </c>
      <c r="I48" s="32">
        <f t="shared" si="17"/>
        <v>148819.65615196078</v>
      </c>
      <c r="J48" s="32">
        <f t="shared" si="17"/>
        <v>145901.62367839293</v>
      </c>
      <c r="K48" s="32">
        <f t="shared" si="17"/>
        <v>143040.80752783621</v>
      </c>
      <c r="L48" s="32">
        <f t="shared" si="17"/>
        <v>140236.08581160413</v>
      </c>
      <c r="M48" s="32">
        <f t="shared" si="17"/>
        <v>137486.35863882757</v>
      </c>
      <c r="N48" s="32">
        <f t="shared" si="17"/>
        <v>134790.54768512506</v>
      </c>
      <c r="O48" s="32">
        <f t="shared" si="17"/>
        <v>132147.59576973048</v>
      </c>
      <c r="P48" s="32">
        <f t="shared" si="17"/>
        <v>129556.46644091222</v>
      </c>
      <c r="Q48" s="32">
        <f t="shared" si="17"/>
        <v>127016.14356952178</v>
      </c>
      <c r="R48" s="32">
        <f t="shared" si="18"/>
        <v>124525.63095051155</v>
      </c>
      <c r="S48" s="32">
        <f t="shared" si="18"/>
        <v>122083.95191226625</v>
      </c>
      <c r="T48" s="32">
        <f t="shared" si="18"/>
        <v>119690.14893359433</v>
      </c>
      <c r="U48" s="32">
        <f t="shared" si="18"/>
        <v>117343.28326822974</v>
      </c>
      <c r="V48" s="32">
        <f t="shared" si="18"/>
        <v>115042.43457669583</v>
      </c>
      <c r="W48" s="32">
        <f t="shared" si="18"/>
        <v>112786.70056538809</v>
      </c>
      <c r="X48" s="32">
        <f t="shared" si="18"/>
        <v>110575.19663273341</v>
      </c>
      <c r="Y48" s="32">
        <f t="shared" si="18"/>
        <v>108407.05552228764</v>
      </c>
      <c r="Z48" s="32">
        <f t="shared" si="18"/>
        <v>106281.42698263496</v>
      </c>
      <c r="AA48" s="32">
        <f t="shared" si="18"/>
        <v>104197.47743395585</v>
      </c>
      <c r="AB48" s="32">
        <f t="shared" si="19"/>
        <v>102154.38964113317</v>
      </c>
      <c r="AC48" s="32">
        <f t="shared" si="19"/>
        <v>100151.36239326782</v>
      </c>
      <c r="AD48" s="32">
        <f t="shared" si="19"/>
        <v>98187.610189478248</v>
      </c>
      <c r="AE48" s="32">
        <f t="shared" si="19"/>
        <v>96262.36293086104</v>
      </c>
      <c r="AF48" s="32">
        <f t="shared" si="19"/>
        <v>94374.865618491225</v>
      </c>
      <c r="AG48" s="32">
        <f t="shared" si="19"/>
        <v>92524.378057344336</v>
      </c>
      <c r="AH48" s="32">
        <f t="shared" si="19"/>
        <v>90710.174566023838</v>
      </c>
      <c r="AI48" s="32">
        <f t="shared" si="19"/>
        <v>88931.543692180261</v>
      </c>
      <c r="AJ48" s="32">
        <f t="shared" si="19"/>
        <v>87187.78793351003</v>
      </c>
      <c r="AK48" s="32">
        <f t="shared" si="19"/>
        <v>85478.223464225535</v>
      </c>
      <c r="AL48" s="32">
        <f t="shared" si="20"/>
        <v>83802.179866887775</v>
      </c>
      <c r="AM48" s="32">
        <f t="shared" si="20"/>
        <v>82158.999869497842</v>
      </c>
      <c r="AN48" s="32">
        <f t="shared" si="20"/>
        <v>80548.03908774296</v>
      </c>
      <c r="AO48" s="32">
        <f t="shared" si="20"/>
        <v>78968.665772297012</v>
      </c>
      <c r="AP48" s="32">
        <f t="shared" si="20"/>
        <v>77420.260561075513</v>
      </c>
      <c r="AQ48" s="32">
        <f t="shared" si="20"/>
        <v>75902.21623634854</v>
      </c>
      <c r="AR48" s="32">
        <f t="shared" si="20"/>
        <v>74413.937486616225</v>
      </c>
      <c r="AS48" s="32">
        <f t="shared" si="20"/>
        <v>72954.840673153158</v>
      </c>
      <c r="AT48" s="32">
        <f t="shared" si="20"/>
        <v>71524.353601130526</v>
      </c>
      <c r="AU48" s="32">
        <f t="shared" si="20"/>
        <v>70121.915295226034</v>
      </c>
      <c r="AV48" s="32">
        <f t="shared" si="21"/>
        <v>68746.975779633358</v>
      </c>
      <c r="AW48" s="32">
        <f t="shared" si="21"/>
        <v>0</v>
      </c>
      <c r="AX48" s="32">
        <f t="shared" si="21"/>
        <v>0</v>
      </c>
      <c r="AY48" s="32">
        <f t="shared" si="21"/>
        <v>0</v>
      </c>
      <c r="AZ48" s="32">
        <f t="shared" si="21"/>
        <v>0</v>
      </c>
      <c r="BA48" s="32">
        <f t="shared" si="21"/>
        <v>0</v>
      </c>
      <c r="BB48" s="32">
        <f t="shared" si="21"/>
        <v>0</v>
      </c>
      <c r="BC48" s="32">
        <f t="shared" si="21"/>
        <v>0</v>
      </c>
      <c r="BD48" s="32">
        <f t="shared" si="21"/>
        <v>0</v>
      </c>
      <c r="BE48" s="32">
        <f t="shared" si="21"/>
        <v>0</v>
      </c>
      <c r="BF48" s="32">
        <f t="shared" si="21"/>
        <v>0</v>
      </c>
    </row>
    <row r="49" spans="3:58" x14ac:dyDescent="0.2">
      <c r="C49" s="8" t="str">
        <v>Malaysia</v>
      </c>
      <c r="D49" s="56" t="str">
        <v>East Asia &amp; Pacific</v>
      </c>
      <c r="E49" s="208">
        <f t="shared" si="22"/>
        <v>2207056.4500000002</v>
      </c>
      <c r="F49" s="29">
        <f t="shared" si="6"/>
        <v>49176025.865894273</v>
      </c>
      <c r="H49" s="32">
        <f t="shared" si="17"/>
        <v>2207056.4500000002</v>
      </c>
      <c r="I49" s="32">
        <f t="shared" si="17"/>
        <v>2163780.8333333335</v>
      </c>
      <c r="J49" s="32">
        <f t="shared" si="17"/>
        <v>2121353.7581699346</v>
      </c>
      <c r="K49" s="32">
        <f t="shared" si="17"/>
        <v>2079758.5864411127</v>
      </c>
      <c r="L49" s="32">
        <f t="shared" si="17"/>
        <v>2038979.0063148162</v>
      </c>
      <c r="M49" s="32">
        <f t="shared" si="17"/>
        <v>1998999.0257988395</v>
      </c>
      <c r="N49" s="32">
        <f t="shared" si="17"/>
        <v>1959802.9664694504</v>
      </c>
      <c r="O49" s="32">
        <f t="shared" si="17"/>
        <v>1921375.457322991</v>
      </c>
      <c r="P49" s="32">
        <f t="shared" si="17"/>
        <v>1883701.4287480302</v>
      </c>
      <c r="Q49" s="32">
        <f t="shared" si="17"/>
        <v>1846766.1066157159</v>
      </c>
      <c r="R49" s="32">
        <f t="shared" si="18"/>
        <v>1810555.0064859958</v>
      </c>
      <c r="S49" s="32">
        <f t="shared" si="18"/>
        <v>1775053.9279274473</v>
      </c>
      <c r="T49" s="32">
        <f t="shared" si="18"/>
        <v>1740248.9489484774</v>
      </c>
      <c r="U49" s="32">
        <f t="shared" si="18"/>
        <v>1706126.420537723</v>
      </c>
      <c r="V49" s="32">
        <f t="shared" si="18"/>
        <v>1672672.9613114931</v>
      </c>
      <c r="W49" s="32">
        <f t="shared" si="18"/>
        <v>1639875.4522661699</v>
      </c>
      <c r="X49" s="32">
        <f t="shared" si="18"/>
        <v>1607721.0316334998</v>
      </c>
      <c r="Y49" s="32">
        <f t="shared" si="18"/>
        <v>1576197.0898367644</v>
      </c>
      <c r="Z49" s="32">
        <f t="shared" si="18"/>
        <v>1545291.2645458477</v>
      </c>
      <c r="AA49" s="32">
        <f t="shared" si="18"/>
        <v>1514991.4358292625</v>
      </c>
      <c r="AB49" s="32">
        <f t="shared" si="19"/>
        <v>1485285.7214012374</v>
      </c>
      <c r="AC49" s="32">
        <f t="shared" si="19"/>
        <v>1456162.4719619977</v>
      </c>
      <c r="AD49" s="32">
        <f t="shared" si="19"/>
        <v>1427610.2666294093</v>
      </c>
      <c r="AE49" s="32">
        <f t="shared" si="19"/>
        <v>1399617.9084602054</v>
      </c>
      <c r="AF49" s="32">
        <f t="shared" si="19"/>
        <v>1372174.4200590251</v>
      </c>
      <c r="AG49" s="32">
        <f t="shared" si="19"/>
        <v>1345269.039273554</v>
      </c>
      <c r="AH49" s="32">
        <f t="shared" si="19"/>
        <v>1318891.2149740723</v>
      </c>
      <c r="AI49" s="32">
        <f t="shared" si="19"/>
        <v>1293030.6029157573</v>
      </c>
      <c r="AJ49" s="32">
        <f t="shared" si="19"/>
        <v>1267677.0616821148</v>
      </c>
      <c r="AK49" s="32">
        <f t="shared" si="19"/>
        <v>1242820.6487079558</v>
      </c>
      <c r="AL49" s="32">
        <f t="shared" si="20"/>
        <v>1218451.6163803488</v>
      </c>
      <c r="AM49" s="32">
        <f t="shared" si="20"/>
        <v>1194560.4082160285</v>
      </c>
      <c r="AN49" s="32">
        <f t="shared" si="20"/>
        <v>1171137.6551137532</v>
      </c>
      <c r="AO49" s="32">
        <f t="shared" si="20"/>
        <v>1148174.1716801501</v>
      </c>
      <c r="AP49" s="32">
        <f t="shared" si="20"/>
        <v>1125660.9526275983</v>
      </c>
      <c r="AQ49" s="32">
        <f t="shared" si="20"/>
        <v>1103589.1692427434</v>
      </c>
      <c r="AR49" s="32">
        <f t="shared" si="20"/>
        <v>1081950.1659242583</v>
      </c>
      <c r="AS49" s="32">
        <f t="shared" si="20"/>
        <v>1060735.4567884884</v>
      </c>
      <c r="AT49" s="32">
        <f t="shared" si="20"/>
        <v>1039936.7223416552</v>
      </c>
      <c r="AU49" s="32">
        <f t="shared" si="20"/>
        <v>1019545.8062173094</v>
      </c>
      <c r="AV49" s="32">
        <f t="shared" si="21"/>
        <v>999554.71197775402</v>
      </c>
      <c r="AW49" s="32">
        <f t="shared" si="21"/>
        <v>0</v>
      </c>
      <c r="AX49" s="32">
        <f t="shared" si="21"/>
        <v>0</v>
      </c>
      <c r="AY49" s="32">
        <f t="shared" si="21"/>
        <v>0</v>
      </c>
      <c r="AZ49" s="32">
        <f t="shared" si="21"/>
        <v>0</v>
      </c>
      <c r="BA49" s="32">
        <f t="shared" si="21"/>
        <v>0</v>
      </c>
      <c r="BB49" s="32">
        <f t="shared" si="21"/>
        <v>0</v>
      </c>
      <c r="BC49" s="32">
        <f t="shared" si="21"/>
        <v>0</v>
      </c>
      <c r="BD49" s="32">
        <f t="shared" si="21"/>
        <v>0</v>
      </c>
      <c r="BE49" s="32">
        <f t="shared" si="21"/>
        <v>0</v>
      </c>
      <c r="BF49" s="32">
        <f t="shared" si="21"/>
        <v>0</v>
      </c>
    </row>
    <row r="50" spans="3:58" x14ac:dyDescent="0.2">
      <c r="C50" s="8" t="str">
        <v>Mauritius</v>
      </c>
      <c r="D50" s="56" t="str">
        <v>Sub-Saharan Africa</v>
      </c>
      <c r="E50" s="208">
        <f t="shared" si="22"/>
        <v>0</v>
      </c>
      <c r="F50" s="29">
        <f t="shared" si="6"/>
        <v>0</v>
      </c>
      <c r="H50" s="32">
        <f t="shared" si="17"/>
        <v>0</v>
      </c>
      <c r="I50" s="32">
        <f t="shared" si="17"/>
        <v>0</v>
      </c>
      <c r="J50" s="32">
        <f t="shared" si="17"/>
        <v>0</v>
      </c>
      <c r="K50" s="32">
        <f t="shared" si="17"/>
        <v>0</v>
      </c>
      <c r="L50" s="32">
        <f t="shared" si="17"/>
        <v>0</v>
      </c>
      <c r="M50" s="32">
        <f t="shared" si="17"/>
        <v>0</v>
      </c>
      <c r="N50" s="32">
        <f t="shared" si="17"/>
        <v>0</v>
      </c>
      <c r="O50" s="32">
        <f t="shared" si="17"/>
        <v>0</v>
      </c>
      <c r="P50" s="32">
        <f t="shared" si="17"/>
        <v>0</v>
      </c>
      <c r="Q50" s="32">
        <f t="shared" si="17"/>
        <v>0</v>
      </c>
      <c r="R50" s="32">
        <f t="shared" si="18"/>
        <v>0</v>
      </c>
      <c r="S50" s="32">
        <f t="shared" si="18"/>
        <v>0</v>
      </c>
      <c r="T50" s="32">
        <f t="shared" si="18"/>
        <v>0</v>
      </c>
      <c r="U50" s="32">
        <f t="shared" si="18"/>
        <v>0</v>
      </c>
      <c r="V50" s="32">
        <f t="shared" si="18"/>
        <v>0</v>
      </c>
      <c r="W50" s="32">
        <f t="shared" si="18"/>
        <v>0</v>
      </c>
      <c r="X50" s="32">
        <f t="shared" si="18"/>
        <v>0</v>
      </c>
      <c r="Y50" s="32">
        <f t="shared" si="18"/>
        <v>0</v>
      </c>
      <c r="Z50" s="32">
        <f t="shared" si="18"/>
        <v>0</v>
      </c>
      <c r="AA50" s="32">
        <f t="shared" si="18"/>
        <v>0</v>
      </c>
      <c r="AB50" s="32">
        <f t="shared" si="19"/>
        <v>0</v>
      </c>
      <c r="AC50" s="32">
        <f t="shared" si="19"/>
        <v>0</v>
      </c>
      <c r="AD50" s="32">
        <f t="shared" si="19"/>
        <v>0</v>
      </c>
      <c r="AE50" s="32">
        <f t="shared" si="19"/>
        <v>0</v>
      </c>
      <c r="AF50" s="32">
        <f t="shared" si="19"/>
        <v>0</v>
      </c>
      <c r="AG50" s="32">
        <f t="shared" si="19"/>
        <v>0</v>
      </c>
      <c r="AH50" s="32">
        <f t="shared" si="19"/>
        <v>0</v>
      </c>
      <c r="AI50" s="32">
        <f t="shared" si="19"/>
        <v>0</v>
      </c>
      <c r="AJ50" s="32">
        <f t="shared" si="19"/>
        <v>0</v>
      </c>
      <c r="AK50" s="32">
        <f t="shared" si="19"/>
        <v>0</v>
      </c>
      <c r="AL50" s="32">
        <f t="shared" si="20"/>
        <v>0</v>
      </c>
      <c r="AM50" s="32">
        <f t="shared" si="20"/>
        <v>0</v>
      </c>
      <c r="AN50" s="32">
        <f t="shared" si="20"/>
        <v>0</v>
      </c>
      <c r="AO50" s="32">
        <f t="shared" si="20"/>
        <v>0</v>
      </c>
      <c r="AP50" s="32">
        <f t="shared" si="20"/>
        <v>0</v>
      </c>
      <c r="AQ50" s="32">
        <f t="shared" si="20"/>
        <v>0</v>
      </c>
      <c r="AR50" s="32">
        <f t="shared" si="20"/>
        <v>0</v>
      </c>
      <c r="AS50" s="32">
        <f t="shared" si="20"/>
        <v>0</v>
      </c>
      <c r="AT50" s="32">
        <f t="shared" si="20"/>
        <v>0</v>
      </c>
      <c r="AU50" s="32">
        <f t="shared" si="20"/>
        <v>0</v>
      </c>
      <c r="AV50" s="32">
        <f t="shared" si="21"/>
        <v>0</v>
      </c>
      <c r="AW50" s="32">
        <f t="shared" si="21"/>
        <v>0</v>
      </c>
      <c r="AX50" s="32">
        <f t="shared" si="21"/>
        <v>0</v>
      </c>
      <c r="AY50" s="32">
        <f t="shared" si="21"/>
        <v>0</v>
      </c>
      <c r="AZ50" s="32">
        <f t="shared" si="21"/>
        <v>0</v>
      </c>
      <c r="BA50" s="32">
        <f t="shared" si="21"/>
        <v>0</v>
      </c>
      <c r="BB50" s="32">
        <f t="shared" si="21"/>
        <v>0</v>
      </c>
      <c r="BC50" s="32">
        <f t="shared" si="21"/>
        <v>0</v>
      </c>
      <c r="BD50" s="32">
        <f t="shared" si="21"/>
        <v>0</v>
      </c>
      <c r="BE50" s="32">
        <f t="shared" si="21"/>
        <v>0</v>
      </c>
      <c r="BF50" s="32">
        <f t="shared" si="21"/>
        <v>0</v>
      </c>
    </row>
    <row r="51" spans="3:58" x14ac:dyDescent="0.2">
      <c r="C51" s="8" t="str">
        <v>Mexico</v>
      </c>
      <c r="D51" s="56" t="str">
        <v>Latin America &amp; Caribbean</v>
      </c>
      <c r="E51" s="208">
        <f t="shared" si="22"/>
        <v>2655000</v>
      </c>
      <c r="F51" s="29">
        <f t="shared" si="6"/>
        <v>59156778.103228524</v>
      </c>
      <c r="H51" s="32">
        <f t="shared" si="17"/>
        <v>2655000</v>
      </c>
      <c r="I51" s="32">
        <f t="shared" si="17"/>
        <v>2602941.176470588</v>
      </c>
      <c r="J51" s="32">
        <f t="shared" si="17"/>
        <v>2551903.1141868513</v>
      </c>
      <c r="K51" s="32">
        <f t="shared" si="17"/>
        <v>2501865.7982224035</v>
      </c>
      <c r="L51" s="32">
        <f t="shared" si="17"/>
        <v>2452809.6061003953</v>
      </c>
      <c r="M51" s="32">
        <f t="shared" si="17"/>
        <v>2404715.3000984266</v>
      </c>
      <c r="N51" s="32">
        <f t="shared" si="17"/>
        <v>2357564.0197043396</v>
      </c>
      <c r="O51" s="32">
        <f t="shared" si="17"/>
        <v>2311337.2742199413</v>
      </c>
      <c r="P51" s="32">
        <f t="shared" si="17"/>
        <v>2266016.9355097464</v>
      </c>
      <c r="Q51" s="32">
        <f t="shared" si="17"/>
        <v>2221585.2308919081</v>
      </c>
      <c r="R51" s="32">
        <f t="shared" si="18"/>
        <v>2178024.7361685373</v>
      </c>
      <c r="S51" s="32">
        <f t="shared" si="18"/>
        <v>2135318.3687926838</v>
      </c>
      <c r="T51" s="32">
        <f t="shared" si="18"/>
        <v>2093449.3811692977</v>
      </c>
      <c r="U51" s="32">
        <f t="shared" si="18"/>
        <v>2052401.3540875469</v>
      </c>
      <c r="V51" s="32">
        <f t="shared" si="18"/>
        <v>2012158.1902819085</v>
      </c>
      <c r="W51" s="32">
        <f t="shared" si="18"/>
        <v>1972704.1081195187</v>
      </c>
      <c r="X51" s="32">
        <f t="shared" si="18"/>
        <v>1934023.6354112925</v>
      </c>
      <c r="Y51" s="32">
        <f t="shared" si="18"/>
        <v>1896101.6033444044</v>
      </c>
      <c r="Z51" s="32">
        <f t="shared" si="18"/>
        <v>1858923.1405337299</v>
      </c>
      <c r="AA51" s="32">
        <f t="shared" si="18"/>
        <v>1822473.6671899313</v>
      </c>
      <c r="AB51" s="32">
        <f t="shared" si="19"/>
        <v>1786738.8894018934</v>
      </c>
      <c r="AC51" s="32">
        <f t="shared" si="19"/>
        <v>1751704.7935312681</v>
      </c>
      <c r="AD51" s="32">
        <f t="shared" si="19"/>
        <v>1717357.6407169295</v>
      </c>
      <c r="AE51" s="32">
        <f t="shared" si="19"/>
        <v>1683683.9614871859</v>
      </c>
      <c r="AF51" s="32">
        <f t="shared" si="19"/>
        <v>1650670.5504776333</v>
      </c>
      <c r="AG51" s="32">
        <f t="shared" si="19"/>
        <v>1618304.4612525816</v>
      </c>
      <c r="AH51" s="32">
        <f t="shared" si="19"/>
        <v>1586573.001228021</v>
      </c>
      <c r="AI51" s="32">
        <f t="shared" si="19"/>
        <v>1555463.7266941385</v>
      </c>
      <c r="AJ51" s="32">
        <f t="shared" si="19"/>
        <v>1524964.4379354296</v>
      </c>
      <c r="AK51" s="32">
        <f t="shared" si="19"/>
        <v>1495063.1744464999</v>
      </c>
      <c r="AL51" s="32">
        <f t="shared" si="20"/>
        <v>1465748.2102416663</v>
      </c>
      <c r="AM51" s="32">
        <f t="shared" si="20"/>
        <v>1437008.0492565359</v>
      </c>
      <c r="AN51" s="32">
        <f t="shared" si="20"/>
        <v>1408831.4208397409</v>
      </c>
      <c r="AO51" s="32">
        <f t="shared" si="20"/>
        <v>1381207.2753330793</v>
      </c>
      <c r="AP51" s="32">
        <f t="shared" si="20"/>
        <v>1354124.7797383131</v>
      </c>
      <c r="AQ51" s="32">
        <f t="shared" si="20"/>
        <v>1327573.3134689345</v>
      </c>
      <c r="AR51" s="32">
        <f t="shared" si="20"/>
        <v>1301542.46418523</v>
      </c>
      <c r="AS51" s="32">
        <f t="shared" si="20"/>
        <v>1276022.0237110094</v>
      </c>
      <c r="AT51" s="32">
        <f t="shared" si="20"/>
        <v>1251001.9840304013</v>
      </c>
      <c r="AU51" s="32">
        <f t="shared" si="20"/>
        <v>1226472.533363139</v>
      </c>
      <c r="AV51" s="32">
        <f t="shared" si="21"/>
        <v>1202424.0523168028</v>
      </c>
      <c r="AW51" s="32">
        <f t="shared" si="21"/>
        <v>0</v>
      </c>
      <c r="AX51" s="32">
        <f t="shared" si="21"/>
        <v>0</v>
      </c>
      <c r="AY51" s="32">
        <f t="shared" si="21"/>
        <v>0</v>
      </c>
      <c r="AZ51" s="32">
        <f t="shared" si="21"/>
        <v>0</v>
      </c>
      <c r="BA51" s="32">
        <f t="shared" si="21"/>
        <v>0</v>
      </c>
      <c r="BB51" s="32">
        <f t="shared" si="21"/>
        <v>0</v>
      </c>
      <c r="BC51" s="32">
        <f t="shared" si="21"/>
        <v>0</v>
      </c>
      <c r="BD51" s="32">
        <f t="shared" si="21"/>
        <v>0</v>
      </c>
      <c r="BE51" s="32">
        <f t="shared" si="21"/>
        <v>0</v>
      </c>
      <c r="BF51" s="32">
        <f t="shared" si="21"/>
        <v>0</v>
      </c>
    </row>
    <row r="52" spans="3:58" x14ac:dyDescent="0.2">
      <c r="C52" s="8" t="str">
        <v>Netherlands</v>
      </c>
      <c r="D52" s="56" t="str">
        <v>Europe &amp; Central Asia</v>
      </c>
      <c r="E52" s="208">
        <f t="shared" si="22"/>
        <v>4170882.13472</v>
      </c>
      <c r="F52" s="29">
        <f t="shared" si="6"/>
        <v>92932560.805405378</v>
      </c>
      <c r="H52" s="32">
        <f t="shared" si="17"/>
        <v>4170882.13472</v>
      </c>
      <c r="I52" s="32">
        <f t="shared" si="17"/>
        <v>4089100.1320784311</v>
      </c>
      <c r="J52" s="32">
        <f t="shared" si="17"/>
        <v>4008921.6981161092</v>
      </c>
      <c r="K52" s="32">
        <f t="shared" si="17"/>
        <v>3930315.3903099112</v>
      </c>
      <c r="L52" s="32">
        <f t="shared" si="17"/>
        <v>3853250.3826567754</v>
      </c>
      <c r="M52" s="32">
        <f t="shared" si="17"/>
        <v>3777696.4535850738</v>
      </c>
      <c r="N52" s="32">
        <f t="shared" si="17"/>
        <v>3703623.9741030135</v>
      </c>
      <c r="O52" s="32">
        <f t="shared" si="17"/>
        <v>3631003.8961794255</v>
      </c>
      <c r="P52" s="32">
        <f t="shared" si="17"/>
        <v>3559807.7413523779</v>
      </c>
      <c r="Q52" s="32">
        <f t="shared" si="17"/>
        <v>3490007.5895611546</v>
      </c>
      <c r="R52" s="32">
        <f t="shared" si="18"/>
        <v>3421576.0681972103</v>
      </c>
      <c r="S52" s="32">
        <f t="shared" si="18"/>
        <v>3354486.3413698147</v>
      </c>
      <c r="T52" s="32">
        <f t="shared" si="18"/>
        <v>3288712.0993821709</v>
      </c>
      <c r="U52" s="32">
        <f t="shared" si="18"/>
        <v>3224227.5484138932</v>
      </c>
      <c r="V52" s="32">
        <f t="shared" si="18"/>
        <v>3161007.4004057772</v>
      </c>
      <c r="W52" s="32">
        <f t="shared" si="18"/>
        <v>3099026.8631429197</v>
      </c>
      <c r="X52" s="32">
        <f t="shared" si="18"/>
        <v>3038261.6305322736</v>
      </c>
      <c r="Y52" s="32">
        <f t="shared" si="18"/>
        <v>2978687.8730708566</v>
      </c>
      <c r="Z52" s="32">
        <f t="shared" si="18"/>
        <v>2920282.2285008398</v>
      </c>
      <c r="AA52" s="32">
        <f t="shared" si="18"/>
        <v>2863021.7926478824</v>
      </c>
      <c r="AB52" s="32">
        <f t="shared" si="19"/>
        <v>2806884.1104390998</v>
      </c>
      <c r="AC52" s="32">
        <f t="shared" si="19"/>
        <v>2751847.1670971573</v>
      </c>
      <c r="AD52" s="32">
        <f t="shared" si="19"/>
        <v>2697889.3795070164</v>
      </c>
      <c r="AE52" s="32">
        <f t="shared" si="19"/>
        <v>2644989.5877519776</v>
      </c>
      <c r="AF52" s="32">
        <f t="shared" si="19"/>
        <v>2593127.046815664</v>
      </c>
      <c r="AG52" s="32">
        <f t="shared" si="19"/>
        <v>2542281.4184467294</v>
      </c>
      <c r="AH52" s="32">
        <f t="shared" si="19"/>
        <v>2492432.763183068</v>
      </c>
      <c r="AI52" s="32">
        <f t="shared" si="19"/>
        <v>2443561.53253242</v>
      </c>
      <c r="AJ52" s="32">
        <f t="shared" si="19"/>
        <v>2395648.5613062936</v>
      </c>
      <c r="AK52" s="32">
        <f t="shared" si="19"/>
        <v>2348675.0601042099</v>
      </c>
      <c r="AL52" s="32">
        <f t="shared" si="20"/>
        <v>2302622.6079453034</v>
      </c>
      <c r="AM52" s="32">
        <f t="shared" si="20"/>
        <v>2257473.1450444157</v>
      </c>
      <c r="AN52" s="32">
        <f t="shared" si="20"/>
        <v>2213208.9657298187</v>
      </c>
      <c r="AO52" s="32">
        <f t="shared" si="20"/>
        <v>2169812.7114998223</v>
      </c>
      <c r="AP52" s="32">
        <f t="shared" si="20"/>
        <v>2127267.3642155123</v>
      </c>
      <c r="AQ52" s="32">
        <f t="shared" si="20"/>
        <v>2085556.2394269728</v>
      </c>
      <c r="AR52" s="32">
        <f t="shared" si="20"/>
        <v>2044662.9798303656</v>
      </c>
      <c r="AS52" s="32">
        <f t="shared" si="20"/>
        <v>2004571.5488532993</v>
      </c>
      <c r="AT52" s="32">
        <f t="shared" si="20"/>
        <v>1965266.2243659797</v>
      </c>
      <c r="AU52" s="32">
        <f t="shared" si="20"/>
        <v>1926731.592515667</v>
      </c>
      <c r="AV52" s="32">
        <f t="shared" si="21"/>
        <v>1888952.5416820259</v>
      </c>
      <c r="AW52" s="32">
        <f t="shared" si="21"/>
        <v>0</v>
      </c>
      <c r="AX52" s="32">
        <f t="shared" si="21"/>
        <v>0</v>
      </c>
      <c r="AY52" s="32">
        <f t="shared" si="21"/>
        <v>0</v>
      </c>
      <c r="AZ52" s="32">
        <f t="shared" si="21"/>
        <v>0</v>
      </c>
      <c r="BA52" s="32">
        <f t="shared" si="21"/>
        <v>0</v>
      </c>
      <c r="BB52" s="32">
        <f t="shared" si="21"/>
        <v>0</v>
      </c>
      <c r="BC52" s="32">
        <f t="shared" si="21"/>
        <v>0</v>
      </c>
      <c r="BD52" s="32">
        <f t="shared" si="21"/>
        <v>0</v>
      </c>
      <c r="BE52" s="32">
        <f t="shared" si="21"/>
        <v>0</v>
      </c>
      <c r="BF52" s="32">
        <f t="shared" si="21"/>
        <v>0</v>
      </c>
    </row>
    <row r="53" spans="3:58" x14ac:dyDescent="0.2">
      <c r="C53" s="8" t="str">
        <v>New Zealand</v>
      </c>
      <c r="D53" s="56" t="str">
        <v>East Asia &amp; Pacific</v>
      </c>
      <c r="E53" s="208">
        <f t="shared" si="22"/>
        <v>0</v>
      </c>
      <c r="F53" s="29">
        <f t="shared" si="6"/>
        <v>0</v>
      </c>
      <c r="H53" s="32">
        <f t="shared" ref="H53:Q62" si="23">IFERROR(IF(H$11&lt;=$F$3,$E53/(1+$I$3)^H$11,0),"No value")</f>
        <v>0</v>
      </c>
      <c r="I53" s="32">
        <f t="shared" si="23"/>
        <v>0</v>
      </c>
      <c r="J53" s="32">
        <f t="shared" si="23"/>
        <v>0</v>
      </c>
      <c r="K53" s="32">
        <f t="shared" si="23"/>
        <v>0</v>
      </c>
      <c r="L53" s="32">
        <f t="shared" si="23"/>
        <v>0</v>
      </c>
      <c r="M53" s="32">
        <f t="shared" si="23"/>
        <v>0</v>
      </c>
      <c r="N53" s="32">
        <f t="shared" si="23"/>
        <v>0</v>
      </c>
      <c r="O53" s="32">
        <f t="shared" si="23"/>
        <v>0</v>
      </c>
      <c r="P53" s="32">
        <f t="shared" si="23"/>
        <v>0</v>
      </c>
      <c r="Q53" s="32">
        <f t="shared" si="23"/>
        <v>0</v>
      </c>
      <c r="R53" s="32">
        <f t="shared" ref="R53:AA62" si="24">IFERROR(IF(R$11&lt;=$F$3,$E53/(1+$I$3)^R$11,0),"No value")</f>
        <v>0</v>
      </c>
      <c r="S53" s="32">
        <f t="shared" si="24"/>
        <v>0</v>
      </c>
      <c r="T53" s="32">
        <f t="shared" si="24"/>
        <v>0</v>
      </c>
      <c r="U53" s="32">
        <f t="shared" si="24"/>
        <v>0</v>
      </c>
      <c r="V53" s="32">
        <f t="shared" si="24"/>
        <v>0</v>
      </c>
      <c r="W53" s="32">
        <f t="shared" si="24"/>
        <v>0</v>
      </c>
      <c r="X53" s="32">
        <f t="shared" si="24"/>
        <v>0</v>
      </c>
      <c r="Y53" s="32">
        <f t="shared" si="24"/>
        <v>0</v>
      </c>
      <c r="Z53" s="32">
        <f t="shared" si="24"/>
        <v>0</v>
      </c>
      <c r="AA53" s="32">
        <f t="shared" si="24"/>
        <v>0</v>
      </c>
      <c r="AB53" s="32">
        <f t="shared" ref="AB53:AK62" si="25">IFERROR(IF(AB$11&lt;=$F$3,$E53/(1+$I$3)^AB$11,0),"No value")</f>
        <v>0</v>
      </c>
      <c r="AC53" s="32">
        <f t="shared" si="25"/>
        <v>0</v>
      </c>
      <c r="AD53" s="32">
        <f t="shared" si="25"/>
        <v>0</v>
      </c>
      <c r="AE53" s="32">
        <f t="shared" si="25"/>
        <v>0</v>
      </c>
      <c r="AF53" s="32">
        <f t="shared" si="25"/>
        <v>0</v>
      </c>
      <c r="AG53" s="32">
        <f t="shared" si="25"/>
        <v>0</v>
      </c>
      <c r="AH53" s="32">
        <f t="shared" si="25"/>
        <v>0</v>
      </c>
      <c r="AI53" s="32">
        <f t="shared" si="25"/>
        <v>0</v>
      </c>
      <c r="AJ53" s="32">
        <f t="shared" si="25"/>
        <v>0</v>
      </c>
      <c r="AK53" s="32">
        <f t="shared" si="25"/>
        <v>0</v>
      </c>
      <c r="AL53" s="32">
        <f t="shared" ref="AL53:AU62" si="26">IFERROR(IF(AL$11&lt;=$F$3,$E53/(1+$I$3)^AL$11,0),"No value")</f>
        <v>0</v>
      </c>
      <c r="AM53" s="32">
        <f t="shared" si="26"/>
        <v>0</v>
      </c>
      <c r="AN53" s="32">
        <f t="shared" si="26"/>
        <v>0</v>
      </c>
      <c r="AO53" s="32">
        <f t="shared" si="26"/>
        <v>0</v>
      </c>
      <c r="AP53" s="32">
        <f t="shared" si="26"/>
        <v>0</v>
      </c>
      <c r="AQ53" s="32">
        <f t="shared" si="26"/>
        <v>0</v>
      </c>
      <c r="AR53" s="32">
        <f t="shared" si="26"/>
        <v>0</v>
      </c>
      <c r="AS53" s="32">
        <f t="shared" si="26"/>
        <v>0</v>
      </c>
      <c r="AT53" s="32">
        <f t="shared" si="26"/>
        <v>0</v>
      </c>
      <c r="AU53" s="32">
        <f t="shared" si="26"/>
        <v>0</v>
      </c>
      <c r="AV53" s="32">
        <f t="shared" ref="AV53:BF62" si="27">IFERROR(IF(AV$11&lt;=$F$3,$E53/(1+$I$3)^AV$11,0),"No value")</f>
        <v>0</v>
      </c>
      <c r="AW53" s="32">
        <f t="shared" si="27"/>
        <v>0</v>
      </c>
      <c r="AX53" s="32">
        <f t="shared" si="27"/>
        <v>0</v>
      </c>
      <c r="AY53" s="32">
        <f t="shared" si="27"/>
        <v>0</v>
      </c>
      <c r="AZ53" s="32">
        <f t="shared" si="27"/>
        <v>0</v>
      </c>
      <c r="BA53" s="32">
        <f t="shared" si="27"/>
        <v>0</v>
      </c>
      <c r="BB53" s="32">
        <f t="shared" si="27"/>
        <v>0</v>
      </c>
      <c r="BC53" s="32">
        <f t="shared" si="27"/>
        <v>0</v>
      </c>
      <c r="BD53" s="32">
        <f t="shared" si="27"/>
        <v>0</v>
      </c>
      <c r="BE53" s="32">
        <f t="shared" si="27"/>
        <v>0</v>
      </c>
      <c r="BF53" s="32">
        <f t="shared" si="27"/>
        <v>0</v>
      </c>
    </row>
    <row r="54" spans="3:58" x14ac:dyDescent="0.2">
      <c r="C54" s="8" t="str">
        <v>Norway</v>
      </c>
      <c r="D54" s="56" t="str">
        <v>Europe &amp; Central Asia</v>
      </c>
      <c r="E54" s="208">
        <f t="shared" si="22"/>
        <v>2172507.8553749998</v>
      </c>
      <c r="F54" s="29">
        <f t="shared" si="6"/>
        <v>48406239.219563</v>
      </c>
      <c r="H54" s="32">
        <f t="shared" si="23"/>
        <v>2172507.8553749998</v>
      </c>
      <c r="I54" s="32">
        <f t="shared" si="23"/>
        <v>2129909.6621323526</v>
      </c>
      <c r="J54" s="32">
        <f t="shared" si="23"/>
        <v>2088146.727580738</v>
      </c>
      <c r="K54" s="32">
        <f t="shared" si="23"/>
        <v>2047202.6740987629</v>
      </c>
      <c r="L54" s="32">
        <f t="shared" si="23"/>
        <v>2007061.4451948656</v>
      </c>
      <c r="M54" s="32">
        <f t="shared" si="23"/>
        <v>1967707.2992106522</v>
      </c>
      <c r="N54" s="32">
        <f t="shared" si="23"/>
        <v>1929124.8031476983</v>
      </c>
      <c r="O54" s="32">
        <f t="shared" si="23"/>
        <v>1891298.8266153908</v>
      </c>
      <c r="P54" s="32">
        <f t="shared" si="23"/>
        <v>1854214.5358974419</v>
      </c>
      <c r="Q54" s="32">
        <f t="shared" si="23"/>
        <v>1817857.388134747</v>
      </c>
      <c r="R54" s="32">
        <f t="shared" si="24"/>
        <v>1782213.1256223009</v>
      </c>
      <c r="S54" s="32">
        <f t="shared" si="24"/>
        <v>1747267.7702179423</v>
      </c>
      <c r="T54" s="32">
        <f t="shared" si="24"/>
        <v>1713007.6178607275</v>
      </c>
      <c r="U54" s="32">
        <f t="shared" si="24"/>
        <v>1679419.2331967917</v>
      </c>
      <c r="V54" s="32">
        <f t="shared" si="24"/>
        <v>1646489.4443105799</v>
      </c>
      <c r="W54" s="32">
        <f t="shared" si="24"/>
        <v>1614205.3375593927</v>
      </c>
      <c r="X54" s="32">
        <f t="shared" si="24"/>
        <v>1582554.2525092082</v>
      </c>
      <c r="Y54" s="32">
        <f t="shared" si="24"/>
        <v>1551523.7769698119</v>
      </c>
      <c r="Z54" s="32">
        <f t="shared" si="24"/>
        <v>1521101.7421272667</v>
      </c>
      <c r="AA54" s="32">
        <f t="shared" si="24"/>
        <v>1491276.21777183</v>
      </c>
      <c r="AB54" s="32">
        <f t="shared" si="25"/>
        <v>1462035.507619441</v>
      </c>
      <c r="AC54" s="32">
        <f t="shared" si="25"/>
        <v>1433368.1447249423</v>
      </c>
      <c r="AD54" s="32">
        <f t="shared" si="25"/>
        <v>1405262.8869852375</v>
      </c>
      <c r="AE54" s="32">
        <f t="shared" si="25"/>
        <v>1377708.7127306252</v>
      </c>
      <c r="AF54" s="32">
        <f t="shared" si="25"/>
        <v>1350694.8164025738</v>
      </c>
      <c r="AG54" s="32">
        <f t="shared" si="25"/>
        <v>1324210.6043162488</v>
      </c>
      <c r="AH54" s="32">
        <f t="shared" si="25"/>
        <v>1298245.690506126</v>
      </c>
      <c r="AI54" s="32">
        <f t="shared" si="25"/>
        <v>1272789.892653065</v>
      </c>
      <c r="AJ54" s="32">
        <f t="shared" si="25"/>
        <v>1247833.2280912399</v>
      </c>
      <c r="AK54" s="32">
        <f t="shared" si="25"/>
        <v>1223365.9098933728</v>
      </c>
      <c r="AL54" s="32">
        <f t="shared" si="26"/>
        <v>1199378.3430327182</v>
      </c>
      <c r="AM54" s="32">
        <f t="shared" si="26"/>
        <v>1175861.1206203122</v>
      </c>
      <c r="AN54" s="32">
        <f t="shared" si="26"/>
        <v>1152805.0202159921</v>
      </c>
      <c r="AO54" s="32">
        <f t="shared" si="26"/>
        <v>1130201.0002117569</v>
      </c>
      <c r="AP54" s="32">
        <f t="shared" si="26"/>
        <v>1108040.1962860364</v>
      </c>
      <c r="AQ54" s="32">
        <f t="shared" si="26"/>
        <v>1086313.9179274866</v>
      </c>
      <c r="AR54" s="32">
        <f t="shared" si="26"/>
        <v>1065013.6450269478</v>
      </c>
      <c r="AS54" s="32">
        <f t="shared" si="26"/>
        <v>1044131.0245362232</v>
      </c>
      <c r="AT54" s="32">
        <f t="shared" si="26"/>
        <v>1023657.8671923755</v>
      </c>
      <c r="AU54" s="32">
        <f t="shared" si="26"/>
        <v>1003586.1443062508</v>
      </c>
      <c r="AV54" s="32">
        <f t="shared" si="27"/>
        <v>983907.9846139712</v>
      </c>
      <c r="AW54" s="32">
        <f t="shared" si="27"/>
        <v>0</v>
      </c>
      <c r="AX54" s="32">
        <f t="shared" si="27"/>
        <v>0</v>
      </c>
      <c r="AY54" s="32">
        <f t="shared" si="27"/>
        <v>0</v>
      </c>
      <c r="AZ54" s="32">
        <f t="shared" si="27"/>
        <v>0</v>
      </c>
      <c r="BA54" s="32">
        <f t="shared" si="27"/>
        <v>0</v>
      </c>
      <c r="BB54" s="32">
        <f t="shared" si="27"/>
        <v>0</v>
      </c>
      <c r="BC54" s="32">
        <f t="shared" si="27"/>
        <v>0</v>
      </c>
      <c r="BD54" s="32">
        <f t="shared" si="27"/>
        <v>0</v>
      </c>
      <c r="BE54" s="32">
        <f t="shared" si="27"/>
        <v>0</v>
      </c>
      <c r="BF54" s="32">
        <f t="shared" si="27"/>
        <v>0</v>
      </c>
    </row>
    <row r="55" spans="3:58" x14ac:dyDescent="0.2">
      <c r="C55" s="8" t="str">
        <v>Panama</v>
      </c>
      <c r="D55" s="56" t="str">
        <v>Latin America &amp; Caribbean</v>
      </c>
      <c r="E55" s="208">
        <f t="shared" si="22"/>
        <v>161948.84365000002</v>
      </c>
      <c r="F55" s="29">
        <f t="shared" si="6"/>
        <v>3608426.292985877</v>
      </c>
      <c r="H55" s="32">
        <f t="shared" si="23"/>
        <v>161948.84365000002</v>
      </c>
      <c r="I55" s="32">
        <f t="shared" si="23"/>
        <v>158773.37612745099</v>
      </c>
      <c r="J55" s="32">
        <f t="shared" si="23"/>
        <v>155660.17267397157</v>
      </c>
      <c r="K55" s="32">
        <f t="shared" si="23"/>
        <v>152608.01242546234</v>
      </c>
      <c r="L55" s="32">
        <f t="shared" si="23"/>
        <v>149615.69845633561</v>
      </c>
      <c r="M55" s="32">
        <f t="shared" si="23"/>
        <v>146682.05731013295</v>
      </c>
      <c r="N55" s="32">
        <f t="shared" si="23"/>
        <v>143805.93853934604</v>
      </c>
      <c r="O55" s="32">
        <f t="shared" si="23"/>
        <v>140986.21425426085</v>
      </c>
      <c r="P55" s="32">
        <f t="shared" si="23"/>
        <v>138221.77868064787</v>
      </c>
      <c r="Q55" s="32">
        <f t="shared" si="23"/>
        <v>135511.54772612537</v>
      </c>
      <c r="R55" s="32">
        <f t="shared" si="24"/>
        <v>132854.45855502484</v>
      </c>
      <c r="S55" s="32">
        <f t="shared" si="24"/>
        <v>130249.46917159302</v>
      </c>
      <c r="T55" s="32">
        <f t="shared" si="24"/>
        <v>127695.55801136569</v>
      </c>
      <c r="U55" s="32">
        <f t="shared" si="24"/>
        <v>125191.72354055461</v>
      </c>
      <c r="V55" s="32">
        <f t="shared" si="24"/>
        <v>122736.98386328881</v>
      </c>
      <c r="W55" s="32">
        <f t="shared" si="24"/>
        <v>120330.37633655769</v>
      </c>
      <c r="X55" s="32">
        <f t="shared" si="24"/>
        <v>117970.9571927036</v>
      </c>
      <c r="Y55" s="32">
        <f t="shared" si="24"/>
        <v>115657.80116931724</v>
      </c>
      <c r="Z55" s="32">
        <f t="shared" si="24"/>
        <v>113390.00114638948</v>
      </c>
      <c r="AA55" s="32">
        <f t="shared" si="24"/>
        <v>111166.66779057792</v>
      </c>
      <c r="AB55" s="32">
        <f t="shared" si="25"/>
        <v>108986.92920644893</v>
      </c>
      <c r="AC55" s="32">
        <f t="shared" si="25"/>
        <v>106849.93059455778</v>
      </c>
      <c r="AD55" s="32">
        <f t="shared" si="25"/>
        <v>104754.83391623311</v>
      </c>
      <c r="AE55" s="32">
        <f t="shared" si="25"/>
        <v>102700.81756493445</v>
      </c>
      <c r="AF55" s="32">
        <f t="shared" si="25"/>
        <v>100687.07604405336</v>
      </c>
      <c r="AG55" s="32">
        <f t="shared" si="25"/>
        <v>98712.819651032711</v>
      </c>
      <c r="AH55" s="32">
        <f t="shared" si="25"/>
        <v>96777.274167679119</v>
      </c>
      <c r="AI55" s="32">
        <f t="shared" si="25"/>
        <v>94879.680556548177</v>
      </c>
      <c r="AJ55" s="32">
        <f t="shared" si="25"/>
        <v>93019.294663282504</v>
      </c>
      <c r="AK55" s="32">
        <f t="shared" si="25"/>
        <v>91195.386924786784</v>
      </c>
      <c r="AL55" s="32">
        <f t="shared" si="26"/>
        <v>89407.242083124293</v>
      </c>
      <c r="AM55" s="32">
        <f t="shared" si="26"/>
        <v>87654.15890502384</v>
      </c>
      <c r="AN55" s="32">
        <f t="shared" si="26"/>
        <v>85935.44990688609</v>
      </c>
      <c r="AO55" s="32">
        <f t="shared" si="26"/>
        <v>84250.441085182436</v>
      </c>
      <c r="AP55" s="32">
        <f t="shared" si="26"/>
        <v>82598.471652139662</v>
      </c>
      <c r="AQ55" s="32">
        <f t="shared" si="26"/>
        <v>80978.893776607511</v>
      </c>
      <c r="AR55" s="32">
        <f t="shared" si="26"/>
        <v>79391.072330007359</v>
      </c>
      <c r="AS55" s="32">
        <f t="shared" si="26"/>
        <v>77834.384637262105</v>
      </c>
      <c r="AT55" s="32">
        <f t="shared" si="26"/>
        <v>76308.220232609907</v>
      </c>
      <c r="AU55" s="32">
        <f t="shared" si="26"/>
        <v>74811.980620205824</v>
      </c>
      <c r="AV55" s="32">
        <f t="shared" si="27"/>
        <v>73345.079039417455</v>
      </c>
      <c r="AW55" s="32">
        <f t="shared" si="27"/>
        <v>0</v>
      </c>
      <c r="AX55" s="32">
        <f t="shared" si="27"/>
        <v>0</v>
      </c>
      <c r="AY55" s="32">
        <f t="shared" si="27"/>
        <v>0</v>
      </c>
      <c r="AZ55" s="32">
        <f t="shared" si="27"/>
        <v>0</v>
      </c>
      <c r="BA55" s="32">
        <f t="shared" si="27"/>
        <v>0</v>
      </c>
      <c r="BB55" s="32">
        <f t="shared" si="27"/>
        <v>0</v>
      </c>
      <c r="BC55" s="32">
        <f t="shared" si="27"/>
        <v>0</v>
      </c>
      <c r="BD55" s="32">
        <f t="shared" si="27"/>
        <v>0</v>
      </c>
      <c r="BE55" s="32">
        <f t="shared" si="27"/>
        <v>0</v>
      </c>
      <c r="BF55" s="32">
        <f t="shared" si="27"/>
        <v>0</v>
      </c>
    </row>
    <row r="56" spans="3:58" x14ac:dyDescent="0.2">
      <c r="C56" s="8" t="str">
        <v>Peru</v>
      </c>
      <c r="D56" s="56" t="str">
        <v>Latin America &amp; Caribbean</v>
      </c>
      <c r="E56" s="208">
        <f t="shared" si="22"/>
        <v>417835.55650000001</v>
      </c>
      <c r="F56" s="29">
        <f t="shared" si="6"/>
        <v>9309907.8340902105</v>
      </c>
      <c r="H56" s="32">
        <f t="shared" si="23"/>
        <v>417835.55650000001</v>
      </c>
      <c r="I56" s="32">
        <f t="shared" si="23"/>
        <v>409642.70245098037</v>
      </c>
      <c r="J56" s="32">
        <f t="shared" si="23"/>
        <v>401610.4925990004</v>
      </c>
      <c r="K56" s="32">
        <f t="shared" si="23"/>
        <v>393735.77705784357</v>
      </c>
      <c r="L56" s="32">
        <f t="shared" si="23"/>
        <v>386015.46770376817</v>
      </c>
      <c r="M56" s="32">
        <f t="shared" si="23"/>
        <v>378446.53696447855</v>
      </c>
      <c r="N56" s="32">
        <f t="shared" si="23"/>
        <v>371026.01663184172</v>
      </c>
      <c r="O56" s="32">
        <f t="shared" si="23"/>
        <v>363750.99669788411</v>
      </c>
      <c r="P56" s="32">
        <f t="shared" si="23"/>
        <v>356618.62421361188</v>
      </c>
      <c r="Q56" s="32">
        <f t="shared" si="23"/>
        <v>349626.10217020771</v>
      </c>
      <c r="R56" s="32">
        <f t="shared" si="24"/>
        <v>342770.68840216438</v>
      </c>
      <c r="S56" s="32">
        <f t="shared" si="24"/>
        <v>336049.69451192592</v>
      </c>
      <c r="T56" s="32">
        <f t="shared" si="24"/>
        <v>329460.4848156136</v>
      </c>
      <c r="U56" s="32">
        <f t="shared" si="24"/>
        <v>323000.47530942515</v>
      </c>
      <c r="V56" s="32">
        <f t="shared" si="24"/>
        <v>316667.1326562991</v>
      </c>
      <c r="W56" s="32">
        <f t="shared" si="24"/>
        <v>310457.97319245018</v>
      </c>
      <c r="X56" s="32">
        <f t="shared" si="24"/>
        <v>304370.56195338251</v>
      </c>
      <c r="Y56" s="32">
        <f t="shared" si="24"/>
        <v>298402.51171900245</v>
      </c>
      <c r="Z56" s="32">
        <f t="shared" si="24"/>
        <v>292551.4820774534</v>
      </c>
      <c r="AA56" s="32">
        <f t="shared" si="24"/>
        <v>286815.17850730725</v>
      </c>
      <c r="AB56" s="32">
        <f t="shared" si="25"/>
        <v>281191.35147775221</v>
      </c>
      <c r="AC56" s="32">
        <f t="shared" si="25"/>
        <v>275677.79556642374</v>
      </c>
      <c r="AD56" s="32">
        <f t="shared" si="25"/>
        <v>270272.34859453305</v>
      </c>
      <c r="AE56" s="32">
        <f t="shared" si="25"/>
        <v>264972.89077895402</v>
      </c>
      <c r="AF56" s="32">
        <f t="shared" si="25"/>
        <v>259777.34390093532</v>
      </c>
      <c r="AG56" s="32">
        <f t="shared" si="25"/>
        <v>254683.67049111304</v>
      </c>
      <c r="AH56" s="32">
        <f t="shared" si="25"/>
        <v>249689.87303050296</v>
      </c>
      <c r="AI56" s="32">
        <f t="shared" si="25"/>
        <v>244793.99316715982</v>
      </c>
      <c r="AJ56" s="32">
        <f t="shared" si="25"/>
        <v>239994.11094819583</v>
      </c>
      <c r="AK56" s="32">
        <f t="shared" si="25"/>
        <v>235288.3440668587</v>
      </c>
      <c r="AL56" s="32">
        <f t="shared" si="26"/>
        <v>230674.84712437124</v>
      </c>
      <c r="AM56" s="32">
        <f t="shared" si="26"/>
        <v>226151.81090624639</v>
      </c>
      <c r="AN56" s="32">
        <f t="shared" si="26"/>
        <v>221717.46167279052</v>
      </c>
      <c r="AO56" s="32">
        <f t="shared" si="26"/>
        <v>217370.06046352012</v>
      </c>
      <c r="AP56" s="32">
        <f t="shared" si="26"/>
        <v>213107.90241521582</v>
      </c>
      <c r="AQ56" s="32">
        <f t="shared" si="26"/>
        <v>208929.31609334884</v>
      </c>
      <c r="AR56" s="32">
        <f t="shared" si="26"/>
        <v>204832.66283661651</v>
      </c>
      <c r="AS56" s="32">
        <f t="shared" si="26"/>
        <v>200816.3361143299</v>
      </c>
      <c r="AT56" s="32">
        <f t="shared" si="26"/>
        <v>196878.76089640183</v>
      </c>
      <c r="AU56" s="32">
        <f t="shared" si="26"/>
        <v>193018.39303568815</v>
      </c>
      <c r="AV56" s="32">
        <f t="shared" si="27"/>
        <v>189233.71866243932</v>
      </c>
      <c r="AW56" s="32">
        <f t="shared" si="27"/>
        <v>0</v>
      </c>
      <c r="AX56" s="32">
        <f t="shared" si="27"/>
        <v>0</v>
      </c>
      <c r="AY56" s="32">
        <f t="shared" si="27"/>
        <v>0</v>
      </c>
      <c r="AZ56" s="32">
        <f t="shared" si="27"/>
        <v>0</v>
      </c>
      <c r="BA56" s="32">
        <f t="shared" si="27"/>
        <v>0</v>
      </c>
      <c r="BB56" s="32">
        <f t="shared" si="27"/>
        <v>0</v>
      </c>
      <c r="BC56" s="32">
        <f t="shared" si="27"/>
        <v>0</v>
      </c>
      <c r="BD56" s="32">
        <f t="shared" si="27"/>
        <v>0</v>
      </c>
      <c r="BE56" s="32">
        <f t="shared" si="27"/>
        <v>0</v>
      </c>
      <c r="BF56" s="32">
        <f t="shared" si="27"/>
        <v>0</v>
      </c>
    </row>
    <row r="57" spans="3:58" x14ac:dyDescent="0.2">
      <c r="C57" s="8" t="str">
        <v>Philippines</v>
      </c>
      <c r="D57" s="56" t="str">
        <v>East Asia &amp; Pacific</v>
      </c>
      <c r="E57" s="208">
        <f t="shared" si="22"/>
        <v>1828990.3625</v>
      </c>
      <c r="F57" s="29">
        <f t="shared" si="6"/>
        <v>40752232.402017333</v>
      </c>
      <c r="H57" s="32">
        <f t="shared" si="23"/>
        <v>1828990.3625</v>
      </c>
      <c r="I57" s="32">
        <f t="shared" si="23"/>
        <v>1793127.8063725489</v>
      </c>
      <c r="J57" s="32">
        <f t="shared" si="23"/>
        <v>1757968.4376201462</v>
      </c>
      <c r="K57" s="32">
        <f t="shared" si="23"/>
        <v>1723498.4682550454</v>
      </c>
      <c r="L57" s="32">
        <f t="shared" si="23"/>
        <v>1689704.3806422013</v>
      </c>
      <c r="M57" s="32">
        <f t="shared" si="23"/>
        <v>1656572.9221982365</v>
      </c>
      <c r="N57" s="32">
        <f t="shared" si="23"/>
        <v>1624091.1001943494</v>
      </c>
      <c r="O57" s="32">
        <f t="shared" si="23"/>
        <v>1592246.1766611272</v>
      </c>
      <c r="P57" s="32">
        <f t="shared" si="23"/>
        <v>1561025.6633932618</v>
      </c>
      <c r="Q57" s="32">
        <f t="shared" si="23"/>
        <v>1530417.3170522174</v>
      </c>
      <c r="R57" s="32">
        <f t="shared" si="24"/>
        <v>1500409.134364919</v>
      </c>
      <c r="S57" s="32">
        <f t="shared" si="24"/>
        <v>1470989.3474165876</v>
      </c>
      <c r="T57" s="32">
        <f t="shared" si="24"/>
        <v>1442146.4190358699</v>
      </c>
      <c r="U57" s="32">
        <f t="shared" si="24"/>
        <v>1413869.0382704607</v>
      </c>
      <c r="V57" s="32">
        <f t="shared" si="24"/>
        <v>1386146.1159514319</v>
      </c>
      <c r="W57" s="32">
        <f t="shared" si="24"/>
        <v>1358966.7803445417</v>
      </c>
      <c r="X57" s="32">
        <f t="shared" si="24"/>
        <v>1332320.3728868051</v>
      </c>
      <c r="Y57" s="32">
        <f t="shared" si="24"/>
        <v>1306196.4440066717</v>
      </c>
      <c r="Z57" s="32">
        <f t="shared" si="24"/>
        <v>1280584.7490261488</v>
      </c>
      <c r="AA57" s="32">
        <f t="shared" si="24"/>
        <v>1255475.2441432832</v>
      </c>
      <c r="AB57" s="32">
        <f t="shared" si="25"/>
        <v>1230858.0824934149</v>
      </c>
      <c r="AC57" s="32">
        <f t="shared" si="25"/>
        <v>1206723.6102876617</v>
      </c>
      <c r="AD57" s="32">
        <f t="shared" si="25"/>
        <v>1183062.3630271193</v>
      </c>
      <c r="AE57" s="32">
        <f t="shared" si="25"/>
        <v>1159865.0617912936</v>
      </c>
      <c r="AF57" s="32">
        <f t="shared" si="25"/>
        <v>1137122.6095993074</v>
      </c>
      <c r="AG57" s="32">
        <f t="shared" si="25"/>
        <v>1114826.0878424582</v>
      </c>
      <c r="AH57" s="32">
        <f t="shared" si="25"/>
        <v>1092966.7527867237</v>
      </c>
      <c r="AI57" s="32">
        <f t="shared" si="25"/>
        <v>1071536.0321438469</v>
      </c>
      <c r="AJ57" s="32">
        <f t="shared" si="25"/>
        <v>1050525.5217096535</v>
      </c>
      <c r="AK57" s="32">
        <f t="shared" si="25"/>
        <v>1029926.9820682879</v>
      </c>
      <c r="AL57" s="32">
        <f t="shared" si="26"/>
        <v>1009732.3353610665</v>
      </c>
      <c r="AM57" s="32">
        <f t="shared" si="26"/>
        <v>989933.66211869288</v>
      </c>
      <c r="AN57" s="32">
        <f t="shared" si="26"/>
        <v>970523.19815558114</v>
      </c>
      <c r="AO57" s="32">
        <f t="shared" si="26"/>
        <v>951493.33152507944</v>
      </c>
      <c r="AP57" s="32">
        <f t="shared" si="26"/>
        <v>932836.59953439166</v>
      </c>
      <c r="AQ57" s="32">
        <f t="shared" si="26"/>
        <v>914545.68581803108</v>
      </c>
      <c r="AR57" s="32">
        <f t="shared" si="26"/>
        <v>896613.41746865795</v>
      </c>
      <c r="AS57" s="32">
        <f t="shared" si="26"/>
        <v>879032.76222417434</v>
      </c>
      <c r="AT57" s="32">
        <f t="shared" si="26"/>
        <v>861796.82570997474</v>
      </c>
      <c r="AU57" s="32">
        <f t="shared" si="26"/>
        <v>844898.84873526974</v>
      </c>
      <c r="AV57" s="32">
        <f t="shared" si="27"/>
        <v>828332.2046424211</v>
      </c>
      <c r="AW57" s="32">
        <f t="shared" si="27"/>
        <v>0</v>
      </c>
      <c r="AX57" s="32">
        <f t="shared" si="27"/>
        <v>0</v>
      </c>
      <c r="AY57" s="32">
        <f t="shared" si="27"/>
        <v>0</v>
      </c>
      <c r="AZ57" s="32">
        <f t="shared" si="27"/>
        <v>0</v>
      </c>
      <c r="BA57" s="32">
        <f t="shared" si="27"/>
        <v>0</v>
      </c>
      <c r="BB57" s="32">
        <f t="shared" si="27"/>
        <v>0</v>
      </c>
      <c r="BC57" s="32">
        <f t="shared" si="27"/>
        <v>0</v>
      </c>
      <c r="BD57" s="32">
        <f t="shared" si="27"/>
        <v>0</v>
      </c>
      <c r="BE57" s="32">
        <f t="shared" si="27"/>
        <v>0</v>
      </c>
      <c r="BF57" s="32">
        <f t="shared" si="27"/>
        <v>0</v>
      </c>
    </row>
    <row r="58" spans="3:58" x14ac:dyDescent="0.2">
      <c r="C58" s="8" t="str">
        <v>Poland</v>
      </c>
      <c r="D58" s="56" t="str">
        <v>Europe &amp; Central Asia</v>
      </c>
      <c r="E58" s="208">
        <f t="shared" si="22"/>
        <v>1689187.4012</v>
      </c>
      <c r="F58" s="29">
        <f t="shared" si="6"/>
        <v>37637244.545219451</v>
      </c>
      <c r="H58" s="32">
        <f t="shared" si="23"/>
        <v>1689187.4012</v>
      </c>
      <c r="I58" s="32">
        <f t="shared" si="23"/>
        <v>1656066.0796078432</v>
      </c>
      <c r="J58" s="32">
        <f t="shared" si="23"/>
        <v>1623594.1956939639</v>
      </c>
      <c r="K58" s="32">
        <f t="shared" si="23"/>
        <v>1591759.0153862392</v>
      </c>
      <c r="L58" s="32">
        <f t="shared" si="23"/>
        <v>1560548.0543002344</v>
      </c>
      <c r="M58" s="32">
        <f t="shared" si="23"/>
        <v>1529949.072843367</v>
      </c>
      <c r="N58" s="32">
        <f t="shared" si="23"/>
        <v>1499950.0714150656</v>
      </c>
      <c r="O58" s="32">
        <f t="shared" si="23"/>
        <v>1470539.2857010451</v>
      </c>
      <c r="P58" s="32">
        <f t="shared" si="23"/>
        <v>1441705.182059848</v>
      </c>
      <c r="Q58" s="32">
        <f t="shared" si="23"/>
        <v>1413436.452999851</v>
      </c>
      <c r="R58" s="32">
        <f t="shared" si="24"/>
        <v>1385722.0127449518</v>
      </c>
      <c r="S58" s="32">
        <f t="shared" si="24"/>
        <v>1358550.992887208</v>
      </c>
      <c r="T58" s="32">
        <f t="shared" si="24"/>
        <v>1331912.7381247135</v>
      </c>
      <c r="U58" s="32">
        <f t="shared" si="24"/>
        <v>1305796.8020830525</v>
      </c>
      <c r="V58" s="32">
        <f t="shared" si="24"/>
        <v>1280192.9432186787</v>
      </c>
      <c r="W58" s="32">
        <f t="shared" si="24"/>
        <v>1255091.1208026265</v>
      </c>
      <c r="X58" s="32">
        <f t="shared" si="24"/>
        <v>1230481.490982967</v>
      </c>
      <c r="Y58" s="32">
        <f t="shared" si="24"/>
        <v>1206354.4029244774</v>
      </c>
      <c r="Z58" s="32">
        <f t="shared" si="24"/>
        <v>1182700.3950239976</v>
      </c>
      <c r="AA58" s="32">
        <f t="shared" si="24"/>
        <v>1159510.1911999977</v>
      </c>
      <c r="AB58" s="32">
        <f t="shared" si="25"/>
        <v>1136774.6972548997</v>
      </c>
      <c r="AC58" s="32">
        <f t="shared" si="25"/>
        <v>1114484.997308725</v>
      </c>
      <c r="AD58" s="32">
        <f t="shared" si="25"/>
        <v>1092632.3503026715</v>
      </c>
      <c r="AE58" s="32">
        <f t="shared" si="25"/>
        <v>1071208.1865712469</v>
      </c>
      <c r="AF58" s="32">
        <f t="shared" si="25"/>
        <v>1050204.1044816147</v>
      </c>
      <c r="AG58" s="32">
        <f t="shared" si="25"/>
        <v>1029611.8671388378</v>
      </c>
      <c r="AH58" s="32">
        <f t="shared" si="25"/>
        <v>1009423.3991557232</v>
      </c>
      <c r="AI58" s="32">
        <f t="shared" si="25"/>
        <v>989630.78348600329</v>
      </c>
      <c r="AJ58" s="32">
        <f t="shared" si="25"/>
        <v>970226.25831961096</v>
      </c>
      <c r="AK58" s="32">
        <f t="shared" si="25"/>
        <v>951202.21403883433</v>
      </c>
      <c r="AL58" s="32">
        <f t="shared" si="26"/>
        <v>932551.19023415132</v>
      </c>
      <c r="AM58" s="32">
        <f t="shared" si="26"/>
        <v>914265.87277857983</v>
      </c>
      <c r="AN58" s="32">
        <f t="shared" si="26"/>
        <v>896339.09095939191</v>
      </c>
      <c r="AO58" s="32">
        <f t="shared" si="26"/>
        <v>878763.81466607039</v>
      </c>
      <c r="AP58" s="32">
        <f t="shared" si="26"/>
        <v>861533.15163340245</v>
      </c>
      <c r="AQ58" s="32">
        <f t="shared" si="26"/>
        <v>844640.34473862988</v>
      </c>
      <c r="AR58" s="32">
        <f t="shared" si="26"/>
        <v>828078.76935159788</v>
      </c>
      <c r="AS58" s="32">
        <f t="shared" si="26"/>
        <v>811841.93073686061</v>
      </c>
      <c r="AT58" s="32">
        <f t="shared" si="26"/>
        <v>795923.46150672599</v>
      </c>
      <c r="AU58" s="32">
        <f t="shared" si="26"/>
        <v>780317.11912424152</v>
      </c>
      <c r="AV58" s="32">
        <f t="shared" si="27"/>
        <v>765016.78345513856</v>
      </c>
      <c r="AW58" s="32">
        <f t="shared" si="27"/>
        <v>0</v>
      </c>
      <c r="AX58" s="32">
        <f t="shared" si="27"/>
        <v>0</v>
      </c>
      <c r="AY58" s="32">
        <f t="shared" si="27"/>
        <v>0</v>
      </c>
      <c r="AZ58" s="32">
        <f t="shared" si="27"/>
        <v>0</v>
      </c>
      <c r="BA58" s="32">
        <f t="shared" si="27"/>
        <v>0</v>
      </c>
      <c r="BB58" s="32">
        <f t="shared" si="27"/>
        <v>0</v>
      </c>
      <c r="BC58" s="32">
        <f t="shared" si="27"/>
        <v>0</v>
      </c>
      <c r="BD58" s="32">
        <f t="shared" si="27"/>
        <v>0</v>
      </c>
      <c r="BE58" s="32">
        <f t="shared" si="27"/>
        <v>0</v>
      </c>
      <c r="BF58" s="32">
        <f t="shared" si="27"/>
        <v>0</v>
      </c>
    </row>
    <row r="59" spans="3:58" x14ac:dyDescent="0.2">
      <c r="C59" s="8" t="str">
        <v>Portugal</v>
      </c>
      <c r="D59" s="56" t="str">
        <v>Europe &amp; Central Asia</v>
      </c>
      <c r="E59" s="208">
        <f t="shared" si="22"/>
        <v>1089466.0348</v>
      </c>
      <c r="F59" s="29">
        <f t="shared" si="6"/>
        <v>24274689.443189394</v>
      </c>
      <c r="H59" s="32">
        <f t="shared" si="23"/>
        <v>1089466.0348</v>
      </c>
      <c r="I59" s="32">
        <f t="shared" si="23"/>
        <v>1068103.9556862745</v>
      </c>
      <c r="J59" s="32">
        <f t="shared" si="23"/>
        <v>1047160.7408688966</v>
      </c>
      <c r="K59" s="32">
        <f t="shared" si="23"/>
        <v>1026628.1773224478</v>
      </c>
      <c r="L59" s="32">
        <f t="shared" si="23"/>
        <v>1006498.2130612232</v>
      </c>
      <c r="M59" s="32">
        <f t="shared" si="23"/>
        <v>986762.95398159139</v>
      </c>
      <c r="N59" s="32">
        <f t="shared" si="23"/>
        <v>967414.66076626594</v>
      </c>
      <c r="O59" s="32">
        <f t="shared" si="23"/>
        <v>948445.74584928062</v>
      </c>
      <c r="P59" s="32">
        <f t="shared" si="23"/>
        <v>929848.77044047113</v>
      </c>
      <c r="Q59" s="32">
        <f t="shared" si="23"/>
        <v>911616.44160830497</v>
      </c>
      <c r="R59" s="32">
        <f t="shared" si="24"/>
        <v>893741.60941990674</v>
      </c>
      <c r="S59" s="32">
        <f t="shared" si="24"/>
        <v>876217.26413716364</v>
      </c>
      <c r="T59" s="32">
        <f t="shared" si="24"/>
        <v>859036.53346780734</v>
      </c>
      <c r="U59" s="32">
        <f t="shared" si="24"/>
        <v>842192.67987039941</v>
      </c>
      <c r="V59" s="32">
        <f t="shared" si="24"/>
        <v>825679.09791215626</v>
      </c>
      <c r="W59" s="32">
        <f t="shared" si="24"/>
        <v>809489.31167858478</v>
      </c>
      <c r="X59" s="32">
        <f t="shared" si="24"/>
        <v>793616.9722339065</v>
      </c>
      <c r="Y59" s="32">
        <f t="shared" si="24"/>
        <v>778055.85513128084</v>
      </c>
      <c r="Z59" s="32">
        <f t="shared" si="24"/>
        <v>762799.85797184403</v>
      </c>
      <c r="AA59" s="32">
        <f t="shared" si="24"/>
        <v>747842.99801161187</v>
      </c>
      <c r="AB59" s="32">
        <f t="shared" si="25"/>
        <v>733179.40981530561</v>
      </c>
      <c r="AC59" s="32">
        <f t="shared" si="25"/>
        <v>718803.34295618208</v>
      </c>
      <c r="AD59" s="32">
        <f t="shared" si="25"/>
        <v>704709.15976096271</v>
      </c>
      <c r="AE59" s="32">
        <f t="shared" si="25"/>
        <v>690891.33309898316</v>
      </c>
      <c r="AF59" s="32">
        <f t="shared" si="25"/>
        <v>677344.44421468943</v>
      </c>
      <c r="AG59" s="32">
        <f t="shared" si="25"/>
        <v>664063.18060263665</v>
      </c>
      <c r="AH59" s="32">
        <f t="shared" si="25"/>
        <v>651042.33392415347</v>
      </c>
      <c r="AI59" s="32">
        <f t="shared" si="25"/>
        <v>638276.79796485649</v>
      </c>
      <c r="AJ59" s="32">
        <f t="shared" si="25"/>
        <v>625761.56663221214</v>
      </c>
      <c r="AK59" s="32">
        <f t="shared" si="25"/>
        <v>613491.73199236498</v>
      </c>
      <c r="AL59" s="32">
        <f t="shared" si="26"/>
        <v>601462.48234545579</v>
      </c>
      <c r="AM59" s="32">
        <f t="shared" si="26"/>
        <v>589669.1003386823</v>
      </c>
      <c r="AN59" s="32">
        <f t="shared" si="26"/>
        <v>578106.96111635503</v>
      </c>
      <c r="AO59" s="32">
        <f t="shared" si="26"/>
        <v>566771.53050623043</v>
      </c>
      <c r="AP59" s="32">
        <f t="shared" si="26"/>
        <v>555658.36324140243</v>
      </c>
      <c r="AQ59" s="32">
        <f t="shared" si="26"/>
        <v>544763.10121706116</v>
      </c>
      <c r="AR59" s="32">
        <f t="shared" si="26"/>
        <v>534081.47178143251</v>
      </c>
      <c r="AS59" s="32">
        <f t="shared" si="26"/>
        <v>523609.28606022795</v>
      </c>
      <c r="AT59" s="32">
        <f t="shared" si="26"/>
        <v>513342.43731394887</v>
      </c>
      <c r="AU59" s="32">
        <f t="shared" si="26"/>
        <v>503276.89932740107</v>
      </c>
      <c r="AV59" s="32">
        <f t="shared" si="27"/>
        <v>493408.72483078524</v>
      </c>
      <c r="AW59" s="32">
        <f t="shared" si="27"/>
        <v>0</v>
      </c>
      <c r="AX59" s="32">
        <f t="shared" si="27"/>
        <v>0</v>
      </c>
      <c r="AY59" s="32">
        <f t="shared" si="27"/>
        <v>0</v>
      </c>
      <c r="AZ59" s="32">
        <f t="shared" si="27"/>
        <v>0</v>
      </c>
      <c r="BA59" s="32">
        <f t="shared" si="27"/>
        <v>0</v>
      </c>
      <c r="BB59" s="32">
        <f t="shared" si="27"/>
        <v>0</v>
      </c>
      <c r="BC59" s="32">
        <f t="shared" si="27"/>
        <v>0</v>
      </c>
      <c r="BD59" s="32">
        <f t="shared" si="27"/>
        <v>0</v>
      </c>
      <c r="BE59" s="32">
        <f t="shared" si="27"/>
        <v>0</v>
      </c>
      <c r="BF59" s="32">
        <f t="shared" si="27"/>
        <v>0</v>
      </c>
    </row>
    <row r="60" spans="3:58" x14ac:dyDescent="0.2">
      <c r="C60" s="8" t="str">
        <v>Romania</v>
      </c>
      <c r="D60" s="56" t="str">
        <v>Europe &amp; Central Asia</v>
      </c>
      <c r="E60" s="208">
        <f t="shared" si="22"/>
        <v>128450.03025</v>
      </c>
      <c r="F60" s="29">
        <f t="shared" si="6"/>
        <v>2862030.1080422755</v>
      </c>
      <c r="H60" s="32">
        <f t="shared" si="23"/>
        <v>128450.03025</v>
      </c>
      <c r="I60" s="32">
        <f t="shared" si="23"/>
        <v>125931.40220588235</v>
      </c>
      <c r="J60" s="32">
        <f t="shared" si="23"/>
        <v>123462.15902537486</v>
      </c>
      <c r="K60" s="32">
        <f t="shared" si="23"/>
        <v>121041.33237781849</v>
      </c>
      <c r="L60" s="32">
        <f t="shared" si="23"/>
        <v>118667.97291942989</v>
      </c>
      <c r="M60" s="32">
        <f t="shared" si="23"/>
        <v>116341.1499210097</v>
      </c>
      <c r="N60" s="32">
        <f t="shared" si="23"/>
        <v>114059.95090295067</v>
      </c>
      <c r="O60" s="32">
        <f t="shared" si="23"/>
        <v>111823.48127740264</v>
      </c>
      <c r="P60" s="32">
        <f t="shared" si="23"/>
        <v>109630.86399745356</v>
      </c>
      <c r="Q60" s="32">
        <f t="shared" si="23"/>
        <v>107481.23921318976</v>
      </c>
      <c r="R60" s="32">
        <f t="shared" si="24"/>
        <v>105373.76393449976</v>
      </c>
      <c r="S60" s="32">
        <f t="shared" si="24"/>
        <v>103307.61170048999</v>
      </c>
      <c r="T60" s="32">
        <f t="shared" si="24"/>
        <v>101281.97225538232</v>
      </c>
      <c r="U60" s="32">
        <f t="shared" si="24"/>
        <v>99296.051230766985</v>
      </c>
      <c r="V60" s="32">
        <f t="shared" si="24"/>
        <v>97349.069834085269</v>
      </c>
      <c r="W60" s="32">
        <f t="shared" si="24"/>
        <v>95440.264543220881</v>
      </c>
      <c r="X60" s="32">
        <f t="shared" si="24"/>
        <v>93568.886807079281</v>
      </c>
      <c r="Y60" s="32">
        <f t="shared" si="24"/>
        <v>91734.202752038502</v>
      </c>
      <c r="Z60" s="32">
        <f t="shared" si="24"/>
        <v>89935.49289415541</v>
      </c>
      <c r="AA60" s="32">
        <f t="shared" si="24"/>
        <v>88172.051857015103</v>
      </c>
      <c r="AB60" s="32">
        <f t="shared" si="25"/>
        <v>86443.188095112841</v>
      </c>
      <c r="AC60" s="32">
        <f t="shared" si="25"/>
        <v>84748.223622659658</v>
      </c>
      <c r="AD60" s="32">
        <f t="shared" si="25"/>
        <v>83086.493747705535</v>
      </c>
      <c r="AE60" s="32">
        <f t="shared" si="25"/>
        <v>81457.346811476033</v>
      </c>
      <c r="AF60" s="32">
        <f t="shared" si="25"/>
        <v>79860.143932819643</v>
      </c>
      <c r="AG60" s="32">
        <f t="shared" si="25"/>
        <v>78294.258757666306</v>
      </c>
      <c r="AH60" s="32">
        <f t="shared" si="25"/>
        <v>76759.077213398341</v>
      </c>
      <c r="AI60" s="32">
        <f t="shared" si="25"/>
        <v>75253.997268037594</v>
      </c>
      <c r="AJ60" s="32">
        <f t="shared" si="25"/>
        <v>73778.428694154485</v>
      </c>
      <c r="AK60" s="32">
        <f t="shared" si="25"/>
        <v>72331.792837406378</v>
      </c>
      <c r="AL60" s="32">
        <f t="shared" si="26"/>
        <v>70913.522389614081</v>
      </c>
      <c r="AM60" s="32">
        <f t="shared" si="26"/>
        <v>69523.061166288331</v>
      </c>
      <c r="AN60" s="32">
        <f t="shared" si="26"/>
        <v>68159.863888517968</v>
      </c>
      <c r="AO60" s="32">
        <f t="shared" si="26"/>
        <v>66823.39596913525</v>
      </c>
      <c r="AP60" s="32">
        <f t="shared" si="26"/>
        <v>65513.133303073781</v>
      </c>
      <c r="AQ60" s="32">
        <f t="shared" si="26"/>
        <v>64228.562061837045</v>
      </c>
      <c r="AR60" s="32">
        <f t="shared" si="26"/>
        <v>62969.178491997103</v>
      </c>
      <c r="AS60" s="32">
        <f t="shared" si="26"/>
        <v>61734.488717644213</v>
      </c>
      <c r="AT60" s="32">
        <f t="shared" si="26"/>
        <v>60524.008546710007</v>
      </c>
      <c r="AU60" s="32">
        <f t="shared" si="26"/>
        <v>59337.263281088264</v>
      </c>
      <c r="AV60" s="32">
        <f t="shared" si="27"/>
        <v>58173.787530478672</v>
      </c>
      <c r="AW60" s="32">
        <f t="shared" si="27"/>
        <v>0</v>
      </c>
      <c r="AX60" s="32">
        <f t="shared" si="27"/>
        <v>0</v>
      </c>
      <c r="AY60" s="32">
        <f t="shared" si="27"/>
        <v>0</v>
      </c>
      <c r="AZ60" s="32">
        <f t="shared" si="27"/>
        <v>0</v>
      </c>
      <c r="BA60" s="32">
        <f t="shared" si="27"/>
        <v>0</v>
      </c>
      <c r="BB60" s="32">
        <f t="shared" si="27"/>
        <v>0</v>
      </c>
      <c r="BC60" s="32">
        <f t="shared" si="27"/>
        <v>0</v>
      </c>
      <c r="BD60" s="32">
        <f t="shared" si="27"/>
        <v>0</v>
      </c>
      <c r="BE60" s="32">
        <f t="shared" si="27"/>
        <v>0</v>
      </c>
      <c r="BF60" s="32">
        <f t="shared" si="27"/>
        <v>0</v>
      </c>
    </row>
    <row r="61" spans="3:58" x14ac:dyDescent="0.2">
      <c r="C61" s="8" t="str">
        <v>Russian Federation</v>
      </c>
      <c r="D61" s="56" t="str">
        <v>Europe &amp; Central Asia</v>
      </c>
      <c r="E61" s="208">
        <f t="shared" si="22"/>
        <v>8340000.0000000019</v>
      </c>
      <c r="F61" s="29">
        <f t="shared" si="6"/>
        <v>185825811.44291002</v>
      </c>
      <c r="H61" s="32">
        <f t="shared" si="23"/>
        <v>8340000.0000000019</v>
      </c>
      <c r="I61" s="32">
        <f t="shared" si="23"/>
        <v>8176470.5882352954</v>
      </c>
      <c r="J61" s="32">
        <f t="shared" si="23"/>
        <v>8016147.6355248</v>
      </c>
      <c r="K61" s="32">
        <f t="shared" si="23"/>
        <v>7858968.270122353</v>
      </c>
      <c r="L61" s="32">
        <f t="shared" si="23"/>
        <v>7704870.8530611303</v>
      </c>
      <c r="M61" s="32">
        <f t="shared" si="23"/>
        <v>7553794.9539815001</v>
      </c>
      <c r="N61" s="32">
        <f t="shared" si="23"/>
        <v>7405681.3274328429</v>
      </c>
      <c r="O61" s="32">
        <f t="shared" si="23"/>
        <v>7260471.8896400435</v>
      </c>
      <c r="P61" s="32">
        <f t="shared" si="23"/>
        <v>7118109.6957255322</v>
      </c>
      <c r="Q61" s="32">
        <f t="shared" si="23"/>
        <v>6978538.917377973</v>
      </c>
      <c r="R61" s="32">
        <f t="shared" si="24"/>
        <v>6841704.8209587969</v>
      </c>
      <c r="S61" s="32">
        <f t="shared" si="24"/>
        <v>6707553.7460380374</v>
      </c>
      <c r="T61" s="32">
        <f t="shared" si="24"/>
        <v>6576033.0843510162</v>
      </c>
      <c r="U61" s="32">
        <f t="shared" si="24"/>
        <v>6447091.2591676628</v>
      </c>
      <c r="V61" s="32">
        <f t="shared" si="24"/>
        <v>6320677.7050663354</v>
      </c>
      <c r="W61" s="32">
        <f t="shared" si="24"/>
        <v>6196742.8481042525</v>
      </c>
      <c r="X61" s="32">
        <f t="shared" si="24"/>
        <v>6075238.0863767173</v>
      </c>
      <c r="Y61" s="32">
        <f t="shared" si="24"/>
        <v>5956115.7709575649</v>
      </c>
      <c r="Z61" s="32">
        <f t="shared" si="24"/>
        <v>5839329.1872132998</v>
      </c>
      <c r="AA61" s="32">
        <f t="shared" si="24"/>
        <v>5724832.5364836277</v>
      </c>
      <c r="AB61" s="32">
        <f t="shared" si="25"/>
        <v>5612580.9181212028</v>
      </c>
      <c r="AC61" s="32">
        <f t="shared" si="25"/>
        <v>5502530.3118835324</v>
      </c>
      <c r="AD61" s="32">
        <f t="shared" si="25"/>
        <v>5394637.56067013</v>
      </c>
      <c r="AE61" s="32">
        <f t="shared" si="25"/>
        <v>5288860.3535981672</v>
      </c>
      <c r="AF61" s="32">
        <f t="shared" si="25"/>
        <v>5185157.209409968</v>
      </c>
      <c r="AG61" s="32">
        <f t="shared" si="25"/>
        <v>5083487.4602058502</v>
      </c>
      <c r="AH61" s="32">
        <f t="shared" si="25"/>
        <v>4983811.2354959315</v>
      </c>
      <c r="AI61" s="32">
        <f t="shared" si="25"/>
        <v>4886089.4465646399</v>
      </c>
      <c r="AJ61" s="32">
        <f t="shared" si="25"/>
        <v>4790283.7711418029</v>
      </c>
      <c r="AK61" s="32">
        <f t="shared" si="25"/>
        <v>4696356.6383743165</v>
      </c>
      <c r="AL61" s="32">
        <f t="shared" si="26"/>
        <v>4604271.214092467</v>
      </c>
      <c r="AM61" s="32">
        <f t="shared" si="26"/>
        <v>4513991.386365165</v>
      </c>
      <c r="AN61" s="32">
        <f t="shared" si="26"/>
        <v>4425481.7513383962</v>
      </c>
      <c r="AO61" s="32">
        <f t="shared" si="26"/>
        <v>4338707.5993513688</v>
      </c>
      <c r="AP61" s="32">
        <f t="shared" si="26"/>
        <v>4253634.901324871</v>
      </c>
      <c r="AQ61" s="32">
        <f t="shared" si="26"/>
        <v>4170230.2954165405</v>
      </c>
      <c r="AR61" s="32">
        <f t="shared" si="26"/>
        <v>4088461.0739377853</v>
      </c>
      <c r="AS61" s="32">
        <f t="shared" si="26"/>
        <v>4008295.1705272398</v>
      </c>
      <c r="AT61" s="32">
        <f t="shared" si="26"/>
        <v>3929701.1475757249</v>
      </c>
      <c r="AU61" s="32">
        <f t="shared" si="26"/>
        <v>3852648.1838977709</v>
      </c>
      <c r="AV61" s="32">
        <f t="shared" si="27"/>
        <v>3777106.0626448723</v>
      </c>
      <c r="AW61" s="32">
        <f t="shared" si="27"/>
        <v>0</v>
      </c>
      <c r="AX61" s="32">
        <f t="shared" si="27"/>
        <v>0</v>
      </c>
      <c r="AY61" s="32">
        <f t="shared" si="27"/>
        <v>0</v>
      </c>
      <c r="AZ61" s="32">
        <f t="shared" si="27"/>
        <v>0</v>
      </c>
      <c r="BA61" s="32">
        <f t="shared" si="27"/>
        <v>0</v>
      </c>
      <c r="BB61" s="32">
        <f t="shared" si="27"/>
        <v>0</v>
      </c>
      <c r="BC61" s="32">
        <f t="shared" si="27"/>
        <v>0</v>
      </c>
      <c r="BD61" s="32">
        <f t="shared" si="27"/>
        <v>0</v>
      </c>
      <c r="BE61" s="32">
        <f t="shared" si="27"/>
        <v>0</v>
      </c>
      <c r="BF61" s="32">
        <f t="shared" si="27"/>
        <v>0</v>
      </c>
    </row>
    <row r="62" spans="3:58" x14ac:dyDescent="0.2">
      <c r="C62" s="8" t="str">
        <v>Slovak Republic</v>
      </c>
      <c r="D62" s="56" t="str">
        <v>Europe &amp; Central Asia</v>
      </c>
      <c r="E62" s="208">
        <f t="shared" si="22"/>
        <v>245919.24472500003</v>
      </c>
      <c r="F62" s="29">
        <f t="shared" si="6"/>
        <v>5479393.6691187872</v>
      </c>
      <c r="H62" s="32">
        <f t="shared" si="23"/>
        <v>245919.24472500003</v>
      </c>
      <c r="I62" s="32">
        <f t="shared" si="23"/>
        <v>241097.29875000002</v>
      </c>
      <c r="J62" s="32">
        <f t="shared" si="23"/>
        <v>236369.90073529416</v>
      </c>
      <c r="K62" s="32">
        <f t="shared" si="23"/>
        <v>231735.196799308</v>
      </c>
      <c r="L62" s="32">
        <f t="shared" si="23"/>
        <v>227191.36941108626</v>
      </c>
      <c r="M62" s="32">
        <f t="shared" si="23"/>
        <v>222736.63667753554</v>
      </c>
      <c r="N62" s="32">
        <f t="shared" si="23"/>
        <v>218369.25164464267</v>
      </c>
      <c r="O62" s="32">
        <f t="shared" si="23"/>
        <v>214087.50161239484</v>
      </c>
      <c r="P62" s="32">
        <f t="shared" si="23"/>
        <v>209889.70746313216</v>
      </c>
      <c r="Q62" s="32">
        <f t="shared" si="23"/>
        <v>205774.22300307074</v>
      </c>
      <c r="R62" s="32">
        <f t="shared" si="24"/>
        <v>201739.43431673603</v>
      </c>
      <c r="S62" s="32">
        <f t="shared" si="24"/>
        <v>197783.75913405497</v>
      </c>
      <c r="T62" s="32">
        <f t="shared" si="24"/>
        <v>193905.64620985778</v>
      </c>
      <c r="U62" s="32">
        <f t="shared" si="24"/>
        <v>190103.57471554686</v>
      </c>
      <c r="V62" s="32">
        <f t="shared" si="24"/>
        <v>186376.05364269298</v>
      </c>
      <c r="W62" s="32">
        <f t="shared" si="24"/>
        <v>182721.6212183265</v>
      </c>
      <c r="X62" s="32">
        <f t="shared" si="24"/>
        <v>179138.84433169261</v>
      </c>
      <c r="Y62" s="32">
        <f t="shared" si="24"/>
        <v>175626.31797224763</v>
      </c>
      <c r="Z62" s="32">
        <f t="shared" si="24"/>
        <v>172182.66467867416</v>
      </c>
      <c r="AA62" s="32">
        <f t="shared" si="24"/>
        <v>168806.53399870018</v>
      </c>
      <c r="AB62" s="32">
        <f t="shared" si="25"/>
        <v>165496.60195950995</v>
      </c>
      <c r="AC62" s="32">
        <f t="shared" si="25"/>
        <v>162251.5705485392</v>
      </c>
      <c r="AD62" s="32">
        <f t="shared" si="25"/>
        <v>159070.16720445018</v>
      </c>
      <c r="AE62" s="32">
        <f t="shared" si="25"/>
        <v>155951.14431808842</v>
      </c>
      <c r="AF62" s="32">
        <f t="shared" si="25"/>
        <v>152893.27874322396</v>
      </c>
      <c r="AG62" s="32">
        <f t="shared" si="25"/>
        <v>149895.37131688622</v>
      </c>
      <c r="AH62" s="32">
        <f t="shared" si="25"/>
        <v>146956.24638910414</v>
      </c>
      <c r="AI62" s="32">
        <f t="shared" si="25"/>
        <v>144074.75136186683</v>
      </c>
      <c r="AJ62" s="32">
        <f t="shared" si="25"/>
        <v>141249.7562371243</v>
      </c>
      <c r="AK62" s="32">
        <f t="shared" si="25"/>
        <v>138480.15317365128</v>
      </c>
      <c r="AL62" s="32">
        <f t="shared" si="26"/>
        <v>135764.85605259929</v>
      </c>
      <c r="AM62" s="32">
        <f t="shared" si="26"/>
        <v>133102.80005156796</v>
      </c>
      <c r="AN62" s="32">
        <f t="shared" si="26"/>
        <v>130492.9412270274</v>
      </c>
      <c r="AO62" s="32">
        <f t="shared" si="26"/>
        <v>127934.25610492881</v>
      </c>
      <c r="AP62" s="32">
        <f t="shared" si="26"/>
        <v>125425.74127934198</v>
      </c>
      <c r="AQ62" s="32">
        <f t="shared" si="26"/>
        <v>122966.41301896273</v>
      </c>
      <c r="AR62" s="32">
        <f t="shared" si="26"/>
        <v>120555.30688133602</v>
      </c>
      <c r="AS62" s="32">
        <f t="shared" si="26"/>
        <v>118191.47733464315</v>
      </c>
      <c r="AT62" s="32">
        <f t="shared" si="26"/>
        <v>115873.99738690503</v>
      </c>
      <c r="AU62" s="32">
        <f t="shared" si="26"/>
        <v>113601.95822245596</v>
      </c>
      <c r="AV62" s="32">
        <f t="shared" si="27"/>
        <v>111374.46884554502</v>
      </c>
      <c r="AW62" s="32">
        <f t="shared" si="27"/>
        <v>0</v>
      </c>
      <c r="AX62" s="32">
        <f t="shared" si="27"/>
        <v>0</v>
      </c>
      <c r="AY62" s="32">
        <f t="shared" si="27"/>
        <v>0</v>
      </c>
      <c r="AZ62" s="32">
        <f t="shared" si="27"/>
        <v>0</v>
      </c>
      <c r="BA62" s="32">
        <f t="shared" si="27"/>
        <v>0</v>
      </c>
      <c r="BB62" s="32">
        <f t="shared" si="27"/>
        <v>0</v>
      </c>
      <c r="BC62" s="32">
        <f t="shared" si="27"/>
        <v>0</v>
      </c>
      <c r="BD62" s="32">
        <f t="shared" si="27"/>
        <v>0</v>
      </c>
      <c r="BE62" s="32">
        <f t="shared" si="27"/>
        <v>0</v>
      </c>
      <c r="BF62" s="32">
        <f t="shared" si="27"/>
        <v>0</v>
      </c>
    </row>
    <row r="63" spans="3:58" x14ac:dyDescent="0.2">
      <c r="C63" s="8" t="str">
        <v>Slovenia</v>
      </c>
      <c r="D63" s="56" t="str">
        <v>Europe &amp; Central Asia</v>
      </c>
      <c r="E63" s="208">
        <f t="shared" si="22"/>
        <v>179526.60234999997</v>
      </c>
      <c r="F63" s="29">
        <f t="shared" si="6"/>
        <v>4000081.1219757046</v>
      </c>
      <c r="H63" s="32">
        <f t="shared" ref="H63:Q74" si="28">IFERROR(IF(H$11&lt;=$F$3,$E63/(1+$I$3)^H$11,0),"No value")</f>
        <v>179526.60234999997</v>
      </c>
      <c r="I63" s="32">
        <f t="shared" si="28"/>
        <v>176006.47289215683</v>
      </c>
      <c r="J63" s="32">
        <f t="shared" si="28"/>
        <v>172555.36558054591</v>
      </c>
      <c r="K63" s="32">
        <f t="shared" si="28"/>
        <v>169171.92703975091</v>
      </c>
      <c r="L63" s="32">
        <f t="shared" si="28"/>
        <v>165854.83043112833</v>
      </c>
      <c r="M63" s="32">
        <f t="shared" si="28"/>
        <v>162602.77493247876</v>
      </c>
      <c r="N63" s="32">
        <f t="shared" si="28"/>
        <v>159414.48522792035</v>
      </c>
      <c r="O63" s="32">
        <f t="shared" si="28"/>
        <v>156288.71100776509</v>
      </c>
      <c r="P63" s="32">
        <f t="shared" si="28"/>
        <v>153224.22647820105</v>
      </c>
      <c r="Q63" s="32">
        <f t="shared" si="28"/>
        <v>150219.82988058924</v>
      </c>
      <c r="R63" s="32">
        <f t="shared" ref="R63:AA74" si="29">IFERROR(IF(R$11&lt;=$F$3,$E63/(1+$I$3)^R$11,0),"No value")</f>
        <v>147274.34302018554</v>
      </c>
      <c r="S63" s="32">
        <f t="shared" si="29"/>
        <v>144386.61080410349</v>
      </c>
      <c r="T63" s="32">
        <f t="shared" si="29"/>
        <v>141555.50078833674</v>
      </c>
      <c r="U63" s="32">
        <f t="shared" si="29"/>
        <v>138779.90273366348</v>
      </c>
      <c r="V63" s="32">
        <f t="shared" si="29"/>
        <v>136058.72817025828</v>
      </c>
      <c r="W63" s="32">
        <f t="shared" si="29"/>
        <v>133390.90997084152</v>
      </c>
      <c r="X63" s="32">
        <f t="shared" si="29"/>
        <v>130775.40193219752</v>
      </c>
      <c r="Y63" s="32">
        <f t="shared" si="29"/>
        <v>128211.17836489953</v>
      </c>
      <c r="Z63" s="32">
        <f t="shared" si="29"/>
        <v>125697.23369107798</v>
      </c>
      <c r="AA63" s="32">
        <f t="shared" si="29"/>
        <v>123232.58205007645</v>
      </c>
      <c r="AB63" s="32">
        <f t="shared" ref="AB63:AK74" si="30">IFERROR(IF(AB$11&lt;=$F$3,$E63/(1+$I$3)^AB$11,0),"No value")</f>
        <v>120816.25691183965</v>
      </c>
      <c r="AC63" s="32">
        <f t="shared" si="30"/>
        <v>118447.31069788201</v>
      </c>
      <c r="AD63" s="32">
        <f t="shared" si="30"/>
        <v>116124.81440968825</v>
      </c>
      <c r="AE63" s="32">
        <f t="shared" si="30"/>
        <v>113847.85726440027</v>
      </c>
      <c r="AF63" s="32">
        <f t="shared" si="30"/>
        <v>111615.54633764732</v>
      </c>
      <c r="AG63" s="32">
        <f t="shared" si="30"/>
        <v>109427.00621337972</v>
      </c>
      <c r="AH63" s="32">
        <f t="shared" si="30"/>
        <v>107281.37864056833</v>
      </c>
      <c r="AI63" s="32">
        <f t="shared" si="30"/>
        <v>105177.82219663565</v>
      </c>
      <c r="AJ63" s="32">
        <f t="shared" si="30"/>
        <v>103115.51195748591</v>
      </c>
      <c r="AK63" s="32">
        <f t="shared" si="30"/>
        <v>101093.6391740058</v>
      </c>
      <c r="AL63" s="32">
        <f t="shared" ref="AL63:AU74" si="31">IFERROR(IF(AL$11&lt;=$F$3,$E63/(1+$I$3)^AL$11,0),"No value")</f>
        <v>99111.410954907638</v>
      </c>
      <c r="AM63" s="32">
        <f t="shared" si="31"/>
        <v>97168.049955791837</v>
      </c>
      <c r="AN63" s="32">
        <f t="shared" si="31"/>
        <v>95262.794074305697</v>
      </c>
      <c r="AO63" s="32">
        <f t="shared" si="31"/>
        <v>93394.896151280089</v>
      </c>
      <c r="AP63" s="32">
        <f t="shared" si="31"/>
        <v>91563.623677725584</v>
      </c>
      <c r="AQ63" s="32">
        <f t="shared" si="31"/>
        <v>89768.258507574108</v>
      </c>
      <c r="AR63" s="32">
        <f t="shared" si="31"/>
        <v>88008.096576053053</v>
      </c>
      <c r="AS63" s="32">
        <f t="shared" si="31"/>
        <v>86282.447623581407</v>
      </c>
      <c r="AT63" s="32">
        <f t="shared" si="31"/>
        <v>84590.634925079808</v>
      </c>
      <c r="AU63" s="32">
        <f t="shared" si="31"/>
        <v>82931.995024588075</v>
      </c>
      <c r="AV63" s="32">
        <f t="shared" ref="AV63:BF74" si="32">IFERROR(IF(AV$11&lt;=$F$3,$E63/(1+$I$3)^AV$11,0),"No value")</f>
        <v>81305.877475086323</v>
      </c>
      <c r="AW63" s="32">
        <f t="shared" si="32"/>
        <v>0</v>
      </c>
      <c r="AX63" s="32">
        <f t="shared" si="32"/>
        <v>0</v>
      </c>
      <c r="AY63" s="32">
        <f t="shared" si="32"/>
        <v>0</v>
      </c>
      <c r="AZ63" s="32">
        <f t="shared" si="32"/>
        <v>0</v>
      </c>
      <c r="BA63" s="32">
        <f t="shared" si="32"/>
        <v>0</v>
      </c>
      <c r="BB63" s="32">
        <f t="shared" si="32"/>
        <v>0</v>
      </c>
      <c r="BC63" s="32">
        <f t="shared" si="32"/>
        <v>0</v>
      </c>
      <c r="BD63" s="32">
        <f t="shared" si="32"/>
        <v>0</v>
      </c>
      <c r="BE63" s="32">
        <f t="shared" si="32"/>
        <v>0</v>
      </c>
      <c r="BF63" s="32">
        <f t="shared" si="32"/>
        <v>0</v>
      </c>
    </row>
    <row r="64" spans="3:58" x14ac:dyDescent="0.2">
      <c r="C64" s="8" t="str">
        <v>South Africa</v>
      </c>
      <c r="D64" s="56" t="str">
        <v>Sub-Saharan Africa</v>
      </c>
      <c r="E64" s="208">
        <f t="shared" si="22"/>
        <v>0</v>
      </c>
      <c r="F64" s="29">
        <f t="shared" si="6"/>
        <v>0</v>
      </c>
      <c r="H64" s="32">
        <f t="shared" si="28"/>
        <v>0</v>
      </c>
      <c r="I64" s="32">
        <f t="shared" si="28"/>
        <v>0</v>
      </c>
      <c r="J64" s="32">
        <f t="shared" si="28"/>
        <v>0</v>
      </c>
      <c r="K64" s="32">
        <f t="shared" si="28"/>
        <v>0</v>
      </c>
      <c r="L64" s="32">
        <f t="shared" si="28"/>
        <v>0</v>
      </c>
      <c r="M64" s="32">
        <f t="shared" si="28"/>
        <v>0</v>
      </c>
      <c r="N64" s="32">
        <f t="shared" si="28"/>
        <v>0</v>
      </c>
      <c r="O64" s="32">
        <f t="shared" si="28"/>
        <v>0</v>
      </c>
      <c r="P64" s="32">
        <f t="shared" si="28"/>
        <v>0</v>
      </c>
      <c r="Q64" s="32">
        <f t="shared" si="28"/>
        <v>0</v>
      </c>
      <c r="R64" s="32">
        <f t="shared" si="29"/>
        <v>0</v>
      </c>
      <c r="S64" s="32">
        <f t="shared" si="29"/>
        <v>0</v>
      </c>
      <c r="T64" s="32">
        <f t="shared" si="29"/>
        <v>0</v>
      </c>
      <c r="U64" s="32">
        <f t="shared" si="29"/>
        <v>0</v>
      </c>
      <c r="V64" s="32">
        <f t="shared" si="29"/>
        <v>0</v>
      </c>
      <c r="W64" s="32">
        <f t="shared" si="29"/>
        <v>0</v>
      </c>
      <c r="X64" s="32">
        <f t="shared" si="29"/>
        <v>0</v>
      </c>
      <c r="Y64" s="32">
        <f t="shared" si="29"/>
        <v>0</v>
      </c>
      <c r="Z64" s="32">
        <f t="shared" si="29"/>
        <v>0</v>
      </c>
      <c r="AA64" s="32">
        <f t="shared" si="29"/>
        <v>0</v>
      </c>
      <c r="AB64" s="32">
        <f t="shared" si="30"/>
        <v>0</v>
      </c>
      <c r="AC64" s="32">
        <f t="shared" si="30"/>
        <v>0</v>
      </c>
      <c r="AD64" s="32">
        <f t="shared" si="30"/>
        <v>0</v>
      </c>
      <c r="AE64" s="32">
        <f t="shared" si="30"/>
        <v>0</v>
      </c>
      <c r="AF64" s="32">
        <f t="shared" si="30"/>
        <v>0</v>
      </c>
      <c r="AG64" s="32">
        <f t="shared" si="30"/>
        <v>0</v>
      </c>
      <c r="AH64" s="32">
        <f t="shared" si="30"/>
        <v>0</v>
      </c>
      <c r="AI64" s="32">
        <f t="shared" si="30"/>
        <v>0</v>
      </c>
      <c r="AJ64" s="32">
        <f t="shared" si="30"/>
        <v>0</v>
      </c>
      <c r="AK64" s="32">
        <f t="shared" si="30"/>
        <v>0</v>
      </c>
      <c r="AL64" s="32">
        <f t="shared" si="31"/>
        <v>0</v>
      </c>
      <c r="AM64" s="32">
        <f t="shared" si="31"/>
        <v>0</v>
      </c>
      <c r="AN64" s="32">
        <f t="shared" si="31"/>
        <v>0</v>
      </c>
      <c r="AO64" s="32">
        <f t="shared" si="31"/>
        <v>0</v>
      </c>
      <c r="AP64" s="32">
        <f t="shared" si="31"/>
        <v>0</v>
      </c>
      <c r="AQ64" s="32">
        <f t="shared" si="31"/>
        <v>0</v>
      </c>
      <c r="AR64" s="32">
        <f t="shared" si="31"/>
        <v>0</v>
      </c>
      <c r="AS64" s="32">
        <f t="shared" si="31"/>
        <v>0</v>
      </c>
      <c r="AT64" s="32">
        <f t="shared" si="31"/>
        <v>0</v>
      </c>
      <c r="AU64" s="32">
        <f t="shared" si="31"/>
        <v>0</v>
      </c>
      <c r="AV64" s="32">
        <f t="shared" si="32"/>
        <v>0</v>
      </c>
      <c r="AW64" s="32">
        <f t="shared" si="32"/>
        <v>0</v>
      </c>
      <c r="AX64" s="32">
        <f t="shared" si="32"/>
        <v>0</v>
      </c>
      <c r="AY64" s="32">
        <f t="shared" si="32"/>
        <v>0</v>
      </c>
      <c r="AZ64" s="32">
        <f t="shared" si="32"/>
        <v>0</v>
      </c>
      <c r="BA64" s="32">
        <f t="shared" si="32"/>
        <v>0</v>
      </c>
      <c r="BB64" s="32">
        <f t="shared" si="32"/>
        <v>0</v>
      </c>
      <c r="BC64" s="32">
        <f t="shared" si="32"/>
        <v>0</v>
      </c>
      <c r="BD64" s="32">
        <f t="shared" si="32"/>
        <v>0</v>
      </c>
      <c r="BE64" s="32">
        <f t="shared" si="32"/>
        <v>0</v>
      </c>
      <c r="BF64" s="32">
        <f t="shared" si="32"/>
        <v>0</v>
      </c>
    </row>
    <row r="65" spans="3:58" x14ac:dyDescent="0.2">
      <c r="C65" s="8" t="str">
        <v>Spain</v>
      </c>
      <c r="D65" s="56" t="str">
        <v>Europe &amp; Central Asia</v>
      </c>
      <c r="E65" s="208">
        <f t="shared" si="22"/>
        <v>2603873.2776000001</v>
      </c>
      <c r="F65" s="29">
        <f t="shared" si="6"/>
        <v>58017609.676802114</v>
      </c>
      <c r="H65" s="32">
        <f t="shared" si="28"/>
        <v>2603873.2776000001</v>
      </c>
      <c r="I65" s="32">
        <f t="shared" si="28"/>
        <v>2552816.9388235295</v>
      </c>
      <c r="J65" s="32">
        <f t="shared" si="28"/>
        <v>2502761.7047289507</v>
      </c>
      <c r="K65" s="32">
        <f t="shared" si="28"/>
        <v>2453687.9458126966</v>
      </c>
      <c r="L65" s="32">
        <f t="shared" si="28"/>
        <v>2405576.4174634279</v>
      </c>
      <c r="M65" s="32">
        <f t="shared" si="28"/>
        <v>2358408.2524151257</v>
      </c>
      <c r="N65" s="32">
        <f t="shared" si="28"/>
        <v>2312164.9533481621</v>
      </c>
      <c r="O65" s="32">
        <f t="shared" si="28"/>
        <v>2266828.3856354537</v>
      </c>
      <c r="P65" s="32">
        <f t="shared" si="28"/>
        <v>2222380.7702308367</v>
      </c>
      <c r="Q65" s="32">
        <f t="shared" si="28"/>
        <v>2178804.6766968989</v>
      </c>
      <c r="R65" s="32">
        <f t="shared" si="29"/>
        <v>2136083.0163695086</v>
      </c>
      <c r="S65" s="32">
        <f t="shared" si="29"/>
        <v>2094199.0356563812</v>
      </c>
      <c r="T65" s="32">
        <f t="shared" si="29"/>
        <v>2053136.30946704</v>
      </c>
      <c r="U65" s="32">
        <f t="shared" si="29"/>
        <v>2012878.7347716079</v>
      </c>
      <c r="V65" s="32">
        <f t="shared" si="29"/>
        <v>1973410.5242858899</v>
      </c>
      <c r="W65" s="32">
        <f t="shared" si="29"/>
        <v>1934716.2002802847</v>
      </c>
      <c r="X65" s="32">
        <f t="shared" si="29"/>
        <v>1896780.5885100828</v>
      </c>
      <c r="Y65" s="32">
        <f t="shared" si="29"/>
        <v>1859588.812264787</v>
      </c>
      <c r="Z65" s="32">
        <f t="shared" si="29"/>
        <v>1823126.286534105</v>
      </c>
      <c r="AA65" s="32">
        <f t="shared" si="29"/>
        <v>1787378.7122883385</v>
      </c>
      <c r="AB65" s="32">
        <f t="shared" si="30"/>
        <v>1752332.0708709199</v>
      </c>
      <c r="AC65" s="32">
        <f t="shared" si="30"/>
        <v>1717972.6185009019</v>
      </c>
      <c r="AD65" s="32">
        <f t="shared" si="30"/>
        <v>1684286.8808832371</v>
      </c>
      <c r="AE65" s="32">
        <f t="shared" si="30"/>
        <v>1651261.6479247424</v>
      </c>
      <c r="AF65" s="32">
        <f t="shared" si="30"/>
        <v>1618883.9685536691</v>
      </c>
      <c r="AG65" s="32">
        <f t="shared" si="30"/>
        <v>1587141.1456408519</v>
      </c>
      <c r="AH65" s="32">
        <f t="shared" si="30"/>
        <v>1556020.7310204429</v>
      </c>
      <c r="AI65" s="32">
        <f t="shared" si="30"/>
        <v>1525510.5206082778</v>
      </c>
      <c r="AJ65" s="32">
        <f t="shared" si="30"/>
        <v>1495598.5496159582</v>
      </c>
      <c r="AK65" s="32">
        <f t="shared" si="30"/>
        <v>1466273.0878587828</v>
      </c>
      <c r="AL65" s="32">
        <f t="shared" si="31"/>
        <v>1437522.6351556692</v>
      </c>
      <c r="AM65" s="32">
        <f t="shared" si="31"/>
        <v>1409335.916819284</v>
      </c>
      <c r="AN65" s="32">
        <f t="shared" si="31"/>
        <v>1381701.8792345917</v>
      </c>
      <c r="AO65" s="32">
        <f t="shared" si="31"/>
        <v>1354609.6855241095</v>
      </c>
      <c r="AP65" s="32">
        <f t="shared" si="31"/>
        <v>1328048.7112981468</v>
      </c>
      <c r="AQ65" s="32">
        <f t="shared" si="31"/>
        <v>1302008.5404883791</v>
      </c>
      <c r="AR65" s="32">
        <f t="shared" si="31"/>
        <v>1276478.9612631169</v>
      </c>
      <c r="AS65" s="32">
        <f t="shared" si="31"/>
        <v>1251449.9620226636</v>
      </c>
      <c r="AT65" s="32">
        <f t="shared" si="31"/>
        <v>1226911.7274731994</v>
      </c>
      <c r="AU65" s="32">
        <f t="shared" si="31"/>
        <v>1202854.634777647</v>
      </c>
      <c r="AV65" s="32">
        <f t="shared" si="32"/>
        <v>1179269.2497820065</v>
      </c>
      <c r="AW65" s="32">
        <f t="shared" si="32"/>
        <v>0</v>
      </c>
      <c r="AX65" s="32">
        <f t="shared" si="32"/>
        <v>0</v>
      </c>
      <c r="AY65" s="32">
        <f t="shared" si="32"/>
        <v>0</v>
      </c>
      <c r="AZ65" s="32">
        <f t="shared" si="32"/>
        <v>0</v>
      </c>
      <c r="BA65" s="32">
        <f t="shared" si="32"/>
        <v>0</v>
      </c>
      <c r="BB65" s="32">
        <f t="shared" si="32"/>
        <v>0</v>
      </c>
      <c r="BC65" s="32">
        <f t="shared" si="32"/>
        <v>0</v>
      </c>
      <c r="BD65" s="32">
        <f t="shared" si="32"/>
        <v>0</v>
      </c>
      <c r="BE65" s="32">
        <f t="shared" si="32"/>
        <v>0</v>
      </c>
      <c r="BF65" s="32">
        <f t="shared" si="32"/>
        <v>0</v>
      </c>
    </row>
    <row r="66" spans="3:58" x14ac:dyDescent="0.2">
      <c r="C66" s="8" t="str">
        <v>Sri Lanka</v>
      </c>
      <c r="D66" s="56" t="str">
        <v>South Asia</v>
      </c>
      <c r="E66" s="208">
        <f t="shared" si="22"/>
        <v>0</v>
      </c>
      <c r="F66" s="29">
        <f t="shared" si="6"/>
        <v>0</v>
      </c>
      <c r="H66" s="32">
        <f t="shared" si="28"/>
        <v>0</v>
      </c>
      <c r="I66" s="32">
        <f t="shared" si="28"/>
        <v>0</v>
      </c>
      <c r="J66" s="32">
        <f t="shared" si="28"/>
        <v>0</v>
      </c>
      <c r="K66" s="32">
        <f t="shared" si="28"/>
        <v>0</v>
      </c>
      <c r="L66" s="32">
        <f t="shared" si="28"/>
        <v>0</v>
      </c>
      <c r="M66" s="32">
        <f t="shared" si="28"/>
        <v>0</v>
      </c>
      <c r="N66" s="32">
        <f t="shared" si="28"/>
        <v>0</v>
      </c>
      <c r="O66" s="32">
        <f t="shared" si="28"/>
        <v>0</v>
      </c>
      <c r="P66" s="32">
        <f t="shared" si="28"/>
        <v>0</v>
      </c>
      <c r="Q66" s="32">
        <f t="shared" si="28"/>
        <v>0</v>
      </c>
      <c r="R66" s="32">
        <f t="shared" si="29"/>
        <v>0</v>
      </c>
      <c r="S66" s="32">
        <f t="shared" si="29"/>
        <v>0</v>
      </c>
      <c r="T66" s="32">
        <f t="shared" si="29"/>
        <v>0</v>
      </c>
      <c r="U66" s="32">
        <f t="shared" si="29"/>
        <v>0</v>
      </c>
      <c r="V66" s="32">
        <f t="shared" si="29"/>
        <v>0</v>
      </c>
      <c r="W66" s="32">
        <f t="shared" si="29"/>
        <v>0</v>
      </c>
      <c r="X66" s="32">
        <f t="shared" si="29"/>
        <v>0</v>
      </c>
      <c r="Y66" s="32">
        <f t="shared" si="29"/>
        <v>0</v>
      </c>
      <c r="Z66" s="32">
        <f t="shared" si="29"/>
        <v>0</v>
      </c>
      <c r="AA66" s="32">
        <f t="shared" si="29"/>
        <v>0</v>
      </c>
      <c r="AB66" s="32">
        <f t="shared" si="30"/>
        <v>0</v>
      </c>
      <c r="AC66" s="32">
        <f t="shared" si="30"/>
        <v>0</v>
      </c>
      <c r="AD66" s="32">
        <f t="shared" si="30"/>
        <v>0</v>
      </c>
      <c r="AE66" s="32">
        <f t="shared" si="30"/>
        <v>0</v>
      </c>
      <c r="AF66" s="32">
        <f t="shared" si="30"/>
        <v>0</v>
      </c>
      <c r="AG66" s="32">
        <f t="shared" si="30"/>
        <v>0</v>
      </c>
      <c r="AH66" s="32">
        <f t="shared" si="30"/>
        <v>0</v>
      </c>
      <c r="AI66" s="32">
        <f t="shared" si="30"/>
        <v>0</v>
      </c>
      <c r="AJ66" s="32">
        <f t="shared" si="30"/>
        <v>0</v>
      </c>
      <c r="AK66" s="32">
        <f t="shared" si="30"/>
        <v>0</v>
      </c>
      <c r="AL66" s="32">
        <f t="shared" si="31"/>
        <v>0</v>
      </c>
      <c r="AM66" s="32">
        <f t="shared" si="31"/>
        <v>0</v>
      </c>
      <c r="AN66" s="32">
        <f t="shared" si="31"/>
        <v>0</v>
      </c>
      <c r="AO66" s="32">
        <f t="shared" si="31"/>
        <v>0</v>
      </c>
      <c r="AP66" s="32">
        <f t="shared" si="31"/>
        <v>0</v>
      </c>
      <c r="AQ66" s="32">
        <f t="shared" si="31"/>
        <v>0</v>
      </c>
      <c r="AR66" s="32">
        <f t="shared" si="31"/>
        <v>0</v>
      </c>
      <c r="AS66" s="32">
        <f t="shared" si="31"/>
        <v>0</v>
      </c>
      <c r="AT66" s="32">
        <f t="shared" si="31"/>
        <v>0</v>
      </c>
      <c r="AU66" s="32">
        <f t="shared" si="31"/>
        <v>0</v>
      </c>
      <c r="AV66" s="32">
        <f t="shared" si="32"/>
        <v>0</v>
      </c>
      <c r="AW66" s="32">
        <f t="shared" si="32"/>
        <v>0</v>
      </c>
      <c r="AX66" s="32">
        <f t="shared" si="32"/>
        <v>0</v>
      </c>
      <c r="AY66" s="32">
        <f t="shared" si="32"/>
        <v>0</v>
      </c>
      <c r="AZ66" s="32">
        <f t="shared" si="32"/>
        <v>0</v>
      </c>
      <c r="BA66" s="32">
        <f t="shared" si="32"/>
        <v>0</v>
      </c>
      <c r="BB66" s="32">
        <f t="shared" si="32"/>
        <v>0</v>
      </c>
      <c r="BC66" s="32">
        <f t="shared" si="32"/>
        <v>0</v>
      </c>
      <c r="BD66" s="32">
        <f t="shared" si="32"/>
        <v>0</v>
      </c>
      <c r="BE66" s="32">
        <f t="shared" si="32"/>
        <v>0</v>
      </c>
      <c r="BF66" s="32">
        <f t="shared" si="32"/>
        <v>0</v>
      </c>
    </row>
    <row r="67" spans="3:58" x14ac:dyDescent="0.2">
      <c r="C67" s="8" t="str">
        <v>Sweden</v>
      </c>
      <c r="D67" s="56" t="str">
        <v>Europe &amp; Central Asia</v>
      </c>
      <c r="E67" s="208">
        <f t="shared" si="22"/>
        <v>2364502.2719999999</v>
      </c>
      <c r="F67" s="29">
        <f t="shared" si="6"/>
        <v>52684119.107074849</v>
      </c>
      <c r="H67" s="32">
        <f t="shared" si="28"/>
        <v>2364502.2719999999</v>
      </c>
      <c r="I67" s="32">
        <f t="shared" si="28"/>
        <v>2318139.4823529408</v>
      </c>
      <c r="J67" s="32">
        <f t="shared" si="28"/>
        <v>2272685.7670126874</v>
      </c>
      <c r="K67" s="32">
        <f t="shared" si="28"/>
        <v>2228123.3009928307</v>
      </c>
      <c r="L67" s="32">
        <f t="shared" si="28"/>
        <v>2184434.6088165008</v>
      </c>
      <c r="M67" s="32">
        <f t="shared" si="28"/>
        <v>2141602.5576632358</v>
      </c>
      <c r="N67" s="32">
        <f t="shared" si="28"/>
        <v>2099610.3506502314</v>
      </c>
      <c r="O67" s="32">
        <f t="shared" si="28"/>
        <v>2058441.5202453251</v>
      </c>
      <c r="P67" s="32">
        <f t="shared" si="28"/>
        <v>2018079.9218091422</v>
      </c>
      <c r="Q67" s="32">
        <f t="shared" si="28"/>
        <v>1978509.7272638648</v>
      </c>
      <c r="R67" s="32">
        <f t="shared" si="29"/>
        <v>1939715.4188861419</v>
      </c>
      <c r="S67" s="32">
        <f t="shared" si="29"/>
        <v>1901681.7832217081</v>
      </c>
      <c r="T67" s="32">
        <f t="shared" si="29"/>
        <v>1864393.9051193213</v>
      </c>
      <c r="U67" s="32">
        <f t="shared" si="29"/>
        <v>1827837.1618816878</v>
      </c>
      <c r="V67" s="32">
        <f t="shared" si="29"/>
        <v>1791997.2175310662</v>
      </c>
      <c r="W67" s="32">
        <f t="shared" si="29"/>
        <v>1756860.0171873204</v>
      </c>
      <c r="X67" s="32">
        <f t="shared" si="29"/>
        <v>1722411.781556196</v>
      </c>
      <c r="Y67" s="32">
        <f t="shared" si="29"/>
        <v>1688639.0015256824</v>
      </c>
      <c r="Z67" s="32">
        <f t="shared" si="29"/>
        <v>1655528.4328683161</v>
      </c>
      <c r="AA67" s="32">
        <f t="shared" si="29"/>
        <v>1623067.0910473689</v>
      </c>
      <c r="AB67" s="32">
        <f t="shared" si="30"/>
        <v>1591242.2461248713</v>
      </c>
      <c r="AC67" s="32">
        <f t="shared" si="30"/>
        <v>1560041.4177694817</v>
      </c>
      <c r="AD67" s="32">
        <f t="shared" si="30"/>
        <v>1529452.3703622369</v>
      </c>
      <c r="AE67" s="32">
        <f t="shared" si="30"/>
        <v>1499463.1081982718</v>
      </c>
      <c r="AF67" s="32">
        <f t="shared" si="30"/>
        <v>1470061.8707826193</v>
      </c>
      <c r="AG67" s="32">
        <f t="shared" si="30"/>
        <v>1441237.1282182543</v>
      </c>
      <c r="AH67" s="32">
        <f t="shared" si="30"/>
        <v>1412977.5766845627</v>
      </c>
      <c r="AI67" s="32">
        <f t="shared" si="30"/>
        <v>1385272.1340044737</v>
      </c>
      <c r="AJ67" s="32">
        <f t="shared" si="30"/>
        <v>1358109.9352985031</v>
      </c>
      <c r="AK67" s="32">
        <f t="shared" si="30"/>
        <v>1331480.328724023</v>
      </c>
      <c r="AL67" s="32">
        <f t="shared" si="31"/>
        <v>1305372.8712980617</v>
      </c>
      <c r="AM67" s="32">
        <f t="shared" si="31"/>
        <v>1279777.3248020215</v>
      </c>
      <c r="AN67" s="32">
        <f t="shared" si="31"/>
        <v>1254683.6517666874</v>
      </c>
      <c r="AO67" s="32">
        <f t="shared" si="31"/>
        <v>1230082.0115359679</v>
      </c>
      <c r="AP67" s="32">
        <f t="shared" si="31"/>
        <v>1205962.756407812</v>
      </c>
      <c r="AQ67" s="32">
        <f t="shared" si="31"/>
        <v>1182316.4278507959</v>
      </c>
      <c r="AR67" s="32">
        <f t="shared" si="31"/>
        <v>1159133.7527948981</v>
      </c>
      <c r="AS67" s="32">
        <f t="shared" si="31"/>
        <v>1136405.639994998</v>
      </c>
      <c r="AT67" s="32">
        <f t="shared" si="31"/>
        <v>1114123.1764656843</v>
      </c>
      <c r="AU67" s="32">
        <f t="shared" si="31"/>
        <v>1092277.6239859653</v>
      </c>
      <c r="AV67" s="32">
        <f t="shared" si="32"/>
        <v>1070860.4156725148</v>
      </c>
      <c r="AW67" s="32">
        <f t="shared" si="32"/>
        <v>0</v>
      </c>
      <c r="AX67" s="32">
        <f t="shared" si="32"/>
        <v>0</v>
      </c>
      <c r="AY67" s="32">
        <f t="shared" si="32"/>
        <v>0</v>
      </c>
      <c r="AZ67" s="32">
        <f t="shared" si="32"/>
        <v>0</v>
      </c>
      <c r="BA67" s="32">
        <f t="shared" si="32"/>
        <v>0</v>
      </c>
      <c r="BB67" s="32">
        <f t="shared" si="32"/>
        <v>0</v>
      </c>
      <c r="BC67" s="32">
        <f t="shared" si="32"/>
        <v>0</v>
      </c>
      <c r="BD67" s="32">
        <f t="shared" si="32"/>
        <v>0</v>
      </c>
      <c r="BE67" s="32">
        <f t="shared" si="32"/>
        <v>0</v>
      </c>
      <c r="BF67" s="32">
        <f t="shared" si="32"/>
        <v>0</v>
      </c>
    </row>
    <row r="68" spans="3:58" x14ac:dyDescent="0.2">
      <c r="C68" s="8" t="str">
        <v>Thailand</v>
      </c>
      <c r="D68" s="56" t="str">
        <v>East Asia &amp; Pacific</v>
      </c>
      <c r="E68" s="208">
        <f t="shared" si="22"/>
        <v>107413.46400000001</v>
      </c>
      <c r="F68" s="29">
        <f t="shared" si="6"/>
        <v>2393308.646006451</v>
      </c>
      <c r="H68" s="32">
        <f t="shared" si="28"/>
        <v>107413.46400000001</v>
      </c>
      <c r="I68" s="32">
        <f t="shared" si="28"/>
        <v>105307.31764705882</v>
      </c>
      <c r="J68" s="32">
        <f t="shared" si="28"/>
        <v>103242.46828143022</v>
      </c>
      <c r="K68" s="32">
        <f t="shared" si="28"/>
        <v>101218.10615826493</v>
      </c>
      <c r="L68" s="32">
        <f t="shared" si="28"/>
        <v>99233.437410063663</v>
      </c>
      <c r="M68" s="32">
        <f t="shared" si="28"/>
        <v>97287.683735356521</v>
      </c>
      <c r="N68" s="32">
        <f t="shared" si="28"/>
        <v>95380.082093486781</v>
      </c>
      <c r="O68" s="32">
        <f t="shared" si="28"/>
        <v>93509.884405379213</v>
      </c>
      <c r="P68" s="32">
        <f t="shared" si="28"/>
        <v>91676.35726017569</v>
      </c>
      <c r="Q68" s="32">
        <f t="shared" si="28"/>
        <v>89878.781627623233</v>
      </c>
      <c r="R68" s="32">
        <f t="shared" si="29"/>
        <v>88116.452576101205</v>
      </c>
      <c r="S68" s="32">
        <f t="shared" si="29"/>
        <v>86388.678996177667</v>
      </c>
      <c r="T68" s="32">
        <f t="shared" si="29"/>
        <v>84694.783329585931</v>
      </c>
      <c r="U68" s="32">
        <f t="shared" si="29"/>
        <v>83034.101303515621</v>
      </c>
      <c r="V68" s="32">
        <f t="shared" si="29"/>
        <v>81405.981670113353</v>
      </c>
      <c r="W68" s="32">
        <f t="shared" si="29"/>
        <v>79809.785951091544</v>
      </c>
      <c r="X68" s="32">
        <f t="shared" si="29"/>
        <v>78244.888187344637</v>
      </c>
      <c r="Y68" s="32">
        <f t="shared" si="29"/>
        <v>76710.674693475128</v>
      </c>
      <c r="Z68" s="32">
        <f t="shared" si="29"/>
        <v>75206.543817132493</v>
      </c>
      <c r="AA68" s="32">
        <f t="shared" si="29"/>
        <v>73731.905703071068</v>
      </c>
      <c r="AB68" s="32">
        <f t="shared" si="30"/>
        <v>72286.182061834377</v>
      </c>
      <c r="AC68" s="32">
        <f t="shared" si="30"/>
        <v>70868.805942974883</v>
      </c>
      <c r="AD68" s="32">
        <f t="shared" si="30"/>
        <v>69479.221512720469</v>
      </c>
      <c r="AE68" s="32">
        <f t="shared" si="30"/>
        <v>68116.883836000474</v>
      </c>
      <c r="AF68" s="32">
        <f t="shared" si="30"/>
        <v>66781.25866274556</v>
      </c>
      <c r="AG68" s="32">
        <f t="shared" si="30"/>
        <v>65471.822218377994</v>
      </c>
      <c r="AH68" s="32">
        <f t="shared" si="30"/>
        <v>64188.06099840979</v>
      </c>
      <c r="AI68" s="32">
        <f t="shared" si="30"/>
        <v>62929.471567068438</v>
      </c>
      <c r="AJ68" s="32">
        <f t="shared" si="30"/>
        <v>61695.560359871</v>
      </c>
      <c r="AK68" s="32">
        <f t="shared" si="30"/>
        <v>60485.843490069623</v>
      </c>
      <c r="AL68" s="32">
        <f t="shared" si="31"/>
        <v>59299.846558891782</v>
      </c>
      <c r="AM68" s="32">
        <f t="shared" si="31"/>
        <v>58137.104469501755</v>
      </c>
      <c r="AN68" s="32">
        <f t="shared" si="31"/>
        <v>56997.161244609553</v>
      </c>
      <c r="AO68" s="32">
        <f t="shared" si="31"/>
        <v>55879.569847656421</v>
      </c>
      <c r="AP68" s="32">
        <f t="shared" si="31"/>
        <v>54783.8920075063</v>
      </c>
      <c r="AQ68" s="32">
        <f t="shared" si="31"/>
        <v>53709.698046574806</v>
      </c>
      <c r="AR68" s="32">
        <f t="shared" si="31"/>
        <v>52656.566712328247</v>
      </c>
      <c r="AS68" s="32">
        <f t="shared" si="31"/>
        <v>51624.085012086507</v>
      </c>
      <c r="AT68" s="32">
        <f t="shared" si="31"/>
        <v>50611.848051065201</v>
      </c>
      <c r="AU68" s="32">
        <f t="shared" si="31"/>
        <v>49619.45887359335</v>
      </c>
      <c r="AV68" s="32">
        <f t="shared" si="32"/>
        <v>48646.528307444445</v>
      </c>
      <c r="AW68" s="32">
        <f t="shared" si="32"/>
        <v>0</v>
      </c>
      <c r="AX68" s="32">
        <f t="shared" si="32"/>
        <v>0</v>
      </c>
      <c r="AY68" s="32">
        <f t="shared" si="32"/>
        <v>0</v>
      </c>
      <c r="AZ68" s="32">
        <f t="shared" si="32"/>
        <v>0</v>
      </c>
      <c r="BA68" s="32">
        <f t="shared" si="32"/>
        <v>0</v>
      </c>
      <c r="BB68" s="32">
        <f t="shared" si="32"/>
        <v>0</v>
      </c>
      <c r="BC68" s="32">
        <f t="shared" si="32"/>
        <v>0</v>
      </c>
      <c r="BD68" s="32">
        <f t="shared" si="32"/>
        <v>0</v>
      </c>
      <c r="BE68" s="32">
        <f t="shared" si="32"/>
        <v>0</v>
      </c>
      <c r="BF68" s="32">
        <f t="shared" si="32"/>
        <v>0</v>
      </c>
    </row>
    <row r="69" spans="3:58" x14ac:dyDescent="0.2">
      <c r="C69" s="8" t="str">
        <v>Ukraine</v>
      </c>
      <c r="D69" s="56" t="str">
        <v>Europe &amp; Central Asia</v>
      </c>
      <c r="E69" s="208">
        <f t="shared" si="22"/>
        <v>416107.28249999997</v>
      </c>
      <c r="F69" s="29">
        <f t="shared" si="6"/>
        <v>9271399.690391684</v>
      </c>
      <c r="H69" s="32">
        <f t="shared" si="28"/>
        <v>416107.28249999997</v>
      </c>
      <c r="I69" s="32">
        <f t="shared" si="28"/>
        <v>407948.31617647054</v>
      </c>
      <c r="J69" s="32">
        <f t="shared" si="28"/>
        <v>399949.32958477509</v>
      </c>
      <c r="K69" s="32">
        <f t="shared" si="28"/>
        <v>392107.18586742657</v>
      </c>
      <c r="L69" s="32">
        <f t="shared" si="28"/>
        <v>384418.80967394757</v>
      </c>
      <c r="M69" s="32">
        <f t="shared" si="28"/>
        <v>376881.18595485057</v>
      </c>
      <c r="N69" s="32">
        <f t="shared" si="28"/>
        <v>369491.35877926525</v>
      </c>
      <c r="O69" s="32">
        <f t="shared" si="28"/>
        <v>362246.43017575034</v>
      </c>
      <c r="P69" s="32">
        <f t="shared" si="28"/>
        <v>355143.55899583362</v>
      </c>
      <c r="Q69" s="32">
        <f t="shared" si="28"/>
        <v>348179.95979983686</v>
      </c>
      <c r="R69" s="32">
        <f t="shared" si="29"/>
        <v>341352.90176454594</v>
      </c>
      <c r="S69" s="32">
        <f t="shared" si="29"/>
        <v>334659.7076123</v>
      </c>
      <c r="T69" s="32">
        <f t="shared" si="29"/>
        <v>328097.75256107835</v>
      </c>
      <c r="U69" s="32">
        <f t="shared" si="29"/>
        <v>321664.46329517488</v>
      </c>
      <c r="V69" s="32">
        <f t="shared" si="29"/>
        <v>315357.31695605378</v>
      </c>
      <c r="W69" s="32">
        <f t="shared" si="29"/>
        <v>309173.84015299397</v>
      </c>
      <c r="X69" s="32">
        <f t="shared" si="29"/>
        <v>303111.60799313133</v>
      </c>
      <c r="Y69" s="32">
        <f t="shared" si="29"/>
        <v>297168.24313052086</v>
      </c>
      <c r="Z69" s="32">
        <f t="shared" si="29"/>
        <v>291341.41483384406</v>
      </c>
      <c r="AA69" s="32">
        <f t="shared" si="29"/>
        <v>285628.83807239612</v>
      </c>
      <c r="AB69" s="32">
        <f t="shared" si="30"/>
        <v>280028.27261999616</v>
      </c>
      <c r="AC69" s="32">
        <f t="shared" si="30"/>
        <v>274537.52217646682</v>
      </c>
      <c r="AD69" s="32">
        <f t="shared" si="30"/>
        <v>269154.43350634002</v>
      </c>
      <c r="AE69" s="32">
        <f t="shared" si="30"/>
        <v>263876.89559445105</v>
      </c>
      <c r="AF69" s="32">
        <f t="shared" si="30"/>
        <v>258702.83881808925</v>
      </c>
      <c r="AG69" s="32">
        <f t="shared" si="30"/>
        <v>253630.23413538162</v>
      </c>
      <c r="AH69" s="32">
        <f t="shared" si="30"/>
        <v>248657.09228958981</v>
      </c>
      <c r="AI69" s="32">
        <f t="shared" si="30"/>
        <v>243781.46302900967</v>
      </c>
      <c r="AJ69" s="32">
        <f t="shared" si="30"/>
        <v>239001.43434216629</v>
      </c>
      <c r="AK69" s="32">
        <f t="shared" si="30"/>
        <v>234315.1317080062</v>
      </c>
      <c r="AL69" s="32">
        <f t="shared" si="31"/>
        <v>229720.71736079038</v>
      </c>
      <c r="AM69" s="32">
        <f t="shared" si="31"/>
        <v>225216.38956940238</v>
      </c>
      <c r="AN69" s="32">
        <f t="shared" si="31"/>
        <v>220800.38193078659</v>
      </c>
      <c r="AO69" s="32">
        <f t="shared" si="31"/>
        <v>216470.96267724174</v>
      </c>
      <c r="AP69" s="32">
        <f t="shared" si="31"/>
        <v>212226.43399729586</v>
      </c>
      <c r="AQ69" s="32">
        <f t="shared" si="31"/>
        <v>208065.13136989789</v>
      </c>
      <c r="AR69" s="32">
        <f t="shared" si="31"/>
        <v>203985.42291166462</v>
      </c>
      <c r="AS69" s="32">
        <f t="shared" si="31"/>
        <v>199985.70873692606</v>
      </c>
      <c r="AT69" s="32">
        <f t="shared" si="31"/>
        <v>196064.42033031964</v>
      </c>
      <c r="AU69" s="32">
        <f t="shared" si="31"/>
        <v>192220.01993168599</v>
      </c>
      <c r="AV69" s="32">
        <f t="shared" si="32"/>
        <v>188450.99993302545</v>
      </c>
      <c r="AW69" s="32">
        <f t="shared" si="32"/>
        <v>0</v>
      </c>
      <c r="AX69" s="32">
        <f t="shared" si="32"/>
        <v>0</v>
      </c>
      <c r="AY69" s="32">
        <f t="shared" si="32"/>
        <v>0</v>
      </c>
      <c r="AZ69" s="32">
        <f t="shared" si="32"/>
        <v>0</v>
      </c>
      <c r="BA69" s="32">
        <f t="shared" si="32"/>
        <v>0</v>
      </c>
      <c r="BB69" s="32">
        <f t="shared" si="32"/>
        <v>0</v>
      </c>
      <c r="BC69" s="32">
        <f t="shared" si="32"/>
        <v>0</v>
      </c>
      <c r="BD69" s="32">
        <f t="shared" si="32"/>
        <v>0</v>
      </c>
      <c r="BE69" s="32">
        <f t="shared" si="32"/>
        <v>0</v>
      </c>
      <c r="BF69" s="32">
        <f t="shared" si="32"/>
        <v>0</v>
      </c>
    </row>
    <row r="70" spans="3:58" x14ac:dyDescent="0.2">
      <c r="C70" s="8" t="str">
        <v>United Kingdom</v>
      </c>
      <c r="D70" s="56" t="str">
        <v>Europe &amp; Central Asia</v>
      </c>
      <c r="E70" s="208">
        <f t="shared" si="22"/>
        <v>9655983.7319999989</v>
      </c>
      <c r="F70" s="29">
        <f t="shared" si="6"/>
        <v>215147603.39070004</v>
      </c>
      <c r="H70" s="32">
        <f t="shared" si="28"/>
        <v>9655983.7319999989</v>
      </c>
      <c r="I70" s="32">
        <f t="shared" si="28"/>
        <v>9466650.717647057</v>
      </c>
      <c r="J70" s="32">
        <f t="shared" si="28"/>
        <v>9281030.1153402533</v>
      </c>
      <c r="K70" s="32">
        <f t="shared" si="28"/>
        <v>9099049.1326865237</v>
      </c>
      <c r="L70" s="32">
        <f t="shared" si="28"/>
        <v>8920636.40459463</v>
      </c>
      <c r="M70" s="32">
        <f t="shared" si="28"/>
        <v>8745721.9652888533</v>
      </c>
      <c r="N70" s="32">
        <f t="shared" si="28"/>
        <v>8574237.2208714243</v>
      </c>
      <c r="O70" s="32">
        <f t="shared" si="28"/>
        <v>8406114.922422966</v>
      </c>
      <c r="P70" s="32">
        <f t="shared" si="28"/>
        <v>8241289.1396303587</v>
      </c>
      <c r="Q70" s="32">
        <f t="shared" si="28"/>
        <v>8079695.2349317241</v>
      </c>
      <c r="R70" s="32">
        <f t="shared" si="29"/>
        <v>7921269.8381683566</v>
      </c>
      <c r="S70" s="32">
        <f t="shared" si="29"/>
        <v>7765950.8217336843</v>
      </c>
      <c r="T70" s="32">
        <f t="shared" si="29"/>
        <v>7613677.2762094932</v>
      </c>
      <c r="U70" s="32">
        <f t="shared" si="29"/>
        <v>7464389.4864798952</v>
      </c>
      <c r="V70" s="32">
        <f t="shared" si="29"/>
        <v>7318028.9083136227</v>
      </c>
      <c r="W70" s="32">
        <f t="shared" si="29"/>
        <v>7174538.1454055142</v>
      </c>
      <c r="X70" s="32">
        <f t="shared" si="29"/>
        <v>7033860.92686815</v>
      </c>
      <c r="Y70" s="32">
        <f t="shared" si="29"/>
        <v>6895942.0851648524</v>
      </c>
      <c r="Z70" s="32">
        <f t="shared" si="29"/>
        <v>6760727.5344753461</v>
      </c>
      <c r="AA70" s="32">
        <f t="shared" si="29"/>
        <v>6628164.2494856333</v>
      </c>
      <c r="AB70" s="32">
        <f t="shared" si="30"/>
        <v>6498200.2445937581</v>
      </c>
      <c r="AC70" s="32">
        <f t="shared" si="30"/>
        <v>6370784.5535232928</v>
      </c>
      <c r="AD70" s="32">
        <f t="shared" si="30"/>
        <v>6245867.2093365612</v>
      </c>
      <c r="AE70" s="32">
        <f t="shared" si="30"/>
        <v>6123399.2248397665</v>
      </c>
      <c r="AF70" s="32">
        <f t="shared" si="30"/>
        <v>6003332.5733723203</v>
      </c>
      <c r="AG70" s="32">
        <f t="shared" si="30"/>
        <v>5885620.169972863</v>
      </c>
      <c r="AH70" s="32">
        <f t="shared" si="30"/>
        <v>5770215.8529145708</v>
      </c>
      <c r="AI70" s="32">
        <f t="shared" si="30"/>
        <v>5657074.3656025212</v>
      </c>
      <c r="AJ70" s="32">
        <f t="shared" si="30"/>
        <v>5546151.3388259998</v>
      </c>
      <c r="AK70" s="32">
        <f t="shared" si="30"/>
        <v>5437403.2733588247</v>
      </c>
      <c r="AL70" s="32">
        <f t="shared" si="31"/>
        <v>5330787.5229008077</v>
      </c>
      <c r="AM70" s="32">
        <f t="shared" si="31"/>
        <v>5226262.2773537347</v>
      </c>
      <c r="AN70" s="32">
        <f t="shared" si="31"/>
        <v>5123786.5464252289</v>
      </c>
      <c r="AO70" s="32">
        <f t="shared" si="31"/>
        <v>5023320.1435541455</v>
      </c>
      <c r="AP70" s="32">
        <f t="shared" si="31"/>
        <v>4924823.6701511238</v>
      </c>
      <c r="AQ70" s="32">
        <f t="shared" si="31"/>
        <v>4828258.5001481604</v>
      </c>
      <c r="AR70" s="32">
        <f t="shared" si="31"/>
        <v>4733586.764851138</v>
      </c>
      <c r="AS70" s="32">
        <f t="shared" si="31"/>
        <v>4640771.3380893506</v>
      </c>
      <c r="AT70" s="32">
        <f t="shared" si="31"/>
        <v>4549775.8216562252</v>
      </c>
      <c r="AU70" s="32">
        <f t="shared" si="31"/>
        <v>4460564.5310355164</v>
      </c>
      <c r="AV70" s="32">
        <f t="shared" si="32"/>
        <v>4373102.4814073686</v>
      </c>
      <c r="AW70" s="32">
        <f t="shared" si="32"/>
        <v>0</v>
      </c>
      <c r="AX70" s="32">
        <f t="shared" si="32"/>
        <v>0</v>
      </c>
      <c r="AY70" s="32">
        <f t="shared" si="32"/>
        <v>0</v>
      </c>
      <c r="AZ70" s="32">
        <f t="shared" si="32"/>
        <v>0</v>
      </c>
      <c r="BA70" s="32">
        <f t="shared" si="32"/>
        <v>0</v>
      </c>
      <c r="BB70" s="32">
        <f t="shared" si="32"/>
        <v>0</v>
      </c>
      <c r="BC70" s="32">
        <f t="shared" si="32"/>
        <v>0</v>
      </c>
      <c r="BD70" s="32">
        <f t="shared" si="32"/>
        <v>0</v>
      </c>
      <c r="BE70" s="32">
        <f t="shared" si="32"/>
        <v>0</v>
      </c>
      <c r="BF70" s="32">
        <f t="shared" si="32"/>
        <v>0</v>
      </c>
    </row>
    <row r="71" spans="3:58" x14ac:dyDescent="0.2">
      <c r="C71" s="8" t="str">
        <v>United States</v>
      </c>
      <c r="D71" s="56" t="str">
        <v>North America</v>
      </c>
      <c r="E71" s="208">
        <f t="shared" si="22"/>
        <v>33948739.583999999</v>
      </c>
      <c r="F71" s="29">
        <f t="shared" si="6"/>
        <v>756421112.78906918</v>
      </c>
      <c r="H71" s="32">
        <f t="shared" si="28"/>
        <v>33948739.583999999</v>
      </c>
      <c r="I71" s="32">
        <f t="shared" si="28"/>
        <v>33283078.02352941</v>
      </c>
      <c r="J71" s="32">
        <f t="shared" si="28"/>
        <v>32630468.650519032</v>
      </c>
      <c r="K71" s="32">
        <f t="shared" si="28"/>
        <v>31990655.53972454</v>
      </c>
      <c r="L71" s="32">
        <f t="shared" si="28"/>
        <v>31363387.784043666</v>
      </c>
      <c r="M71" s="32">
        <f t="shared" si="28"/>
        <v>30748419.396121241</v>
      </c>
      <c r="N71" s="32">
        <f t="shared" si="28"/>
        <v>30145509.211883567</v>
      </c>
      <c r="O71" s="32">
        <f t="shared" si="28"/>
        <v>29554420.795964289</v>
      </c>
      <c r="P71" s="32">
        <f t="shared" si="28"/>
        <v>28974922.348984595</v>
      </c>
      <c r="Q71" s="32">
        <f t="shared" si="28"/>
        <v>28406786.616651561</v>
      </c>
      <c r="R71" s="32">
        <f t="shared" si="29"/>
        <v>27849790.800638787</v>
      </c>
      <c r="S71" s="32">
        <f t="shared" si="29"/>
        <v>27303716.471214499</v>
      </c>
      <c r="T71" s="32">
        <f t="shared" si="29"/>
        <v>26768349.481582839</v>
      </c>
      <c r="U71" s="32">
        <f t="shared" si="29"/>
        <v>26243479.883904748</v>
      </c>
      <c r="V71" s="32">
        <f t="shared" si="29"/>
        <v>25728901.846965436</v>
      </c>
      <c r="W71" s="32">
        <f t="shared" si="29"/>
        <v>25224413.575456318</v>
      </c>
      <c r="X71" s="32">
        <f t="shared" si="29"/>
        <v>24729817.230839521</v>
      </c>
      <c r="Y71" s="32">
        <f t="shared" si="29"/>
        <v>24244918.853764236</v>
      </c>
      <c r="Z71" s="32">
        <f t="shared" si="29"/>
        <v>23769528.288004152</v>
      </c>
      <c r="AA71" s="32">
        <f t="shared" si="29"/>
        <v>23303459.105886426</v>
      </c>
      <c r="AB71" s="32">
        <f t="shared" si="30"/>
        <v>22846528.53518277</v>
      </c>
      <c r="AC71" s="32">
        <f t="shared" si="30"/>
        <v>22398557.387434088</v>
      </c>
      <c r="AD71" s="32">
        <f t="shared" si="30"/>
        <v>21959369.987680476</v>
      </c>
      <c r="AE71" s="32">
        <f t="shared" si="30"/>
        <v>21528794.105569098</v>
      </c>
      <c r="AF71" s="32">
        <f t="shared" si="30"/>
        <v>21106660.887812842</v>
      </c>
      <c r="AG71" s="32">
        <f t="shared" si="30"/>
        <v>20692804.791973375</v>
      </c>
      <c r="AH71" s="32">
        <f t="shared" si="30"/>
        <v>20287063.521542523</v>
      </c>
      <c r="AI71" s="32">
        <f t="shared" si="30"/>
        <v>19889277.962296594</v>
      </c>
      <c r="AJ71" s="32">
        <f t="shared" si="30"/>
        <v>19499292.119898617</v>
      </c>
      <c r="AK71" s="32">
        <f t="shared" si="30"/>
        <v>19116953.058724139</v>
      </c>
      <c r="AL71" s="32">
        <f t="shared" si="31"/>
        <v>18742110.841886409</v>
      </c>
      <c r="AM71" s="32">
        <f t="shared" si="31"/>
        <v>18374618.472437657</v>
      </c>
      <c r="AN71" s="32">
        <f t="shared" si="31"/>
        <v>18014331.835723191</v>
      </c>
      <c r="AO71" s="32">
        <f t="shared" si="31"/>
        <v>17661109.642865874</v>
      </c>
      <c r="AP71" s="32">
        <f t="shared" si="31"/>
        <v>17314813.375358701</v>
      </c>
      <c r="AQ71" s="32">
        <f t="shared" si="31"/>
        <v>16975307.230743825</v>
      </c>
      <c r="AR71" s="32">
        <f t="shared" si="31"/>
        <v>16642458.069356691</v>
      </c>
      <c r="AS71" s="32">
        <f t="shared" si="31"/>
        <v>16316135.362114402</v>
      </c>
      <c r="AT71" s="32">
        <f t="shared" si="31"/>
        <v>15996211.139327843</v>
      </c>
      <c r="AU71" s="32">
        <f t="shared" si="31"/>
        <v>15682559.940517498</v>
      </c>
      <c r="AV71" s="32">
        <f t="shared" si="32"/>
        <v>15375058.765213231</v>
      </c>
      <c r="AW71" s="32">
        <f t="shared" si="32"/>
        <v>0</v>
      </c>
      <c r="AX71" s="32">
        <f t="shared" si="32"/>
        <v>0</v>
      </c>
      <c r="AY71" s="32">
        <f t="shared" si="32"/>
        <v>0</v>
      </c>
      <c r="AZ71" s="32">
        <f t="shared" si="32"/>
        <v>0</v>
      </c>
      <c r="BA71" s="32">
        <f t="shared" si="32"/>
        <v>0</v>
      </c>
      <c r="BB71" s="32">
        <f t="shared" si="32"/>
        <v>0</v>
      </c>
      <c r="BC71" s="32">
        <f t="shared" si="32"/>
        <v>0</v>
      </c>
      <c r="BD71" s="32">
        <f t="shared" si="32"/>
        <v>0</v>
      </c>
      <c r="BE71" s="32">
        <f t="shared" si="32"/>
        <v>0</v>
      </c>
      <c r="BF71" s="32">
        <f t="shared" si="32"/>
        <v>0</v>
      </c>
    </row>
    <row r="72" spans="3:58" x14ac:dyDescent="0.2">
      <c r="C72" s="8" t="str">
        <v>Uruguay</v>
      </c>
      <c r="D72" s="56" t="str">
        <v>Latin America &amp; Caribbean</v>
      </c>
      <c r="E72" s="208">
        <f t="shared" si="22"/>
        <v>138615.34599</v>
      </c>
      <c r="F72" s="29">
        <f t="shared" si="6"/>
        <v>3088526.2766224784</v>
      </c>
      <c r="H72" s="32">
        <f t="shared" si="28"/>
        <v>138615.34599</v>
      </c>
      <c r="I72" s="32">
        <f t="shared" si="28"/>
        <v>135897.39802941176</v>
      </c>
      <c r="J72" s="32">
        <f t="shared" si="28"/>
        <v>133232.74316608996</v>
      </c>
      <c r="K72" s="32">
        <f t="shared" si="28"/>
        <v>130620.33643734311</v>
      </c>
      <c r="L72" s="32">
        <f t="shared" si="28"/>
        <v>128059.15336994422</v>
      </c>
      <c r="M72" s="32">
        <f t="shared" si="28"/>
        <v>125548.18957837668</v>
      </c>
      <c r="N72" s="32">
        <f t="shared" si="28"/>
        <v>123086.46037095753</v>
      </c>
      <c r="O72" s="32">
        <f t="shared" si="28"/>
        <v>120673.00036368388</v>
      </c>
      <c r="P72" s="32">
        <f t="shared" si="28"/>
        <v>118306.86310165084</v>
      </c>
      <c r="Q72" s="32">
        <f t="shared" si="28"/>
        <v>115987.120687893</v>
      </c>
      <c r="R72" s="32">
        <f t="shared" si="29"/>
        <v>113712.86341950293</v>
      </c>
      <c r="S72" s="32">
        <f t="shared" si="29"/>
        <v>111483.19943088524</v>
      </c>
      <c r="T72" s="32">
        <f t="shared" si="29"/>
        <v>109297.25434400512</v>
      </c>
      <c r="U72" s="32">
        <f t="shared" si="29"/>
        <v>107154.17092549523</v>
      </c>
      <c r="V72" s="32">
        <f t="shared" si="29"/>
        <v>105053.10875048551</v>
      </c>
      <c r="W72" s="32">
        <f t="shared" si="29"/>
        <v>102993.24387302503</v>
      </c>
      <c r="X72" s="32">
        <f t="shared" si="29"/>
        <v>100973.7685029657</v>
      </c>
      <c r="Y72" s="32">
        <f t="shared" si="29"/>
        <v>98993.890689182052</v>
      </c>
      <c r="Z72" s="32">
        <f t="shared" si="29"/>
        <v>97052.834009002021</v>
      </c>
      <c r="AA72" s="32">
        <f t="shared" si="29"/>
        <v>95149.837263727473</v>
      </c>
      <c r="AB72" s="32">
        <f t="shared" si="30"/>
        <v>93284.15418012497</v>
      </c>
      <c r="AC72" s="32">
        <f t="shared" si="30"/>
        <v>91455.053117769581</v>
      </c>
      <c r="AD72" s="32">
        <f t="shared" si="30"/>
        <v>89661.816782127033</v>
      </c>
      <c r="AE72" s="32">
        <f t="shared" si="30"/>
        <v>87903.741943261819</v>
      </c>
      <c r="AF72" s="32">
        <f t="shared" si="30"/>
        <v>86180.1391600606</v>
      </c>
      <c r="AG72" s="32">
        <f t="shared" si="30"/>
        <v>84490.332509863336</v>
      </c>
      <c r="AH72" s="32">
        <f t="shared" si="30"/>
        <v>82833.659323395419</v>
      </c>
      <c r="AI72" s="32">
        <f t="shared" si="30"/>
        <v>81209.469924897479</v>
      </c>
      <c r="AJ72" s="32">
        <f t="shared" si="30"/>
        <v>79617.127377350451</v>
      </c>
      <c r="AK72" s="32">
        <f t="shared" si="30"/>
        <v>78056.007232696531</v>
      </c>
      <c r="AL72" s="32">
        <f t="shared" si="31"/>
        <v>76525.497286957383</v>
      </c>
      <c r="AM72" s="32">
        <f t="shared" si="31"/>
        <v>75024.99734015431</v>
      </c>
      <c r="AN72" s="32">
        <f t="shared" si="31"/>
        <v>73553.918960935582</v>
      </c>
      <c r="AO72" s="32">
        <f t="shared" si="31"/>
        <v>72111.685255819204</v>
      </c>
      <c r="AP72" s="32">
        <f t="shared" si="31"/>
        <v>70697.730642959999</v>
      </c>
      <c r="AQ72" s="32">
        <f t="shared" si="31"/>
        <v>69311.500630352952</v>
      </c>
      <c r="AR72" s="32">
        <f t="shared" si="31"/>
        <v>67952.451598385247</v>
      </c>
      <c r="AS72" s="32">
        <f t="shared" si="31"/>
        <v>66620.050586652185</v>
      </c>
      <c r="AT72" s="32">
        <f t="shared" si="31"/>
        <v>65313.775084953122</v>
      </c>
      <c r="AU72" s="32">
        <f t="shared" si="31"/>
        <v>64033.112828385441</v>
      </c>
      <c r="AV72" s="32">
        <f t="shared" si="32"/>
        <v>62777.561596456297</v>
      </c>
      <c r="AW72" s="32">
        <f t="shared" si="32"/>
        <v>0</v>
      </c>
      <c r="AX72" s="32">
        <f t="shared" si="32"/>
        <v>0</v>
      </c>
      <c r="AY72" s="32">
        <f t="shared" si="32"/>
        <v>0</v>
      </c>
      <c r="AZ72" s="32">
        <f t="shared" si="32"/>
        <v>0</v>
      </c>
      <c r="BA72" s="32">
        <f t="shared" si="32"/>
        <v>0</v>
      </c>
      <c r="BB72" s="32">
        <f t="shared" si="32"/>
        <v>0</v>
      </c>
      <c r="BC72" s="32">
        <f t="shared" si="32"/>
        <v>0</v>
      </c>
      <c r="BD72" s="32">
        <f t="shared" si="32"/>
        <v>0</v>
      </c>
      <c r="BE72" s="32">
        <f t="shared" si="32"/>
        <v>0</v>
      </c>
      <c r="BF72" s="32">
        <f t="shared" si="32"/>
        <v>0</v>
      </c>
    </row>
    <row r="73" spans="3:58" x14ac:dyDescent="0.2">
      <c r="C73" s="8" t="str">
        <v>Venezuela, RB</v>
      </c>
      <c r="D73" s="56" t="str">
        <v>Latin America &amp; Caribbean</v>
      </c>
      <c r="E73" s="208">
        <f t="shared" si="22"/>
        <v>488954.65700000006</v>
      </c>
      <c r="F73" s="29">
        <f t="shared" si="6"/>
        <v>10894531.881992174</v>
      </c>
      <c r="H73" s="32">
        <f t="shared" si="28"/>
        <v>488954.65700000006</v>
      </c>
      <c r="I73" s="32">
        <f t="shared" si="28"/>
        <v>479367.31078431377</v>
      </c>
      <c r="J73" s="32">
        <f t="shared" si="28"/>
        <v>469967.95174932724</v>
      </c>
      <c r="K73" s="32">
        <f t="shared" si="28"/>
        <v>460752.89387188951</v>
      </c>
      <c r="L73" s="32">
        <f t="shared" si="28"/>
        <v>451718.52340381319</v>
      </c>
      <c r="M73" s="32">
        <f t="shared" si="28"/>
        <v>442861.29745471879</v>
      </c>
      <c r="N73" s="32">
        <f t="shared" si="28"/>
        <v>434177.7426026655</v>
      </c>
      <c r="O73" s="32">
        <f t="shared" si="28"/>
        <v>425664.45353202504</v>
      </c>
      <c r="P73" s="32">
        <f t="shared" si="28"/>
        <v>417318.09169806377</v>
      </c>
      <c r="Q73" s="32">
        <f t="shared" si="28"/>
        <v>409135.38401770958</v>
      </c>
      <c r="R73" s="32">
        <f t="shared" si="29"/>
        <v>401113.12158598978</v>
      </c>
      <c r="S73" s="32">
        <f t="shared" si="29"/>
        <v>393248.15841763711</v>
      </c>
      <c r="T73" s="32">
        <f t="shared" si="29"/>
        <v>385537.41021336964</v>
      </c>
      <c r="U73" s="32">
        <f t="shared" si="29"/>
        <v>377977.85315036238</v>
      </c>
      <c r="V73" s="32">
        <f t="shared" si="29"/>
        <v>370566.52269643371</v>
      </c>
      <c r="W73" s="32">
        <f t="shared" si="29"/>
        <v>363300.51244748413</v>
      </c>
      <c r="X73" s="32">
        <f t="shared" si="29"/>
        <v>356176.97298772947</v>
      </c>
      <c r="Y73" s="32">
        <f t="shared" si="29"/>
        <v>349193.11077228375</v>
      </c>
      <c r="Z73" s="32">
        <f t="shared" si="29"/>
        <v>342346.1870316508</v>
      </c>
      <c r="AA73" s="32">
        <f t="shared" si="29"/>
        <v>335633.51669769688</v>
      </c>
      <c r="AB73" s="32">
        <f t="shared" si="30"/>
        <v>329052.46735068318</v>
      </c>
      <c r="AC73" s="32">
        <f t="shared" si="30"/>
        <v>322600.45818694431</v>
      </c>
      <c r="AD73" s="32">
        <f t="shared" si="30"/>
        <v>316274.95900680812</v>
      </c>
      <c r="AE73" s="32">
        <f t="shared" si="30"/>
        <v>310073.48922236095</v>
      </c>
      <c r="AF73" s="32">
        <f t="shared" si="30"/>
        <v>303993.6168846676</v>
      </c>
      <c r="AG73" s="32">
        <f t="shared" si="30"/>
        <v>298032.95773006626</v>
      </c>
      <c r="AH73" s="32">
        <f t="shared" si="30"/>
        <v>292189.17424516298</v>
      </c>
      <c r="AI73" s="32">
        <f t="shared" si="30"/>
        <v>286459.97475015983</v>
      </c>
      <c r="AJ73" s="32">
        <f t="shared" si="30"/>
        <v>280843.11250015663</v>
      </c>
      <c r="AK73" s="32">
        <f t="shared" si="30"/>
        <v>275336.38480407518</v>
      </c>
      <c r="AL73" s="32">
        <f t="shared" si="31"/>
        <v>269937.63216085802</v>
      </c>
      <c r="AM73" s="32">
        <f t="shared" si="31"/>
        <v>264644.73741260596</v>
      </c>
      <c r="AN73" s="32">
        <f t="shared" si="31"/>
        <v>259455.62491431949</v>
      </c>
      <c r="AO73" s="32">
        <f t="shared" si="31"/>
        <v>254368.25971992104</v>
      </c>
      <c r="AP73" s="32">
        <f t="shared" si="31"/>
        <v>249380.64678423633</v>
      </c>
      <c r="AQ73" s="32">
        <f t="shared" si="31"/>
        <v>244490.83018062389</v>
      </c>
      <c r="AR73" s="32">
        <f t="shared" si="31"/>
        <v>239696.892333945</v>
      </c>
      <c r="AS73" s="32">
        <f t="shared" si="31"/>
        <v>234996.95326857347</v>
      </c>
      <c r="AT73" s="32">
        <f t="shared" si="31"/>
        <v>230389.16987115046</v>
      </c>
      <c r="AU73" s="32">
        <f t="shared" si="31"/>
        <v>225871.73516779466</v>
      </c>
      <c r="AV73" s="32">
        <f t="shared" si="32"/>
        <v>221442.8776154849</v>
      </c>
      <c r="AW73" s="32">
        <f t="shared" si="32"/>
        <v>0</v>
      </c>
      <c r="AX73" s="32">
        <f t="shared" si="32"/>
        <v>0</v>
      </c>
      <c r="AY73" s="32">
        <f t="shared" si="32"/>
        <v>0</v>
      </c>
      <c r="AZ73" s="32">
        <f t="shared" si="32"/>
        <v>0</v>
      </c>
      <c r="BA73" s="32">
        <f t="shared" si="32"/>
        <v>0</v>
      </c>
      <c r="BB73" s="32">
        <f t="shared" si="32"/>
        <v>0</v>
      </c>
      <c r="BC73" s="32">
        <f t="shared" si="32"/>
        <v>0</v>
      </c>
      <c r="BD73" s="32">
        <f t="shared" si="32"/>
        <v>0</v>
      </c>
      <c r="BE73" s="32">
        <f t="shared" si="32"/>
        <v>0</v>
      </c>
      <c r="BF73" s="32">
        <f t="shared" si="32"/>
        <v>0</v>
      </c>
    </row>
    <row r="74" spans="3:58" x14ac:dyDescent="0.2">
      <c r="C74" s="8" t="str">
        <v>Viet Nam</v>
      </c>
      <c r="D74" s="56" t="str">
        <v>East Asia &amp; Pacific</v>
      </c>
      <c r="E74" s="208">
        <f t="shared" si="22"/>
        <v>1196287.5</v>
      </c>
      <c r="F74" s="29">
        <f t="shared" si="6"/>
        <v>26654807.60269906</v>
      </c>
      <c r="H74" s="32">
        <f t="shared" si="28"/>
        <v>1196287.5</v>
      </c>
      <c r="I74" s="32">
        <f t="shared" si="28"/>
        <v>1172830.8823529412</v>
      </c>
      <c r="J74" s="32">
        <f t="shared" si="28"/>
        <v>1149834.1983852366</v>
      </c>
      <c r="K74" s="32">
        <f t="shared" si="28"/>
        <v>1127288.4297894475</v>
      </c>
      <c r="L74" s="32">
        <f t="shared" si="28"/>
        <v>1105184.7350876937</v>
      </c>
      <c r="M74" s="32">
        <f t="shared" si="28"/>
        <v>1083514.4461644054</v>
      </c>
      <c r="N74" s="32">
        <f t="shared" si="28"/>
        <v>1062269.0648670641</v>
      </c>
      <c r="O74" s="32">
        <f t="shared" si="28"/>
        <v>1041440.2596735925</v>
      </c>
      <c r="P74" s="32">
        <f t="shared" si="28"/>
        <v>1021019.8624250906</v>
      </c>
      <c r="Q74" s="32">
        <f t="shared" si="28"/>
        <v>1000999.8651226378</v>
      </c>
      <c r="R74" s="32">
        <f t="shared" si="29"/>
        <v>981372.41678689979</v>
      </c>
      <c r="S74" s="32">
        <f t="shared" si="29"/>
        <v>962129.82037931378</v>
      </c>
      <c r="T74" s="32">
        <f t="shared" si="29"/>
        <v>943264.52978364076</v>
      </c>
      <c r="U74" s="32">
        <f t="shared" si="29"/>
        <v>924769.14684670675</v>
      </c>
      <c r="V74" s="32">
        <f t="shared" si="29"/>
        <v>906636.4184771633</v>
      </c>
      <c r="W74" s="32">
        <f t="shared" si="29"/>
        <v>888859.2338011408</v>
      </c>
      <c r="X74" s="32">
        <f t="shared" si="29"/>
        <v>871430.62137366727</v>
      </c>
      <c r="Y74" s="32">
        <f t="shared" si="29"/>
        <v>854343.74644477176</v>
      </c>
      <c r="Z74" s="32">
        <f t="shared" si="29"/>
        <v>837591.90827918809</v>
      </c>
      <c r="AA74" s="32">
        <f t="shared" si="29"/>
        <v>821168.53752861579</v>
      </c>
      <c r="AB74" s="32">
        <f t="shared" si="30"/>
        <v>805067.19365550566</v>
      </c>
      <c r="AC74" s="32">
        <f t="shared" si="30"/>
        <v>789281.56240735855</v>
      </c>
      <c r="AD74" s="32">
        <f t="shared" si="30"/>
        <v>773805.45334054751</v>
      </c>
      <c r="AE74" s="32">
        <f t="shared" si="30"/>
        <v>758632.79739269381</v>
      </c>
      <c r="AF74" s="32">
        <f t="shared" si="30"/>
        <v>743757.64450264093</v>
      </c>
      <c r="AG74" s="32">
        <f t="shared" si="30"/>
        <v>729174.16127709893</v>
      </c>
      <c r="AH74" s="32">
        <f t="shared" si="30"/>
        <v>714876.62870303809</v>
      </c>
      <c r="AI74" s="32">
        <f t="shared" si="30"/>
        <v>700859.4399049395</v>
      </c>
      <c r="AJ74" s="32">
        <f t="shared" si="30"/>
        <v>687117.09794601891</v>
      </c>
      <c r="AK74" s="32">
        <f t="shared" si="30"/>
        <v>673644.21367256762</v>
      </c>
      <c r="AL74" s="32">
        <f t="shared" si="31"/>
        <v>660435.50360055652</v>
      </c>
      <c r="AM74" s="32">
        <f t="shared" si="31"/>
        <v>647485.78784368304</v>
      </c>
      <c r="AN74" s="32">
        <f t="shared" si="31"/>
        <v>634789.98808204196</v>
      </c>
      <c r="AO74" s="32">
        <f t="shared" si="31"/>
        <v>622343.12557062937</v>
      </c>
      <c r="AP74" s="32">
        <f t="shared" si="31"/>
        <v>610140.31918689155</v>
      </c>
      <c r="AQ74" s="32">
        <f t="shared" si="31"/>
        <v>598176.78351656045</v>
      </c>
      <c r="AR74" s="32">
        <f t="shared" si="31"/>
        <v>586447.82697702001</v>
      </c>
      <c r="AS74" s="32">
        <f t="shared" si="31"/>
        <v>574948.84997747059</v>
      </c>
      <c r="AT74" s="32">
        <f t="shared" si="31"/>
        <v>563675.34311516711</v>
      </c>
      <c r="AU74" s="32">
        <f t="shared" si="31"/>
        <v>552622.88540702686</v>
      </c>
      <c r="AV74" s="32">
        <f t="shared" si="32"/>
        <v>541787.14255590853</v>
      </c>
      <c r="AW74" s="32">
        <f t="shared" si="32"/>
        <v>0</v>
      </c>
      <c r="AX74" s="32">
        <f t="shared" si="32"/>
        <v>0</v>
      </c>
      <c r="AY74" s="32">
        <f t="shared" si="32"/>
        <v>0</v>
      </c>
      <c r="AZ74" s="32">
        <f t="shared" si="32"/>
        <v>0</v>
      </c>
      <c r="BA74" s="32">
        <f t="shared" si="32"/>
        <v>0</v>
      </c>
      <c r="BB74" s="32">
        <f t="shared" si="32"/>
        <v>0</v>
      </c>
      <c r="BC74" s="32">
        <f t="shared" si="32"/>
        <v>0</v>
      </c>
      <c r="BD74" s="32">
        <f t="shared" si="32"/>
        <v>0</v>
      </c>
      <c r="BE74" s="32">
        <f t="shared" si="32"/>
        <v>0</v>
      </c>
      <c r="BF74" s="32">
        <f t="shared" si="32"/>
        <v>0</v>
      </c>
    </row>
  </sheetData>
  <hyperlinks>
    <hyperlink ref="D9" r:id="rId1" xr:uid="{75812BC6-1BAD-4EF6-85B9-35C006253A4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3AEF7-32ED-4EFE-8D93-9C5B931C528D}">
  <sheetPr codeName="Sheet8">
    <tabColor theme="7" tint="0.39997558519241921"/>
  </sheetPr>
  <dimension ref="B1:Q80"/>
  <sheetViews>
    <sheetView showGridLines="0" zoomScaleNormal="100" workbookViewId="0"/>
  </sheetViews>
  <sheetFormatPr baseColWidth="10" defaultColWidth="8.83203125" defaultRowHeight="15" x14ac:dyDescent="0.2"/>
  <cols>
    <col min="2" max="2" width="20.5" customWidth="1"/>
    <col min="3" max="3" width="19.83203125" customWidth="1"/>
    <col min="4" max="4" width="28.33203125" customWidth="1"/>
    <col min="7" max="7" width="24.83203125" customWidth="1"/>
    <col min="13" max="13" width="7.1640625" style="176" customWidth="1"/>
    <col min="14" max="14" width="22.83203125" customWidth="1"/>
    <col min="15" max="15" width="13.1640625" customWidth="1"/>
    <col min="16" max="16" width="11.5" customWidth="1"/>
    <col min="17" max="17" width="12" customWidth="1"/>
  </cols>
  <sheetData>
    <row r="1" spans="2:16" x14ac:dyDescent="0.2">
      <c r="M1" s="16"/>
    </row>
    <row r="2" spans="2:16" ht="21" x14ac:dyDescent="0.25">
      <c r="B2" s="1" t="s">
        <v>822</v>
      </c>
      <c r="M2" s="16"/>
    </row>
    <row r="3" spans="2:16" x14ac:dyDescent="0.2">
      <c r="M3" s="16"/>
    </row>
    <row r="4" spans="2:16" x14ac:dyDescent="0.2">
      <c r="B4" s="19" t="s">
        <v>820</v>
      </c>
      <c r="C4" s="89"/>
      <c r="M4" s="16"/>
    </row>
    <row r="5" spans="2:16" x14ac:dyDescent="0.2">
      <c r="B5" s="188" t="s">
        <v>847</v>
      </c>
      <c r="M5" s="16"/>
    </row>
    <row r="6" spans="2:16" x14ac:dyDescent="0.2">
      <c r="B6" s="129"/>
      <c r="M6" s="177"/>
      <c r="N6" s="128"/>
    </row>
    <row r="7" spans="2:16" ht="21" x14ac:dyDescent="0.25">
      <c r="B7" s="90" t="s">
        <v>645</v>
      </c>
      <c r="N7" s="168" t="s">
        <v>687</v>
      </c>
    </row>
    <row r="9" spans="2:16" x14ac:dyDescent="0.2">
      <c r="B9" s="163" t="s">
        <v>688</v>
      </c>
      <c r="N9" s="18" t="s">
        <v>692</v>
      </c>
    </row>
    <row r="10" spans="2:16" x14ac:dyDescent="0.2">
      <c r="B10" s="249" t="s">
        <v>689</v>
      </c>
      <c r="C10" s="250" t="s">
        <v>531</v>
      </c>
      <c r="D10" s="249" t="s">
        <v>532</v>
      </c>
      <c r="N10" s="71" t="s">
        <v>690</v>
      </c>
      <c r="O10" s="13">
        <v>1</v>
      </c>
      <c r="P10" s="13">
        <v>4.3</v>
      </c>
    </row>
    <row r="11" spans="2:16" x14ac:dyDescent="0.2">
      <c r="B11" s="170" t="s">
        <v>507</v>
      </c>
      <c r="C11" s="164">
        <v>7.05</v>
      </c>
      <c r="D11" s="164">
        <f>O73*1.60934</f>
        <v>8.529501999999999</v>
      </c>
      <c r="N11" s="71" t="s">
        <v>691</v>
      </c>
      <c r="O11" s="13">
        <v>2.2000000000000002</v>
      </c>
      <c r="P11" s="13">
        <v>0.51500000000000001</v>
      </c>
    </row>
    <row r="12" spans="2:16" x14ac:dyDescent="0.2">
      <c r="B12" s="128"/>
      <c r="C12" s="173"/>
      <c r="D12" s="173"/>
    </row>
    <row r="13" spans="2:16" x14ac:dyDescent="0.2">
      <c r="B13" s="16"/>
      <c r="C13" s="171"/>
      <c r="D13" s="171"/>
      <c r="N13" s="18" t="s">
        <v>697</v>
      </c>
    </row>
    <row r="14" spans="2:16" x14ac:dyDescent="0.2">
      <c r="B14" s="16"/>
      <c r="C14" s="171"/>
      <c r="D14" s="171"/>
      <c r="G14" s="158"/>
      <c r="H14" s="100"/>
      <c r="I14" s="100"/>
      <c r="J14" s="100"/>
      <c r="K14" s="100"/>
      <c r="N14" s="71" t="s">
        <v>693</v>
      </c>
      <c r="O14" s="13">
        <f>SLOPE(O11:P11,O10:P10)</f>
        <v>-0.51060606060606073</v>
      </c>
    </row>
    <row r="15" spans="2:16" x14ac:dyDescent="0.2">
      <c r="B15" s="16"/>
      <c r="C15" s="171"/>
      <c r="D15" s="171"/>
      <c r="G15" s="100"/>
      <c r="H15" s="100"/>
      <c r="I15" s="100"/>
      <c r="J15" s="100"/>
      <c r="K15" s="100"/>
      <c r="N15" s="71" t="s">
        <v>694</v>
      </c>
      <c r="O15" s="13">
        <f>INTERCEPT(O11:P11,O10:P10)</f>
        <v>2.7106060606060609</v>
      </c>
    </row>
    <row r="16" spans="2:16" x14ac:dyDescent="0.2">
      <c r="B16" s="159"/>
      <c r="C16" s="172"/>
      <c r="D16" s="172"/>
      <c r="G16" s="100"/>
      <c r="H16" s="159"/>
      <c r="I16" s="159"/>
      <c r="J16" s="100"/>
      <c r="K16" s="100"/>
    </row>
    <row r="17" spans="2:17" x14ac:dyDescent="0.2">
      <c r="G17" s="100"/>
      <c r="H17" s="160"/>
      <c r="I17" s="100"/>
      <c r="J17" s="100"/>
      <c r="K17" s="100"/>
    </row>
    <row r="18" spans="2:17" x14ac:dyDescent="0.2">
      <c r="B18" s="91" t="s">
        <v>506</v>
      </c>
      <c r="G18" s="161"/>
      <c r="H18" s="100"/>
      <c r="I18" s="100"/>
      <c r="J18" s="100"/>
      <c r="K18" s="100"/>
    </row>
    <row r="19" spans="2:17" x14ac:dyDescent="0.2">
      <c r="B19" s="156"/>
      <c r="G19" s="100"/>
      <c r="H19" s="162"/>
      <c r="I19" s="162"/>
      <c r="J19" s="100"/>
      <c r="K19" s="100"/>
      <c r="N19" s="15" t="s">
        <v>698</v>
      </c>
      <c r="O19" s="248" t="s">
        <v>695</v>
      </c>
      <c r="P19" s="248" t="s">
        <v>696</v>
      </c>
      <c r="Q19" s="248" t="s">
        <v>699</v>
      </c>
    </row>
    <row r="20" spans="2:17" x14ac:dyDescent="0.2">
      <c r="O20" s="13">
        <v>0</v>
      </c>
      <c r="P20" s="13">
        <v>2.2000000000000002</v>
      </c>
      <c r="Q20" s="13">
        <f>P20*0.1</f>
        <v>0.22000000000000003</v>
      </c>
    </row>
    <row r="21" spans="2:17" x14ac:dyDescent="0.2">
      <c r="O21" s="13">
        <v>0.1</v>
      </c>
      <c r="P21" s="13">
        <v>2.2000000000000002</v>
      </c>
      <c r="Q21" s="93">
        <f>P21*0.1+Q20</f>
        <v>0.44000000000000006</v>
      </c>
    </row>
    <row r="22" spans="2:17" x14ac:dyDescent="0.2">
      <c r="O22" s="13">
        <v>0.2</v>
      </c>
      <c r="P22" s="13">
        <v>2.2000000000000002</v>
      </c>
      <c r="Q22" s="93">
        <f t="shared" ref="Q22:Q80" si="0">P22*0.1+Q21</f>
        <v>0.66000000000000014</v>
      </c>
    </row>
    <row r="23" spans="2:17" x14ac:dyDescent="0.2">
      <c r="O23" s="13">
        <v>0.3</v>
      </c>
      <c r="P23" s="13">
        <v>2.2000000000000002</v>
      </c>
      <c r="Q23" s="93">
        <f t="shared" si="0"/>
        <v>0.88000000000000012</v>
      </c>
    </row>
    <row r="24" spans="2:17" x14ac:dyDescent="0.2">
      <c r="O24" s="13">
        <v>0.4</v>
      </c>
      <c r="P24" s="13">
        <v>2.2000000000000002</v>
      </c>
      <c r="Q24" s="93">
        <f t="shared" si="0"/>
        <v>1.1000000000000001</v>
      </c>
    </row>
    <row r="25" spans="2:17" x14ac:dyDescent="0.2">
      <c r="O25" s="13">
        <v>0.5</v>
      </c>
      <c r="P25" s="13">
        <v>2.2000000000000002</v>
      </c>
      <c r="Q25" s="93">
        <f t="shared" si="0"/>
        <v>1.32</v>
      </c>
    </row>
    <row r="26" spans="2:17" ht="19" x14ac:dyDescent="0.25">
      <c r="G26" s="169" t="s">
        <v>677</v>
      </c>
      <c r="O26" s="13">
        <v>0.6</v>
      </c>
      <c r="P26" s="13">
        <v>2.2000000000000002</v>
      </c>
      <c r="Q26" s="93">
        <f t="shared" si="0"/>
        <v>1.54</v>
      </c>
    </row>
    <row r="27" spans="2:17" x14ac:dyDescent="0.2">
      <c r="H27" s="146" t="s">
        <v>508</v>
      </c>
      <c r="I27" s="166"/>
      <c r="J27" s="16"/>
      <c r="O27" s="13">
        <v>0.7</v>
      </c>
      <c r="P27" s="13">
        <v>2.2000000000000002</v>
      </c>
      <c r="Q27" s="93">
        <f t="shared" si="0"/>
        <v>1.76</v>
      </c>
    </row>
    <row r="28" spans="2:17" x14ac:dyDescent="0.2">
      <c r="G28" s="94" t="s">
        <v>509</v>
      </c>
      <c r="H28" s="165">
        <v>5.33</v>
      </c>
      <c r="I28" s="167"/>
      <c r="J28" s="16"/>
      <c r="O28" s="13">
        <v>0.8</v>
      </c>
      <c r="P28" s="13">
        <v>2.2000000000000002</v>
      </c>
      <c r="Q28" s="93">
        <f t="shared" si="0"/>
        <v>1.98</v>
      </c>
    </row>
    <row r="29" spans="2:17" x14ac:dyDescent="0.2">
      <c r="O29" s="13">
        <v>0.9</v>
      </c>
      <c r="P29" s="13">
        <v>2.2000000000000002</v>
      </c>
      <c r="Q29" s="93">
        <f t="shared" si="0"/>
        <v>2.2000000000000002</v>
      </c>
    </row>
    <row r="30" spans="2:17" x14ac:dyDescent="0.2">
      <c r="O30" s="13">
        <v>1</v>
      </c>
      <c r="P30" s="13">
        <v>2.2000000000000002</v>
      </c>
      <c r="Q30" s="93">
        <f t="shared" si="0"/>
        <v>2.4200000000000004</v>
      </c>
    </row>
    <row r="31" spans="2:17" x14ac:dyDescent="0.2">
      <c r="O31" s="13">
        <v>1.1000000000000001</v>
      </c>
      <c r="P31" s="93">
        <f t="shared" ref="P31:P62" si="1">$O$14*O31+$O$15</f>
        <v>2.1489393939393939</v>
      </c>
      <c r="Q31" s="93">
        <f t="shared" si="0"/>
        <v>2.6348939393939399</v>
      </c>
    </row>
    <row r="32" spans="2:17" x14ac:dyDescent="0.2">
      <c r="O32" s="13">
        <v>1.2</v>
      </c>
      <c r="P32" s="93">
        <f>$O$14*O32+$O$15</f>
        <v>2.0978787878787881</v>
      </c>
      <c r="Q32" s="93">
        <f t="shared" si="0"/>
        <v>2.8446818181818188</v>
      </c>
    </row>
    <row r="33" spans="4:17" x14ac:dyDescent="0.2">
      <c r="O33" s="13">
        <v>1.3</v>
      </c>
      <c r="P33" s="93">
        <f t="shared" si="1"/>
        <v>2.0468181818181819</v>
      </c>
      <c r="Q33" s="93">
        <f t="shared" si="0"/>
        <v>3.0493636363636369</v>
      </c>
    </row>
    <row r="34" spans="4:17" x14ac:dyDescent="0.2">
      <c r="D34" s="155"/>
      <c r="O34" s="13">
        <v>1.4</v>
      </c>
      <c r="P34" s="93">
        <f t="shared" si="1"/>
        <v>1.9957575757575761</v>
      </c>
      <c r="Q34" s="93">
        <f t="shared" si="0"/>
        <v>3.2489393939393945</v>
      </c>
    </row>
    <row r="35" spans="4:17" x14ac:dyDescent="0.2">
      <c r="O35" s="13">
        <v>1.5</v>
      </c>
      <c r="P35" s="93">
        <f t="shared" si="1"/>
        <v>1.9446969696969698</v>
      </c>
      <c r="Q35" s="93">
        <f t="shared" si="0"/>
        <v>3.4434090909090913</v>
      </c>
    </row>
    <row r="36" spans="4:17" x14ac:dyDescent="0.2">
      <c r="O36" s="13">
        <v>1.6</v>
      </c>
      <c r="P36" s="93">
        <f t="shared" si="1"/>
        <v>1.8936363636363636</v>
      </c>
      <c r="Q36" s="93">
        <f t="shared" si="0"/>
        <v>3.6327727272727275</v>
      </c>
    </row>
    <row r="37" spans="4:17" x14ac:dyDescent="0.2">
      <c r="O37" s="13">
        <v>1.7</v>
      </c>
      <c r="P37" s="93">
        <f t="shared" si="1"/>
        <v>1.8425757575757578</v>
      </c>
      <c r="Q37" s="93">
        <f t="shared" si="0"/>
        <v>3.8170303030303034</v>
      </c>
    </row>
    <row r="38" spans="4:17" x14ac:dyDescent="0.2">
      <c r="O38" s="13">
        <v>1.8</v>
      </c>
      <c r="P38" s="93">
        <f t="shared" si="1"/>
        <v>1.7915151515151515</v>
      </c>
      <c r="Q38" s="93">
        <f t="shared" si="0"/>
        <v>3.9961818181818187</v>
      </c>
    </row>
    <row r="39" spans="4:17" x14ac:dyDescent="0.2">
      <c r="O39" s="13">
        <v>1.9</v>
      </c>
      <c r="P39" s="93">
        <f t="shared" si="1"/>
        <v>1.7404545454545457</v>
      </c>
      <c r="Q39" s="93">
        <f t="shared" si="0"/>
        <v>4.1702272727272733</v>
      </c>
    </row>
    <row r="40" spans="4:17" x14ac:dyDescent="0.2">
      <c r="O40" s="13">
        <v>2</v>
      </c>
      <c r="P40" s="93">
        <f t="shared" si="1"/>
        <v>1.6893939393939394</v>
      </c>
      <c r="Q40" s="93">
        <f t="shared" si="0"/>
        <v>4.3391666666666673</v>
      </c>
    </row>
    <row r="41" spans="4:17" x14ac:dyDescent="0.2">
      <c r="O41" s="13">
        <v>2.1</v>
      </c>
      <c r="P41" s="93">
        <f t="shared" si="1"/>
        <v>1.6383333333333334</v>
      </c>
      <c r="Q41" s="93">
        <f t="shared" si="0"/>
        <v>4.503000000000001</v>
      </c>
    </row>
    <row r="42" spans="4:17" x14ac:dyDescent="0.2">
      <c r="O42" s="13">
        <v>2.2000000000000002</v>
      </c>
      <c r="P42" s="93">
        <f t="shared" si="1"/>
        <v>1.5872727272727272</v>
      </c>
      <c r="Q42" s="93">
        <f t="shared" si="0"/>
        <v>4.6617272727272736</v>
      </c>
    </row>
    <row r="43" spans="4:17" x14ac:dyDescent="0.2">
      <c r="O43" s="13">
        <v>2.2999999999999998</v>
      </c>
      <c r="P43" s="93">
        <f t="shared" si="1"/>
        <v>1.5362121212121214</v>
      </c>
      <c r="Q43" s="93">
        <f t="shared" si="0"/>
        <v>4.815348484848486</v>
      </c>
    </row>
    <row r="44" spans="4:17" x14ac:dyDescent="0.2">
      <c r="O44" s="13">
        <v>2.4</v>
      </c>
      <c r="P44" s="93">
        <f t="shared" si="1"/>
        <v>1.4851515151515151</v>
      </c>
      <c r="Q44" s="93">
        <f t="shared" si="0"/>
        <v>4.9638636363636373</v>
      </c>
    </row>
    <row r="45" spans="4:17" x14ac:dyDescent="0.2">
      <c r="O45" s="13">
        <v>2.5</v>
      </c>
      <c r="P45" s="93">
        <f t="shared" si="1"/>
        <v>1.4340909090909091</v>
      </c>
      <c r="Q45" s="93">
        <f t="shared" si="0"/>
        <v>5.1072727272727283</v>
      </c>
    </row>
    <row r="46" spans="4:17" x14ac:dyDescent="0.2">
      <c r="O46" s="13">
        <v>2.6</v>
      </c>
      <c r="P46" s="93">
        <f t="shared" si="1"/>
        <v>1.3830303030303031</v>
      </c>
      <c r="Q46" s="93">
        <f t="shared" si="0"/>
        <v>5.2455757575757582</v>
      </c>
    </row>
    <row r="47" spans="4:17" x14ac:dyDescent="0.2">
      <c r="O47" s="13">
        <v>2.7</v>
      </c>
      <c r="P47" s="93">
        <f t="shared" si="1"/>
        <v>1.3319696969696968</v>
      </c>
      <c r="Q47" s="93">
        <f t="shared" si="0"/>
        <v>5.3787727272727279</v>
      </c>
    </row>
    <row r="48" spans="4:17" x14ac:dyDescent="0.2">
      <c r="O48" s="13">
        <v>2.8</v>
      </c>
      <c r="P48" s="93">
        <f t="shared" si="1"/>
        <v>1.280909090909091</v>
      </c>
      <c r="Q48" s="93">
        <f t="shared" si="0"/>
        <v>5.5068636363636374</v>
      </c>
    </row>
    <row r="49" spans="15:17" x14ac:dyDescent="0.2">
      <c r="O49" s="13">
        <v>2.9</v>
      </c>
      <c r="P49" s="93">
        <f t="shared" si="1"/>
        <v>1.2298484848484847</v>
      </c>
      <c r="Q49" s="93">
        <f t="shared" si="0"/>
        <v>5.6298484848484858</v>
      </c>
    </row>
    <row r="50" spans="15:17" x14ac:dyDescent="0.2">
      <c r="O50" s="13">
        <v>3</v>
      </c>
      <c r="P50" s="93">
        <f t="shared" si="1"/>
        <v>1.1787878787878787</v>
      </c>
      <c r="Q50" s="93">
        <f t="shared" si="0"/>
        <v>5.7477272727272739</v>
      </c>
    </row>
    <row r="51" spans="15:17" x14ac:dyDescent="0.2">
      <c r="O51" s="13">
        <v>3.1</v>
      </c>
      <c r="P51" s="93">
        <f t="shared" si="1"/>
        <v>1.1277272727272727</v>
      </c>
      <c r="Q51" s="93">
        <f t="shared" si="0"/>
        <v>5.8605000000000009</v>
      </c>
    </row>
    <row r="52" spans="15:17" x14ac:dyDescent="0.2">
      <c r="O52" s="13">
        <v>3.2</v>
      </c>
      <c r="P52" s="93">
        <f t="shared" si="1"/>
        <v>1.0766666666666664</v>
      </c>
      <c r="Q52" s="93">
        <f t="shared" si="0"/>
        <v>5.9681666666666677</v>
      </c>
    </row>
    <row r="53" spans="15:17" x14ac:dyDescent="0.2">
      <c r="O53" s="13">
        <v>3.3</v>
      </c>
      <c r="P53" s="93">
        <f t="shared" si="1"/>
        <v>1.0256060606060606</v>
      </c>
      <c r="Q53" s="93">
        <f t="shared" si="0"/>
        <v>6.0707272727272734</v>
      </c>
    </row>
    <row r="54" spans="15:17" x14ac:dyDescent="0.2">
      <c r="O54" s="13">
        <v>3.4</v>
      </c>
      <c r="P54" s="93">
        <f t="shared" si="1"/>
        <v>0.97454545454545438</v>
      </c>
      <c r="Q54" s="93">
        <f t="shared" si="0"/>
        <v>6.1681818181818189</v>
      </c>
    </row>
    <row r="55" spans="15:17" x14ac:dyDescent="0.2">
      <c r="O55" s="13">
        <v>3.5</v>
      </c>
      <c r="P55" s="93">
        <f t="shared" si="1"/>
        <v>0.92348484848484835</v>
      </c>
      <c r="Q55" s="93">
        <f t="shared" si="0"/>
        <v>6.2605303030303041</v>
      </c>
    </row>
    <row r="56" spans="15:17" x14ac:dyDescent="0.2">
      <c r="O56" s="13">
        <v>3.6</v>
      </c>
      <c r="P56" s="93">
        <f t="shared" si="1"/>
        <v>0.87242424242424232</v>
      </c>
      <c r="Q56" s="93">
        <f t="shared" si="0"/>
        <v>6.3477727272727282</v>
      </c>
    </row>
    <row r="57" spans="15:17" x14ac:dyDescent="0.2">
      <c r="O57" s="13">
        <v>3.7</v>
      </c>
      <c r="P57" s="93">
        <f t="shared" si="1"/>
        <v>0.82136363636363607</v>
      </c>
      <c r="Q57" s="93">
        <f t="shared" si="0"/>
        <v>6.4299090909090921</v>
      </c>
    </row>
    <row r="58" spans="15:17" x14ac:dyDescent="0.2">
      <c r="O58" s="13">
        <v>3.8</v>
      </c>
      <c r="P58" s="93">
        <f t="shared" si="1"/>
        <v>0.77030303030303027</v>
      </c>
      <c r="Q58" s="93">
        <f t="shared" si="0"/>
        <v>6.5069393939393949</v>
      </c>
    </row>
    <row r="59" spans="15:17" x14ac:dyDescent="0.2">
      <c r="O59" s="13">
        <v>3.9</v>
      </c>
      <c r="P59" s="93">
        <f t="shared" si="1"/>
        <v>0.71924242424242402</v>
      </c>
      <c r="Q59" s="93">
        <f t="shared" si="0"/>
        <v>6.5788636363636375</v>
      </c>
    </row>
    <row r="60" spans="15:17" x14ac:dyDescent="0.2">
      <c r="O60" s="13">
        <v>4</v>
      </c>
      <c r="P60" s="93">
        <f t="shared" si="1"/>
        <v>0.66818181818181799</v>
      </c>
      <c r="Q60" s="93">
        <f t="shared" si="0"/>
        <v>6.6456818181818189</v>
      </c>
    </row>
    <row r="61" spans="15:17" x14ac:dyDescent="0.2">
      <c r="O61" s="13">
        <v>4.0999999999999996</v>
      </c>
      <c r="P61" s="93">
        <f t="shared" si="1"/>
        <v>0.61712121212121218</v>
      </c>
      <c r="Q61" s="93">
        <f t="shared" si="0"/>
        <v>6.7073939393939401</v>
      </c>
    </row>
    <row r="62" spans="15:17" x14ac:dyDescent="0.2">
      <c r="O62" s="13">
        <v>4.2</v>
      </c>
      <c r="P62" s="93">
        <f t="shared" si="1"/>
        <v>0.56606060606060593</v>
      </c>
      <c r="Q62" s="93">
        <f t="shared" si="0"/>
        <v>6.7640000000000011</v>
      </c>
    </row>
    <row r="63" spans="15:17" x14ac:dyDescent="0.2">
      <c r="O63" s="13">
        <v>4.3</v>
      </c>
      <c r="P63" s="93">
        <f t="shared" ref="P63:P80" si="2">$O$14*O63+$O$15</f>
        <v>0.51499999999999968</v>
      </c>
      <c r="Q63" s="93">
        <f t="shared" si="0"/>
        <v>6.815500000000001</v>
      </c>
    </row>
    <row r="64" spans="15:17" x14ac:dyDescent="0.2">
      <c r="O64" s="13">
        <v>4.4000000000000004</v>
      </c>
      <c r="P64" s="93">
        <f t="shared" si="2"/>
        <v>0.46393939393939343</v>
      </c>
      <c r="Q64" s="93">
        <f t="shared" si="0"/>
        <v>6.8618939393939407</v>
      </c>
    </row>
    <row r="65" spans="15:17" x14ac:dyDescent="0.2">
      <c r="O65" s="13">
        <v>4.5</v>
      </c>
      <c r="P65" s="93">
        <f t="shared" si="2"/>
        <v>0.41287878787878762</v>
      </c>
      <c r="Q65" s="93">
        <f t="shared" si="0"/>
        <v>6.9031818181818192</v>
      </c>
    </row>
    <row r="66" spans="15:17" x14ac:dyDescent="0.2">
      <c r="O66" s="13">
        <v>4.5999999999999996</v>
      </c>
      <c r="P66" s="93">
        <f t="shared" si="2"/>
        <v>0.36181818181818182</v>
      </c>
      <c r="Q66" s="93">
        <f t="shared" si="0"/>
        <v>6.9393636363636375</v>
      </c>
    </row>
    <row r="67" spans="15:17" x14ac:dyDescent="0.2">
      <c r="O67" s="13">
        <v>4.7</v>
      </c>
      <c r="P67" s="93">
        <f t="shared" si="2"/>
        <v>0.31075757575757557</v>
      </c>
      <c r="Q67" s="93">
        <f t="shared" si="0"/>
        <v>6.9704393939393947</v>
      </c>
    </row>
    <row r="68" spans="15:17" x14ac:dyDescent="0.2">
      <c r="O68" s="13">
        <v>4.8</v>
      </c>
      <c r="P68" s="93">
        <f t="shared" si="2"/>
        <v>0.25969696969696932</v>
      </c>
      <c r="Q68" s="93">
        <f t="shared" si="0"/>
        <v>6.9964090909090917</v>
      </c>
    </row>
    <row r="69" spans="15:17" x14ac:dyDescent="0.2">
      <c r="O69" s="13">
        <v>4.9000000000000004</v>
      </c>
      <c r="P69" s="93">
        <f t="shared" si="2"/>
        <v>0.20863636363636306</v>
      </c>
      <c r="Q69" s="93">
        <f t="shared" si="0"/>
        <v>7.0172727272727276</v>
      </c>
    </row>
    <row r="70" spans="15:17" x14ac:dyDescent="0.2">
      <c r="O70" s="13">
        <v>5</v>
      </c>
      <c r="P70" s="93">
        <f t="shared" si="2"/>
        <v>0.15757575757575726</v>
      </c>
      <c r="Q70" s="93">
        <f t="shared" si="0"/>
        <v>7.0330303030303032</v>
      </c>
    </row>
    <row r="71" spans="15:17" x14ac:dyDescent="0.2">
      <c r="O71" s="13">
        <v>5.0999999999999996</v>
      </c>
      <c r="P71" s="93">
        <f t="shared" si="2"/>
        <v>0.10651515151515145</v>
      </c>
      <c r="Q71" s="93">
        <f t="shared" si="0"/>
        <v>7.0436818181818186</v>
      </c>
    </row>
    <row r="72" spans="15:17" x14ac:dyDescent="0.2">
      <c r="O72" s="13">
        <v>5.2</v>
      </c>
      <c r="P72" s="93">
        <f t="shared" si="2"/>
        <v>5.5454545454545201E-2</v>
      </c>
      <c r="Q72" s="93">
        <f t="shared" si="0"/>
        <v>7.0492272727272729</v>
      </c>
    </row>
    <row r="73" spans="15:17" x14ac:dyDescent="0.2">
      <c r="O73" s="174">
        <v>5.3</v>
      </c>
      <c r="P73" s="175">
        <f t="shared" si="2"/>
        <v>4.3939393939389504E-3</v>
      </c>
      <c r="Q73" s="175">
        <f t="shared" si="0"/>
        <v>7.049666666666667</v>
      </c>
    </row>
    <row r="74" spans="15:17" x14ac:dyDescent="0.2">
      <c r="O74" s="13">
        <v>5.4</v>
      </c>
      <c r="P74" s="93">
        <f t="shared" si="2"/>
        <v>-4.66666666666673E-2</v>
      </c>
      <c r="Q74" s="93">
        <f t="shared" si="0"/>
        <v>7.0449999999999999</v>
      </c>
    </row>
    <row r="75" spans="15:17" x14ac:dyDescent="0.2">
      <c r="O75" s="13">
        <v>5.5</v>
      </c>
      <c r="P75" s="93">
        <f t="shared" si="2"/>
        <v>-9.7727272727273107E-2</v>
      </c>
      <c r="Q75" s="93">
        <f t="shared" si="0"/>
        <v>7.0352272727272727</v>
      </c>
    </row>
    <row r="76" spans="15:17" x14ac:dyDescent="0.2">
      <c r="O76" s="13">
        <v>5.6</v>
      </c>
      <c r="P76" s="93">
        <f t="shared" si="2"/>
        <v>-0.14878787878787891</v>
      </c>
      <c r="Q76" s="93">
        <f t="shared" si="0"/>
        <v>7.0203484848484852</v>
      </c>
    </row>
    <row r="77" spans="15:17" x14ac:dyDescent="0.2">
      <c r="O77" s="13">
        <v>5.7</v>
      </c>
      <c r="P77" s="93">
        <f t="shared" si="2"/>
        <v>-0.19984848484848516</v>
      </c>
      <c r="Q77" s="93">
        <f t="shared" si="0"/>
        <v>7.0003636363636366</v>
      </c>
    </row>
    <row r="78" spans="15:17" x14ac:dyDescent="0.2">
      <c r="O78" s="13">
        <v>5.8</v>
      </c>
      <c r="P78" s="93">
        <f t="shared" si="2"/>
        <v>-0.25090909090909141</v>
      </c>
      <c r="Q78" s="93">
        <f t="shared" si="0"/>
        <v>6.9752727272727277</v>
      </c>
    </row>
    <row r="79" spans="15:17" x14ac:dyDescent="0.2">
      <c r="O79" s="13">
        <v>5.9</v>
      </c>
      <c r="P79" s="93">
        <f t="shared" si="2"/>
        <v>-0.30196969696969767</v>
      </c>
      <c r="Q79" s="93">
        <f t="shared" si="0"/>
        <v>6.9450757575757578</v>
      </c>
    </row>
    <row r="80" spans="15:17" x14ac:dyDescent="0.2">
      <c r="O80" s="13">
        <v>6</v>
      </c>
      <c r="P80" s="93">
        <f t="shared" si="2"/>
        <v>-0.35303030303030347</v>
      </c>
      <c r="Q80" s="93">
        <f t="shared" si="0"/>
        <v>6.9097727272727276</v>
      </c>
    </row>
  </sheetData>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88CA78-19F0-44D9-87FD-BB6E782E7A64}">
  <sheetPr codeName="Sheet6">
    <tabColor theme="5" tint="0.59999389629810485"/>
  </sheetPr>
  <dimension ref="B2:G76"/>
  <sheetViews>
    <sheetView showGridLines="0" zoomScaleNormal="100" workbookViewId="0"/>
  </sheetViews>
  <sheetFormatPr baseColWidth="10" defaultColWidth="8.83203125" defaultRowHeight="15" x14ac:dyDescent="0.2"/>
  <cols>
    <col min="2" max="2" width="27.5" customWidth="1"/>
    <col min="3" max="4" width="24.1640625" customWidth="1"/>
    <col min="5" max="5" width="29.1640625" customWidth="1"/>
    <col min="6" max="6" width="29.5" customWidth="1"/>
    <col min="7" max="7" width="28.83203125" style="92" bestFit="1" customWidth="1"/>
  </cols>
  <sheetData>
    <row r="2" spans="2:7" ht="21" x14ac:dyDescent="0.25">
      <c r="B2" s="1" t="s">
        <v>822</v>
      </c>
      <c r="C2" s="1"/>
      <c r="D2" s="1"/>
      <c r="E2" s="1"/>
    </row>
    <row r="4" spans="2:7" x14ac:dyDescent="0.2">
      <c r="B4" s="3" t="s">
        <v>596</v>
      </c>
      <c r="C4" s="3"/>
      <c r="E4" s="64" t="s">
        <v>394</v>
      </c>
      <c r="F4" s="145" t="s">
        <v>395</v>
      </c>
      <c r="G4" s="139"/>
    </row>
    <row r="5" spans="2:7" ht="14.5" customHeight="1" x14ac:dyDescent="0.2">
      <c r="B5" s="363" t="s">
        <v>630</v>
      </c>
      <c r="C5" s="364"/>
      <c r="D5" s="364"/>
      <c r="E5" s="143"/>
      <c r="F5" s="92"/>
      <c r="G5"/>
    </row>
    <row r="6" spans="2:7" x14ac:dyDescent="0.2">
      <c r="B6" s="364"/>
      <c r="C6" s="364"/>
      <c r="D6" s="364"/>
    </row>
    <row r="7" spans="2:7" x14ac:dyDescent="0.2">
      <c r="B7" s="364"/>
      <c r="C7" s="364"/>
      <c r="D7" s="364"/>
    </row>
    <row r="8" spans="2:7" x14ac:dyDescent="0.2">
      <c r="B8" s="364"/>
      <c r="C8" s="364"/>
      <c r="D8" s="364"/>
    </row>
    <row r="10" spans="2:7" x14ac:dyDescent="0.2">
      <c r="C10" s="193" t="s">
        <v>788</v>
      </c>
      <c r="D10" s="2" t="s">
        <v>0</v>
      </c>
      <c r="E10" s="2" t="s">
        <v>20</v>
      </c>
      <c r="F10" s="2" t="s">
        <v>410</v>
      </c>
      <c r="G10" s="2" t="s">
        <v>533</v>
      </c>
    </row>
    <row r="11" spans="2:7" x14ac:dyDescent="0.2">
      <c r="C11" s="193" t="s">
        <v>789</v>
      </c>
      <c r="D11" s="6"/>
      <c r="E11" s="11" t="s">
        <v>1</v>
      </c>
      <c r="F11" s="6" t="s">
        <v>411</v>
      </c>
      <c r="G11" s="6" t="s">
        <v>411</v>
      </c>
    </row>
    <row r="12" spans="2:7" x14ac:dyDescent="0.2">
      <c r="C12" s="193" t="s">
        <v>790</v>
      </c>
      <c r="D12" s="6">
        <v>2024</v>
      </c>
      <c r="E12" s="6">
        <v>2024</v>
      </c>
      <c r="F12" s="6">
        <v>2023</v>
      </c>
      <c r="G12" s="6">
        <v>2023</v>
      </c>
    </row>
    <row r="13" spans="2:7" x14ac:dyDescent="0.2">
      <c r="C13" s="193" t="s">
        <v>791</v>
      </c>
      <c r="D13" s="6"/>
      <c r="E13" s="6"/>
      <c r="F13" s="6" t="s">
        <v>390</v>
      </c>
      <c r="G13" s="6" t="s">
        <v>390</v>
      </c>
    </row>
    <row r="14" spans="2:7" x14ac:dyDescent="0.2">
      <c r="C14" s="193" t="s">
        <v>792</v>
      </c>
      <c r="D14" s="7"/>
      <c r="E14" s="7"/>
      <c r="F14" s="7" t="s">
        <v>649</v>
      </c>
      <c r="G14" s="7" t="s">
        <v>650</v>
      </c>
    </row>
    <row r="15" spans="2:7" x14ac:dyDescent="0.2">
      <c r="C15">
        <v>1</v>
      </c>
      <c r="D15" s="8" t="str" cm="1">
        <f t="array" ref="D15:D76">ModifiedCountries</f>
        <v>Argentina</v>
      </c>
      <c r="E15" s="8" t="str" cm="1">
        <f t="array" ref="E15:E76">ModifiedRegions</f>
        <v>Latin America &amp; Caribbean</v>
      </c>
      <c r="F15" s="85">
        <v>66.448538689351537</v>
      </c>
      <c r="G15" s="85">
        <v>66.448538689351537</v>
      </c>
    </row>
    <row r="16" spans="2:7" x14ac:dyDescent="0.2">
      <c r="C16">
        <v>2</v>
      </c>
      <c r="D16" s="8" t="str">
        <v>Australia</v>
      </c>
      <c r="E16" s="8" t="str">
        <v>East Asia &amp; Pacific</v>
      </c>
      <c r="F16" s="85">
        <v>183.05003240919942</v>
      </c>
      <c r="G16" s="85">
        <v>183.05003240919942</v>
      </c>
    </row>
    <row r="17" spans="3:7" x14ac:dyDescent="0.2">
      <c r="C17">
        <v>3</v>
      </c>
      <c r="D17" s="8" t="str">
        <v>Austria</v>
      </c>
      <c r="E17" s="8" t="str">
        <v>Europe &amp; Central Asia</v>
      </c>
      <c r="F17" s="85">
        <v>187.00281170809052</v>
      </c>
      <c r="G17" s="85">
        <v>187.00281170809052</v>
      </c>
    </row>
    <row r="18" spans="3:7" x14ac:dyDescent="0.2">
      <c r="C18">
        <v>4</v>
      </c>
      <c r="D18" s="8" t="str">
        <v>Bangladesh</v>
      </c>
      <c r="E18" s="8" t="str">
        <v>South Asia</v>
      </c>
      <c r="F18" s="85">
        <v>178.32133445217278</v>
      </c>
      <c r="G18" s="85">
        <v>178.32133445217278</v>
      </c>
    </row>
    <row r="19" spans="3:7" x14ac:dyDescent="0.2">
      <c r="C19">
        <v>5</v>
      </c>
      <c r="D19" s="8" t="str">
        <v>Belgium</v>
      </c>
      <c r="E19" s="8" t="str">
        <v>Europe &amp; Central Asia</v>
      </c>
      <c r="F19" s="85">
        <v>187.00281170809052</v>
      </c>
      <c r="G19" s="85">
        <v>187.00281170809052</v>
      </c>
    </row>
    <row r="20" spans="3:7" x14ac:dyDescent="0.2">
      <c r="C20">
        <v>6</v>
      </c>
      <c r="D20" s="8" t="str">
        <v>Bolivia</v>
      </c>
      <c r="E20" s="8" t="str">
        <v>Latin America &amp; Caribbean</v>
      </c>
      <c r="F20" s="103">
        <v>123.89196731561637</v>
      </c>
      <c r="G20" s="85">
        <v>123.89196731561637</v>
      </c>
    </row>
    <row r="21" spans="3:7" x14ac:dyDescent="0.2">
      <c r="C21">
        <v>7</v>
      </c>
      <c r="D21" s="8" t="str">
        <v>Brazil</v>
      </c>
      <c r="E21" s="8" t="str">
        <v>Latin America &amp; Caribbean</v>
      </c>
      <c r="F21" s="85">
        <v>85.047388013245893</v>
      </c>
      <c r="G21" s="85">
        <v>85.047388013245893</v>
      </c>
    </row>
    <row r="22" spans="3:7" x14ac:dyDescent="0.2">
      <c r="C22">
        <v>8</v>
      </c>
      <c r="D22" s="8" t="str">
        <v>Bulgaria</v>
      </c>
      <c r="E22" s="8" t="str">
        <v>Europe &amp; Central Asia</v>
      </c>
      <c r="F22" s="85">
        <v>187.00281170809052</v>
      </c>
      <c r="G22" s="85">
        <v>187.00281170809052</v>
      </c>
    </row>
    <row r="23" spans="3:7" x14ac:dyDescent="0.2">
      <c r="C23">
        <v>9</v>
      </c>
      <c r="D23" s="8" t="str">
        <v>Canada</v>
      </c>
      <c r="E23" s="8" t="str">
        <v>North America</v>
      </c>
      <c r="F23" s="85">
        <v>187.00281170809052</v>
      </c>
      <c r="G23" s="85">
        <v>187.00281170809052</v>
      </c>
    </row>
    <row r="24" spans="3:7" x14ac:dyDescent="0.2">
      <c r="C24">
        <v>10</v>
      </c>
      <c r="D24" s="8" t="str">
        <v>Chile</v>
      </c>
      <c r="E24" s="8" t="str">
        <v>Latin America &amp; Caribbean</v>
      </c>
      <c r="F24" s="85">
        <v>178.32133445217278</v>
      </c>
      <c r="G24" s="85">
        <v>178.32133445217278</v>
      </c>
    </row>
    <row r="25" spans="3:7" x14ac:dyDescent="0.2">
      <c r="C25">
        <v>11</v>
      </c>
      <c r="D25" s="8" t="str">
        <v>China</v>
      </c>
      <c r="E25" s="8" t="str">
        <v>East Asia &amp; Pacific</v>
      </c>
      <c r="F25" s="85">
        <v>178.32133445217278</v>
      </c>
      <c r="G25" s="85">
        <v>178.32133445217278</v>
      </c>
    </row>
    <row r="26" spans="3:7" x14ac:dyDescent="0.2">
      <c r="C26">
        <v>12</v>
      </c>
      <c r="D26" s="8" t="str">
        <v>Colombia</v>
      </c>
      <c r="E26" s="8" t="str">
        <v>Latin America &amp; Caribbean</v>
      </c>
      <c r="F26" s="85">
        <v>18.556198883897437</v>
      </c>
      <c r="G26" s="85">
        <v>18.556198883897437</v>
      </c>
    </row>
    <row r="27" spans="3:7" x14ac:dyDescent="0.2">
      <c r="C27">
        <v>13</v>
      </c>
      <c r="D27" s="8" t="str">
        <v>Costa Rica</v>
      </c>
      <c r="E27" s="8" t="str">
        <v>Latin America &amp; Caribbean</v>
      </c>
      <c r="F27" s="85">
        <v>62.124424193596589</v>
      </c>
      <c r="G27" s="85">
        <v>62.124424193596589</v>
      </c>
    </row>
    <row r="28" spans="3:7" x14ac:dyDescent="0.2">
      <c r="C28">
        <v>14</v>
      </c>
      <c r="D28" s="8" t="str">
        <v>Czechia</v>
      </c>
      <c r="E28" s="8" t="str">
        <v>Europe &amp; Central Asia</v>
      </c>
      <c r="F28" s="85">
        <v>187.00281170809052</v>
      </c>
      <c r="G28" s="85">
        <v>187.00281170809052</v>
      </c>
    </row>
    <row r="29" spans="3:7" x14ac:dyDescent="0.2">
      <c r="C29">
        <v>15</v>
      </c>
      <c r="D29" s="8" t="str">
        <v>Denmark</v>
      </c>
      <c r="E29" s="8" t="str">
        <v>Europe &amp; Central Asia</v>
      </c>
      <c r="F29" s="85">
        <v>187.00281170809052</v>
      </c>
      <c r="G29" s="85">
        <v>187.00281170809052</v>
      </c>
    </row>
    <row r="30" spans="3:7" x14ac:dyDescent="0.2">
      <c r="C30">
        <v>16</v>
      </c>
      <c r="D30" s="8" t="str">
        <v>Dominican Republic</v>
      </c>
      <c r="E30" s="8" t="str">
        <v>Latin America &amp; Caribbean</v>
      </c>
      <c r="F30" s="85">
        <v>191.51208825999299</v>
      </c>
      <c r="G30" s="85">
        <v>191.51208825999299</v>
      </c>
    </row>
    <row r="31" spans="3:7" x14ac:dyDescent="0.2">
      <c r="C31">
        <v>17</v>
      </c>
      <c r="D31" s="8" t="str">
        <v>Ecuador</v>
      </c>
      <c r="E31" s="8" t="str">
        <v>Latin America &amp; Caribbean</v>
      </c>
      <c r="F31" s="85">
        <v>89.04431585911496</v>
      </c>
      <c r="G31" s="85">
        <v>89.04431585911496</v>
      </c>
    </row>
    <row r="32" spans="3:7" x14ac:dyDescent="0.2">
      <c r="C32">
        <v>18</v>
      </c>
      <c r="D32" s="8" t="str">
        <v>Egypt, Arab Rep.</v>
      </c>
      <c r="E32" s="8" t="str">
        <v>Middle East &amp; North Africa</v>
      </c>
      <c r="F32" s="85">
        <v>183.05003240919942</v>
      </c>
      <c r="G32" s="85">
        <v>183.05003240919942</v>
      </c>
    </row>
    <row r="33" spans="3:7" x14ac:dyDescent="0.2">
      <c r="C33">
        <v>19</v>
      </c>
      <c r="D33" s="8" t="str">
        <v>Estonia</v>
      </c>
      <c r="E33" s="8" t="str">
        <v>Europe &amp; Central Asia</v>
      </c>
      <c r="F33" s="85">
        <v>187.00281170809052</v>
      </c>
      <c r="G33" s="85">
        <v>187.00281170809052</v>
      </c>
    </row>
    <row r="34" spans="3:7" x14ac:dyDescent="0.2">
      <c r="C34">
        <v>20</v>
      </c>
      <c r="D34" s="8" t="str">
        <v>Finland</v>
      </c>
      <c r="E34" s="8" t="str">
        <v>Europe &amp; Central Asia</v>
      </c>
      <c r="F34" s="85">
        <v>187.00281170809052</v>
      </c>
      <c r="G34" s="85">
        <v>187.00281170809052</v>
      </c>
    </row>
    <row r="35" spans="3:7" x14ac:dyDescent="0.2">
      <c r="C35">
        <v>21</v>
      </c>
      <c r="D35" s="8" t="str">
        <v>France</v>
      </c>
      <c r="E35" s="8" t="str">
        <v>Europe &amp; Central Asia</v>
      </c>
      <c r="F35" s="85">
        <v>187.00281170809052</v>
      </c>
      <c r="G35" s="85">
        <v>187.00281170809052</v>
      </c>
    </row>
    <row r="36" spans="3:7" x14ac:dyDescent="0.2">
      <c r="C36">
        <v>22</v>
      </c>
      <c r="D36" s="8" t="str">
        <v>Germany</v>
      </c>
      <c r="E36" s="8" t="str">
        <v>Europe &amp; Central Asia</v>
      </c>
      <c r="F36" s="85">
        <v>187.00281170809052</v>
      </c>
      <c r="G36" s="85">
        <v>187.00281170809052</v>
      </c>
    </row>
    <row r="37" spans="3:7" x14ac:dyDescent="0.2">
      <c r="C37">
        <v>23</v>
      </c>
      <c r="D37" s="8" t="str">
        <v>Greece</v>
      </c>
      <c r="E37" s="8" t="str">
        <v>Europe &amp; Central Asia</v>
      </c>
      <c r="F37" s="85">
        <v>178.32133445217278</v>
      </c>
      <c r="G37" s="85">
        <v>178.32133445217278</v>
      </c>
    </row>
    <row r="38" spans="3:7" x14ac:dyDescent="0.2">
      <c r="C38">
        <v>24</v>
      </c>
      <c r="D38" s="8" t="str">
        <v>Guatemala</v>
      </c>
      <c r="E38" s="8" t="str">
        <v>Latin America &amp; Caribbean</v>
      </c>
      <c r="F38" s="85">
        <v>162.06563864305602</v>
      </c>
      <c r="G38" s="85">
        <v>162.06563864305602</v>
      </c>
    </row>
    <row r="39" spans="3:7" x14ac:dyDescent="0.2">
      <c r="C39">
        <v>25</v>
      </c>
      <c r="D39" s="8" t="str">
        <v>Hungary</v>
      </c>
      <c r="E39" s="8" t="str">
        <v>Europe &amp; Central Asia</v>
      </c>
      <c r="F39" s="85">
        <v>187.00281170809052</v>
      </c>
      <c r="G39" s="85">
        <v>187.00281170809052</v>
      </c>
    </row>
    <row r="40" spans="3:7" x14ac:dyDescent="0.2">
      <c r="C40">
        <v>26</v>
      </c>
      <c r="D40" s="8" t="str">
        <v>India</v>
      </c>
      <c r="E40" s="8" t="str">
        <v>South Asia</v>
      </c>
      <c r="F40" s="85">
        <v>183.05003240919942</v>
      </c>
      <c r="G40" s="85">
        <v>183.05003240919942</v>
      </c>
    </row>
    <row r="41" spans="3:7" x14ac:dyDescent="0.2">
      <c r="C41">
        <v>27</v>
      </c>
      <c r="D41" s="8" t="str">
        <v>Indonesia</v>
      </c>
      <c r="E41" s="8" t="str">
        <v>East Asia &amp; Pacific</v>
      </c>
      <c r="F41" s="85">
        <v>191.70380069770326</v>
      </c>
      <c r="G41" s="85">
        <v>191.70380069770326</v>
      </c>
    </row>
    <row r="42" spans="3:7" x14ac:dyDescent="0.2">
      <c r="C42">
        <v>28</v>
      </c>
      <c r="D42" s="8" t="str">
        <v>Ireland</v>
      </c>
      <c r="E42" s="8" t="str">
        <v>Europe &amp; Central Asia</v>
      </c>
      <c r="F42" s="85">
        <v>187.00281170809052</v>
      </c>
      <c r="G42" s="85">
        <v>187.00281170809052</v>
      </c>
    </row>
    <row r="43" spans="3:7" x14ac:dyDescent="0.2">
      <c r="C43">
        <v>29</v>
      </c>
      <c r="D43" s="8" t="str">
        <v>Israel</v>
      </c>
      <c r="E43" s="8" t="str">
        <v>Middle East &amp; North Africa</v>
      </c>
      <c r="F43" s="85">
        <v>183.05003240919942</v>
      </c>
      <c r="G43" s="85">
        <v>183.05003240919942</v>
      </c>
    </row>
    <row r="44" spans="3:7" x14ac:dyDescent="0.2">
      <c r="C44">
        <v>30</v>
      </c>
      <c r="D44" s="8" t="str">
        <v>Italy</v>
      </c>
      <c r="E44" s="8" t="str">
        <v>Europe &amp; Central Asia</v>
      </c>
      <c r="F44" s="85">
        <v>187.00281170809052</v>
      </c>
      <c r="G44" s="85">
        <v>187.00281170809052</v>
      </c>
    </row>
    <row r="45" spans="3:7" x14ac:dyDescent="0.2">
      <c r="C45">
        <v>31</v>
      </c>
      <c r="D45" s="8" t="str">
        <v>Jamaica</v>
      </c>
      <c r="E45" s="8" t="str">
        <v>Latin America &amp; Caribbean</v>
      </c>
      <c r="F45" s="85">
        <v>191.70380069770326</v>
      </c>
      <c r="G45" s="85">
        <v>191.70380069770326</v>
      </c>
    </row>
    <row r="46" spans="3:7" x14ac:dyDescent="0.2">
      <c r="C46">
        <v>32</v>
      </c>
      <c r="D46" s="8" t="str">
        <v>Japan</v>
      </c>
      <c r="E46" s="8" t="str">
        <v>East Asia &amp; Pacific</v>
      </c>
      <c r="F46" s="85">
        <v>187.00281170809052</v>
      </c>
      <c r="G46" s="85">
        <v>187.00281170809052</v>
      </c>
    </row>
    <row r="47" spans="3:7" x14ac:dyDescent="0.2">
      <c r="C47">
        <v>33</v>
      </c>
      <c r="D47" s="8" t="str">
        <v>Jordan</v>
      </c>
      <c r="E47" s="8" t="str">
        <v>Middle East &amp; North Africa</v>
      </c>
      <c r="F47" s="85">
        <v>183.05003240919942</v>
      </c>
      <c r="G47" s="85">
        <v>183.05003240919942</v>
      </c>
    </row>
    <row r="48" spans="3:7" x14ac:dyDescent="0.2">
      <c r="C48">
        <v>34</v>
      </c>
      <c r="D48" s="8" t="str">
        <v>Korea, Rep.</v>
      </c>
      <c r="E48" s="8" t="str">
        <v>East Asia &amp; Pacific</v>
      </c>
      <c r="F48" s="85">
        <v>178.32133445217278</v>
      </c>
      <c r="G48" s="85">
        <v>178.32133445217278</v>
      </c>
    </row>
    <row r="49" spans="3:7" x14ac:dyDescent="0.2">
      <c r="C49">
        <v>35</v>
      </c>
      <c r="D49" s="8" t="str">
        <v>Latvia</v>
      </c>
      <c r="E49" s="8" t="str">
        <v>Europe &amp; Central Asia</v>
      </c>
      <c r="F49" s="85">
        <v>187.00281170809052</v>
      </c>
      <c r="G49" s="85">
        <v>187.00281170809052</v>
      </c>
    </row>
    <row r="50" spans="3:7" x14ac:dyDescent="0.2">
      <c r="C50">
        <v>36</v>
      </c>
      <c r="D50" s="8" t="str">
        <v>Lithuania</v>
      </c>
      <c r="E50" s="8" t="str">
        <v>Europe &amp; Central Asia</v>
      </c>
      <c r="F50" s="85">
        <v>187.00281170809052</v>
      </c>
      <c r="G50" s="85">
        <v>187.00281170809052</v>
      </c>
    </row>
    <row r="51" spans="3:7" x14ac:dyDescent="0.2">
      <c r="C51">
        <v>37</v>
      </c>
      <c r="D51" s="8" t="str">
        <v>Malaysia</v>
      </c>
      <c r="E51" s="8" t="str">
        <v>East Asia &amp; Pacific</v>
      </c>
      <c r="F51" s="85">
        <v>172.44332499552027</v>
      </c>
      <c r="G51" s="85">
        <v>172.44332499552027</v>
      </c>
    </row>
    <row r="52" spans="3:7" x14ac:dyDescent="0.2">
      <c r="C52">
        <v>38</v>
      </c>
      <c r="D52" s="8" t="str">
        <v>Mauritius</v>
      </c>
      <c r="E52" s="8" t="str">
        <v>Sub-Saharan Africa</v>
      </c>
      <c r="F52" s="85">
        <v>9.4643612202311207</v>
      </c>
      <c r="G52" s="85">
        <v>9.4643612202311207</v>
      </c>
    </row>
    <row r="53" spans="3:7" x14ac:dyDescent="0.2">
      <c r="C53">
        <v>39</v>
      </c>
      <c r="D53" s="8" t="str">
        <v>Mexico</v>
      </c>
      <c r="E53" s="8" t="str">
        <v>Latin America &amp; Caribbean</v>
      </c>
      <c r="F53" s="85">
        <v>42.920443416545837</v>
      </c>
      <c r="G53" s="85">
        <v>42.920443416545837</v>
      </c>
    </row>
    <row r="54" spans="3:7" x14ac:dyDescent="0.2">
      <c r="C54">
        <v>40</v>
      </c>
      <c r="D54" s="8" t="str">
        <v>Netherlands</v>
      </c>
      <c r="E54" s="8" t="str">
        <v>Europe &amp; Central Asia</v>
      </c>
      <c r="F54" s="85">
        <v>187.00281170809052</v>
      </c>
      <c r="G54" s="85">
        <v>187.00281170809052</v>
      </c>
    </row>
    <row r="55" spans="3:7" x14ac:dyDescent="0.2">
      <c r="C55">
        <v>41</v>
      </c>
      <c r="D55" s="8" t="str">
        <v>New Zealand</v>
      </c>
      <c r="E55" s="8" t="str">
        <v>East Asia &amp; Pacific</v>
      </c>
      <c r="F55" s="85">
        <v>187.00281170809052</v>
      </c>
      <c r="G55" s="85">
        <v>187.00281170809052</v>
      </c>
    </row>
    <row r="56" spans="3:7" x14ac:dyDescent="0.2">
      <c r="C56">
        <v>42</v>
      </c>
      <c r="D56" s="8" t="str">
        <v>Norway</v>
      </c>
      <c r="E56" s="8" t="str">
        <v>Europe &amp; Central Asia</v>
      </c>
      <c r="F56" s="85">
        <v>180.68162788335823</v>
      </c>
      <c r="G56" s="85">
        <v>180.68162788335823</v>
      </c>
    </row>
    <row r="57" spans="3:7" x14ac:dyDescent="0.2">
      <c r="C57">
        <v>43</v>
      </c>
      <c r="D57" s="8" t="str">
        <v>Panama</v>
      </c>
      <c r="E57" s="8" t="str">
        <v>Latin America &amp; Caribbean</v>
      </c>
      <c r="F57" s="85">
        <v>111.34522424759668</v>
      </c>
      <c r="G57" s="85">
        <v>111.34522424759668</v>
      </c>
    </row>
    <row r="58" spans="3:7" x14ac:dyDescent="0.2">
      <c r="C58">
        <v>44</v>
      </c>
      <c r="D58" s="8" t="str">
        <v>Peru</v>
      </c>
      <c r="E58" s="8" t="str">
        <v>Latin America &amp; Caribbean</v>
      </c>
      <c r="F58" s="85">
        <v>145.42120363021866</v>
      </c>
      <c r="G58" s="85">
        <v>145.42120363021866</v>
      </c>
    </row>
    <row r="59" spans="3:7" x14ac:dyDescent="0.2">
      <c r="C59">
        <v>45</v>
      </c>
      <c r="D59" s="8" t="str">
        <v>Philippines</v>
      </c>
      <c r="E59" s="8" t="str">
        <v>East Asia &amp; Pacific</v>
      </c>
      <c r="F59" s="85">
        <v>191.70380069770326</v>
      </c>
      <c r="G59" s="85">
        <v>191.70380069770326</v>
      </c>
    </row>
    <row r="60" spans="3:7" x14ac:dyDescent="0.2">
      <c r="C60">
        <v>46</v>
      </c>
      <c r="D60" s="8" t="str">
        <v>Poland</v>
      </c>
      <c r="E60" s="8" t="str">
        <v>Europe &amp; Central Asia</v>
      </c>
      <c r="F60" s="85">
        <v>187.00281170809052</v>
      </c>
      <c r="G60" s="85">
        <v>187.00281170809052</v>
      </c>
    </row>
    <row r="61" spans="3:7" x14ac:dyDescent="0.2">
      <c r="C61">
        <v>47</v>
      </c>
      <c r="D61" s="8" t="str">
        <v>Portugal</v>
      </c>
      <c r="E61" s="8" t="str">
        <v>Europe &amp; Central Asia</v>
      </c>
      <c r="F61" s="85">
        <v>178.32133445217278</v>
      </c>
      <c r="G61" s="85">
        <v>178.32133445217278</v>
      </c>
    </row>
    <row r="62" spans="3:7" x14ac:dyDescent="0.2">
      <c r="C62">
        <v>48</v>
      </c>
      <c r="D62" s="8" t="str">
        <v>Romania</v>
      </c>
      <c r="E62" s="8" t="str">
        <v>Europe &amp; Central Asia</v>
      </c>
      <c r="F62" s="85">
        <v>187.00281170809052</v>
      </c>
      <c r="G62" s="85">
        <v>187.00281170809052</v>
      </c>
    </row>
    <row r="63" spans="3:7" x14ac:dyDescent="0.2">
      <c r="C63">
        <v>49</v>
      </c>
      <c r="D63" s="8" t="str">
        <v>Russian Federation</v>
      </c>
      <c r="E63" s="8" t="str">
        <v>Europe &amp; Central Asia</v>
      </c>
      <c r="F63" s="85">
        <v>187.00281170809052</v>
      </c>
      <c r="G63" s="85">
        <v>187.00281170809052</v>
      </c>
    </row>
    <row r="64" spans="3:7" x14ac:dyDescent="0.2">
      <c r="C64">
        <v>50</v>
      </c>
      <c r="D64" s="8" t="str">
        <v>Slovak Republic</v>
      </c>
      <c r="E64" s="8" t="str">
        <v>Europe &amp; Central Asia</v>
      </c>
      <c r="F64" s="85">
        <v>187.00281170809052</v>
      </c>
      <c r="G64" s="85">
        <v>187.00281170809052</v>
      </c>
    </row>
    <row r="65" spans="3:7" x14ac:dyDescent="0.2">
      <c r="C65">
        <v>51</v>
      </c>
      <c r="D65" s="8" t="str">
        <v>Slovenia</v>
      </c>
      <c r="E65" s="8" t="str">
        <v>Europe &amp; Central Asia</v>
      </c>
      <c r="F65" s="85">
        <v>187.00281170809052</v>
      </c>
      <c r="G65" s="85">
        <v>187.00281170809052</v>
      </c>
    </row>
    <row r="66" spans="3:7" x14ac:dyDescent="0.2">
      <c r="C66">
        <v>52</v>
      </c>
      <c r="D66" s="8" t="str">
        <v>South Africa</v>
      </c>
      <c r="E66" s="8" t="str">
        <v>Sub-Saharan Africa</v>
      </c>
      <c r="F66" s="85">
        <v>183.05003240919942</v>
      </c>
      <c r="G66" s="85">
        <v>183.05003240919942</v>
      </c>
    </row>
    <row r="67" spans="3:7" x14ac:dyDescent="0.2">
      <c r="C67">
        <v>53</v>
      </c>
      <c r="D67" s="8" t="str">
        <v>Spain</v>
      </c>
      <c r="E67" s="8" t="str">
        <v>Europe &amp; Central Asia</v>
      </c>
      <c r="F67" s="85">
        <v>183.05003240919942</v>
      </c>
      <c r="G67" s="85">
        <v>183.05003240919942</v>
      </c>
    </row>
    <row r="68" spans="3:7" x14ac:dyDescent="0.2">
      <c r="C68">
        <v>54</v>
      </c>
      <c r="D68" s="8" t="str">
        <v>Sri Lanka</v>
      </c>
      <c r="E68" s="8" t="str">
        <v>South Asia</v>
      </c>
      <c r="F68" s="85">
        <v>183.05003240919942</v>
      </c>
      <c r="G68" s="85">
        <v>183.05003240919942</v>
      </c>
    </row>
    <row r="69" spans="3:7" x14ac:dyDescent="0.2">
      <c r="C69">
        <v>55</v>
      </c>
      <c r="D69" s="8" t="str">
        <v>Sweden</v>
      </c>
      <c r="E69" s="8" t="str">
        <v>Europe &amp; Central Asia</v>
      </c>
      <c r="F69" s="85">
        <v>187.00281170809052</v>
      </c>
      <c r="G69" s="85">
        <v>187.00281170809052</v>
      </c>
    </row>
    <row r="70" spans="3:7" x14ac:dyDescent="0.2">
      <c r="C70">
        <v>56</v>
      </c>
      <c r="D70" s="8" t="str">
        <v>Thailand</v>
      </c>
      <c r="E70" s="8" t="str">
        <v>East Asia &amp; Pacific</v>
      </c>
      <c r="F70" s="85">
        <v>183.05003240919942</v>
      </c>
      <c r="G70" s="85">
        <v>183.05003240919942</v>
      </c>
    </row>
    <row r="71" spans="3:7" x14ac:dyDescent="0.2">
      <c r="C71">
        <v>57</v>
      </c>
      <c r="D71" s="8" t="str">
        <v>Ukraine</v>
      </c>
      <c r="E71" s="8" t="str">
        <v>Europe &amp; Central Asia</v>
      </c>
      <c r="F71" s="85">
        <v>187.00281170809052</v>
      </c>
      <c r="G71" s="85">
        <v>187.00281170809052</v>
      </c>
    </row>
    <row r="72" spans="3:7" x14ac:dyDescent="0.2">
      <c r="C72">
        <v>58</v>
      </c>
      <c r="D72" s="8" t="str">
        <v>United Kingdom</v>
      </c>
      <c r="E72" s="8" t="str">
        <v>Europe &amp; Central Asia</v>
      </c>
      <c r="F72" s="85">
        <v>187.00281170809052</v>
      </c>
      <c r="G72" s="85">
        <v>187.00281170809052</v>
      </c>
    </row>
    <row r="73" spans="3:7" x14ac:dyDescent="0.2">
      <c r="C73">
        <v>59</v>
      </c>
      <c r="D73" s="8" t="str">
        <v>United States</v>
      </c>
      <c r="E73" s="8" t="str">
        <v>North America</v>
      </c>
      <c r="F73" s="85">
        <v>187.00281170809052</v>
      </c>
      <c r="G73" s="85">
        <v>187.00281170809052</v>
      </c>
    </row>
    <row r="74" spans="3:7" x14ac:dyDescent="0.2">
      <c r="C74">
        <v>60</v>
      </c>
      <c r="D74" s="8" t="str">
        <v>Uruguay</v>
      </c>
      <c r="E74" s="8" t="str">
        <v>Latin America &amp; Caribbean</v>
      </c>
      <c r="F74" s="85">
        <v>167.34949443268115</v>
      </c>
      <c r="G74" s="85">
        <v>167.34949443268115</v>
      </c>
    </row>
    <row r="75" spans="3:7" x14ac:dyDescent="0.2">
      <c r="C75">
        <v>61</v>
      </c>
      <c r="D75" s="8" t="str">
        <v>Venezuela, RB</v>
      </c>
      <c r="E75" s="8" t="str">
        <v>Latin America &amp; Caribbean</v>
      </c>
      <c r="F75" s="85">
        <v>183.05003240919942</v>
      </c>
      <c r="G75" s="85">
        <v>183.05003240919942</v>
      </c>
    </row>
    <row r="76" spans="3:7" x14ac:dyDescent="0.2">
      <c r="C76">
        <v>62</v>
      </c>
      <c r="D76" s="8" t="str">
        <v>Viet Nam</v>
      </c>
      <c r="E76" s="8" t="str">
        <v>East Asia &amp; Pacific</v>
      </c>
      <c r="F76" s="85">
        <v>178.32133445217278</v>
      </c>
      <c r="G76" s="85">
        <v>178.32133445217278</v>
      </c>
    </row>
  </sheetData>
  <autoFilter ref="D14:G76" xr:uid="{AA88CA78-19F0-44D9-87FD-BB6E782E7A64}"/>
  <mergeCells count="1">
    <mergeCell ref="B5:D8"/>
  </mergeCells>
  <dataValidations count="2">
    <dataValidation type="list" allowBlank="1" showInputMessage="1" showErrorMessage="1" sqref="G4" xr:uid="{24009B96-3FB7-4F2D-A8D5-670BCA6A0D28}">
      <formula1>"Food waste, Garden, Paper, Wood and straw, Textiles, Sewage slude, Rubber, Industrial waste"</formula1>
    </dataValidation>
    <dataValidation type="list" allowBlank="1" showInputMessage="1" showErrorMessage="1" sqref="F4" xr:uid="{E051DA80-4FB3-4994-9AC4-673BCC50B21D}">
      <formula1>MGR_WasteTypes</formula1>
    </dataValidation>
  </dataValidations>
  <hyperlinks>
    <hyperlink ref="E11" r:id="rId1" xr:uid="{8D6C4956-1760-47DA-BB6A-119C1BCABE35}"/>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363" r:id="rId5" name="Button 3">
              <controlPr defaultSize="0" print="0" autoFill="0" autoPict="0" macro="[0]!IPCC_Model">
                <anchor moveWithCells="1" sizeWithCells="1">
                  <from>
                    <xdr:col>7</xdr:col>
                    <xdr:colOff>368300</xdr:colOff>
                    <xdr:row>2</xdr:row>
                    <xdr:rowOff>38100</xdr:rowOff>
                  </from>
                  <to>
                    <xdr:col>10</xdr:col>
                    <xdr:colOff>368300</xdr:colOff>
                    <xdr:row>5</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81241-9F4D-42C4-8599-9CC9E3ED5478}">
  <sheetPr codeName="Sheet12">
    <tabColor theme="7" tint="0.59999389629810485"/>
  </sheetPr>
  <dimension ref="B1:V116"/>
  <sheetViews>
    <sheetView showGridLines="0" zoomScaleNormal="100" workbookViewId="0"/>
  </sheetViews>
  <sheetFormatPr baseColWidth="10" defaultColWidth="8.83203125" defaultRowHeight="15" x14ac:dyDescent="0.2"/>
  <cols>
    <col min="2" max="2" width="26.5" customWidth="1"/>
    <col min="3" max="3" width="8.83203125" customWidth="1"/>
    <col min="4" max="4" width="12.83203125" customWidth="1"/>
    <col min="5" max="5" width="33.5" customWidth="1"/>
    <col min="6" max="7" width="19.83203125" customWidth="1"/>
    <col min="8" max="8" width="21.5" customWidth="1"/>
    <col min="9" max="9" width="20.1640625" customWidth="1"/>
    <col min="10" max="10" width="21.5" customWidth="1"/>
    <col min="11" max="11" width="17.83203125" customWidth="1"/>
    <col min="12" max="12" width="23.1640625" customWidth="1"/>
    <col min="13" max="13" width="18.83203125" customWidth="1"/>
    <col min="14" max="14" width="17.5" customWidth="1"/>
    <col min="15" max="16" width="12.5" customWidth="1"/>
    <col min="17" max="17" width="45.5" customWidth="1"/>
    <col min="18" max="18" width="20.83203125" customWidth="1"/>
    <col min="19" max="19" width="31" customWidth="1"/>
    <col min="20" max="20" width="34.5" customWidth="1"/>
    <col min="21" max="21" width="17.1640625" customWidth="1"/>
    <col min="22" max="22" width="20.5" customWidth="1"/>
  </cols>
  <sheetData>
    <row r="1" spans="2:21" ht="21" x14ac:dyDescent="0.25">
      <c r="B1" s="1"/>
    </row>
    <row r="2" spans="2:21" ht="21" x14ac:dyDescent="0.25">
      <c r="B2" s="1" t="s">
        <v>823</v>
      </c>
    </row>
    <row r="4" spans="2:21" x14ac:dyDescent="0.2">
      <c r="B4" s="3" t="s">
        <v>3</v>
      </c>
      <c r="Q4" s="19" t="s">
        <v>362</v>
      </c>
      <c r="T4" s="19" t="s">
        <v>370</v>
      </c>
    </row>
    <row r="5" spans="2:21" ht="14.5" customHeight="1" x14ac:dyDescent="0.2">
      <c r="B5" s="365" t="s">
        <v>849</v>
      </c>
      <c r="C5" s="366"/>
      <c r="D5" s="366"/>
      <c r="E5" s="366"/>
      <c r="Q5" s="17" t="s">
        <v>546</v>
      </c>
      <c r="R5" s="13">
        <v>62</v>
      </c>
    </row>
    <row r="6" spans="2:21" x14ac:dyDescent="0.2">
      <c r="B6" s="366"/>
      <c r="C6" s="366"/>
      <c r="D6" s="366"/>
      <c r="E6" s="366"/>
      <c r="Q6" s="17" t="s">
        <v>0</v>
      </c>
      <c r="R6" s="72" t="str">
        <f>INDEX(ModifiedCountries,MATCH(IPCC_LocationID,LF_GHG_IPCCID,0))</f>
        <v>Viet Nam</v>
      </c>
      <c r="T6" s="17" t="s">
        <v>302</v>
      </c>
      <c r="U6" s="40">
        <f>Assump_ConversionCCH4</f>
        <v>1.33</v>
      </c>
    </row>
    <row r="7" spans="2:21" x14ac:dyDescent="0.2">
      <c r="B7" s="366"/>
      <c r="C7" s="366"/>
      <c r="D7" s="366"/>
      <c r="E7" s="366"/>
      <c r="Q7" s="17" t="s">
        <v>367</v>
      </c>
      <c r="R7" s="40" t="str">
        <f>INDEX(Input_IPCCZones,MATCH(R6,Input_countries,0))</f>
        <v>Dry temperate</v>
      </c>
      <c r="T7" s="17" t="s">
        <v>303</v>
      </c>
      <c r="U7" s="40">
        <f>Assump_GWPConversion</f>
        <v>28</v>
      </c>
    </row>
    <row r="8" spans="2:21" x14ac:dyDescent="0.2">
      <c r="Q8" s="28" t="s">
        <v>393</v>
      </c>
      <c r="R8" s="72" t="str">
        <f>LandfillGHG_WasteInput</f>
        <v>Industrial waste</v>
      </c>
      <c r="T8" s="17" t="s">
        <v>304</v>
      </c>
      <c r="U8" s="40">
        <f>Assump_SCC</f>
        <v>236</v>
      </c>
    </row>
    <row r="9" spans="2:21" x14ac:dyDescent="0.2">
      <c r="Q9" s="17" t="s">
        <v>405</v>
      </c>
      <c r="R9" s="144" t="s">
        <v>406</v>
      </c>
      <c r="T9" s="17" t="s">
        <v>408</v>
      </c>
      <c r="U9" s="40">
        <f>Assump_SCCGrowth</f>
        <v>1.5</v>
      </c>
    </row>
    <row r="10" spans="2:21" x14ac:dyDescent="0.2">
      <c r="E10" s="19" t="s">
        <v>534</v>
      </c>
      <c r="Q10" s="17" t="s">
        <v>363</v>
      </c>
      <c r="R10" s="40" t="str">
        <f>IF(R9="Hazardous",INDEX(Input_HMethaneCaptured,MATCH(R6,Input_countries,0)),INDEX(Input_NHMethaneCaptured,MATCH(R6,Input_countries,0)))</f>
        <v/>
      </c>
      <c r="T10" s="17" t="s">
        <v>306</v>
      </c>
      <c r="U10" s="40">
        <f>Assump_DiscountRate</f>
        <v>0.02</v>
      </c>
    </row>
    <row r="11" spans="2:21" x14ac:dyDescent="0.2">
      <c r="E11" s="99" t="s">
        <v>360</v>
      </c>
      <c r="F11" s="101"/>
      <c r="G11" s="102"/>
      <c r="H11" s="102"/>
      <c r="I11" s="326" t="s">
        <v>360</v>
      </c>
      <c r="J11" s="326" t="str">
        <f>INDEX(MGR_DOC,MATCH(LandfillGHG_WasteInput,MGR_WasteTypes,0))</f>
        <v>0.15</v>
      </c>
      <c r="L11" s="18"/>
      <c r="Q11" s="17" t="s">
        <v>364</v>
      </c>
      <c r="R11" s="40" t="str">
        <f>IF(R9="Hazardous",INDEX(Input_HMethaneBurned,MATCH(R6,Input_countries,0)),INDEX(Input_NHMethaneBurned,MATCH(R6,Input_countries,0)))</f>
        <v/>
      </c>
      <c r="T11" s="17" t="s">
        <v>310</v>
      </c>
      <c r="U11" s="40">
        <f>Assump_GgTonne</f>
        <v>1000</v>
      </c>
    </row>
    <row r="12" spans="2:21" x14ac:dyDescent="0.2">
      <c r="E12" s="99" t="s">
        <v>361</v>
      </c>
      <c r="F12" s="101"/>
      <c r="G12" s="102"/>
      <c r="H12" s="102"/>
      <c r="I12" s="326" t="s">
        <v>361</v>
      </c>
      <c r="J12" s="326">
        <f>Assump_DOCf</f>
        <v>0.5</v>
      </c>
      <c r="Q12" s="17" t="s">
        <v>365</v>
      </c>
      <c r="R12" s="40">
        <f>INDEX(Input_CO2grid,MATCH(R6,Input_countries,0))</f>
        <v>4.0980071999999998E-4</v>
      </c>
      <c r="T12" s="17" t="s">
        <v>366</v>
      </c>
      <c r="U12" s="40">
        <f>Assump_EnergyPot_Landfill</f>
        <v>65</v>
      </c>
    </row>
    <row r="13" spans="2:21" x14ac:dyDescent="0.2">
      <c r="E13" s="99" t="s">
        <v>540</v>
      </c>
      <c r="F13" s="101"/>
      <c r="G13" s="102"/>
      <c r="H13" s="102"/>
      <c r="I13" s="326" t="s">
        <v>535</v>
      </c>
      <c r="J13" s="326">
        <f>INDEX(MGR_k,MATCH(LandfillGHG_WasteInput,MGR_WasteTypes,0),MATCH(LandfillGHG_ClimateZone,MGR_ClimateZone,0))</f>
        <v>0.05</v>
      </c>
    </row>
    <row r="14" spans="2:21" x14ac:dyDescent="0.2">
      <c r="E14" s="99" t="s">
        <v>541</v>
      </c>
      <c r="F14" s="101"/>
      <c r="G14" s="102"/>
      <c r="H14" s="102"/>
      <c r="I14" s="326" t="s">
        <v>536</v>
      </c>
      <c r="J14" s="326">
        <f>LN(2)/J13</f>
        <v>13.862943611198904</v>
      </c>
      <c r="Q14" s="35" t="s">
        <v>409</v>
      </c>
    </row>
    <row r="15" spans="2:21" x14ac:dyDescent="0.2">
      <c r="E15" s="99" t="s">
        <v>542</v>
      </c>
      <c r="F15" s="101"/>
      <c r="G15" s="102"/>
      <c r="H15" s="102"/>
      <c r="I15" s="326" t="s">
        <v>537</v>
      </c>
      <c r="J15" s="326">
        <f>EXP(-J13)</f>
        <v>0.95122942450071402</v>
      </c>
      <c r="Q15" s="36">
        <f>IFERROR(V24/(D24*U11),"No value")</f>
        <v>178.32133445217278</v>
      </c>
    </row>
    <row r="16" spans="2:21" x14ac:dyDescent="0.2">
      <c r="B16" s="194"/>
      <c r="E16" s="99" t="s">
        <v>543</v>
      </c>
      <c r="F16" s="101"/>
      <c r="G16" s="102"/>
      <c r="H16" s="102"/>
      <c r="I16" s="326" t="s">
        <v>255</v>
      </c>
      <c r="J16" s="326">
        <f>Assump_StartMonth</f>
        <v>13</v>
      </c>
    </row>
    <row r="17" spans="2:22" x14ac:dyDescent="0.2">
      <c r="B17" s="194"/>
      <c r="E17" s="99" t="s">
        <v>544</v>
      </c>
      <c r="F17" s="101"/>
      <c r="G17" s="102"/>
      <c r="H17" s="102"/>
      <c r="I17" s="326" t="s">
        <v>538</v>
      </c>
      <c r="J17" s="326">
        <f>EXP(-J13*((13-J16)/12))</f>
        <v>1</v>
      </c>
    </row>
    <row r="18" spans="2:22" x14ac:dyDescent="0.2">
      <c r="B18" s="195"/>
      <c r="C18" s="16"/>
      <c r="E18" s="99" t="s">
        <v>545</v>
      </c>
      <c r="F18" s="101"/>
      <c r="G18" s="102"/>
      <c r="H18" s="102"/>
      <c r="I18" s="326" t="s">
        <v>539</v>
      </c>
      <c r="J18" s="326">
        <f>Assump_FractionMethane</f>
        <v>0.5</v>
      </c>
    </row>
    <row r="19" spans="2:22" x14ac:dyDescent="0.2">
      <c r="B19" s="194"/>
    </row>
    <row r="20" spans="2:22" ht="16" thickBot="1" x14ac:dyDescent="0.25">
      <c r="B20" s="196" t="s">
        <v>793</v>
      </c>
      <c r="C20" s="16"/>
      <c r="D20" s="171"/>
      <c r="E20" s="232" t="s">
        <v>371</v>
      </c>
      <c r="F20" s="233"/>
      <c r="G20" s="233"/>
      <c r="H20" s="233"/>
      <c r="I20" s="233"/>
      <c r="J20" s="233"/>
      <c r="K20" s="234"/>
      <c r="L20" s="240" t="s">
        <v>372</v>
      </c>
      <c r="M20" s="235"/>
      <c r="N20" s="236"/>
      <c r="O20" s="237" t="s">
        <v>373</v>
      </c>
      <c r="P20" s="238"/>
      <c r="Q20" s="238"/>
      <c r="R20" s="239"/>
      <c r="S20" s="239"/>
    </row>
    <row r="21" spans="2:22" ht="32" x14ac:dyDescent="0.2">
      <c r="B21" s="196" t="s">
        <v>794</v>
      </c>
      <c r="C21" s="20" t="s">
        <v>16</v>
      </c>
      <c r="D21" s="12" t="s">
        <v>374</v>
      </c>
      <c r="E21" s="265"/>
      <c r="F21" s="273" t="s">
        <v>776</v>
      </c>
      <c r="G21" s="251" t="s">
        <v>777</v>
      </c>
      <c r="H21" s="251" t="s">
        <v>778</v>
      </c>
      <c r="I21" s="251" t="s">
        <v>779</v>
      </c>
      <c r="J21" s="251" t="s">
        <v>780</v>
      </c>
      <c r="K21" s="252" t="s">
        <v>781</v>
      </c>
      <c r="L21" s="269" t="s">
        <v>375</v>
      </c>
      <c r="M21" s="21" t="s">
        <v>376</v>
      </c>
      <c r="N21" s="21" t="s">
        <v>377</v>
      </c>
      <c r="O21" s="21" t="s">
        <v>378</v>
      </c>
      <c r="P21" s="21" t="s">
        <v>379</v>
      </c>
      <c r="Q21" s="21" t="s">
        <v>380</v>
      </c>
      <c r="R21" s="21" t="s">
        <v>381</v>
      </c>
      <c r="S21" s="21" t="s">
        <v>382</v>
      </c>
      <c r="T21" s="21" t="s">
        <v>383</v>
      </c>
      <c r="U21" s="21" t="s">
        <v>384</v>
      </c>
      <c r="V21" s="21" t="s">
        <v>385</v>
      </c>
    </row>
    <row r="22" spans="2:22" x14ac:dyDescent="0.2">
      <c r="B22" s="196" t="s">
        <v>795</v>
      </c>
      <c r="C22" s="22"/>
      <c r="D22" s="23" t="s">
        <v>386</v>
      </c>
      <c r="E22" s="266"/>
      <c r="F22" s="274" t="s">
        <v>782</v>
      </c>
      <c r="G22" s="253" t="s">
        <v>783</v>
      </c>
      <c r="H22" s="253" t="s">
        <v>784</v>
      </c>
      <c r="I22" s="253" t="s">
        <v>785</v>
      </c>
      <c r="J22" s="253" t="s">
        <v>786</v>
      </c>
      <c r="K22" s="254" t="s">
        <v>787</v>
      </c>
      <c r="L22" s="270"/>
      <c r="M22" s="23"/>
      <c r="N22" s="23"/>
      <c r="O22" s="23"/>
      <c r="P22" s="23"/>
      <c r="Q22" s="23"/>
      <c r="R22" s="23"/>
      <c r="S22" s="23"/>
      <c r="T22" s="23"/>
      <c r="U22" s="23"/>
      <c r="V22" s="23"/>
    </row>
    <row r="23" spans="2:22" ht="16" x14ac:dyDescent="0.2">
      <c r="B23" s="196" t="s">
        <v>796</v>
      </c>
      <c r="C23" s="22"/>
      <c r="D23" s="23" t="s">
        <v>387</v>
      </c>
      <c r="E23" s="266"/>
      <c r="F23" s="275" t="s">
        <v>387</v>
      </c>
      <c r="G23" s="259" t="s">
        <v>387</v>
      </c>
      <c r="H23" s="259" t="s">
        <v>387</v>
      </c>
      <c r="I23" s="259" t="s">
        <v>387</v>
      </c>
      <c r="J23" s="259" t="s">
        <v>387</v>
      </c>
      <c r="K23" s="264" t="s">
        <v>387</v>
      </c>
      <c r="L23" s="270" t="s">
        <v>388</v>
      </c>
      <c r="M23" s="23" t="s">
        <v>388</v>
      </c>
      <c r="N23" s="23" t="s">
        <v>388</v>
      </c>
      <c r="O23" s="23" t="s">
        <v>389</v>
      </c>
      <c r="P23" s="23" t="s">
        <v>388</v>
      </c>
      <c r="Q23" s="23" t="s">
        <v>284</v>
      </c>
      <c r="R23" s="23" t="s">
        <v>388</v>
      </c>
      <c r="S23" s="23" t="s">
        <v>388</v>
      </c>
      <c r="T23" s="23" t="s">
        <v>390</v>
      </c>
      <c r="U23" s="23" t="s">
        <v>390</v>
      </c>
      <c r="V23" s="23" t="s">
        <v>390</v>
      </c>
    </row>
    <row r="24" spans="2:22" ht="16" thickBot="1" x14ac:dyDescent="0.25">
      <c r="B24" s="196" t="s">
        <v>797</v>
      </c>
      <c r="C24" s="22"/>
      <c r="D24" s="23">
        <f>SUM(D25:D115)</f>
        <v>1</v>
      </c>
      <c r="E24" s="267"/>
      <c r="F24" s="283"/>
      <c r="G24" s="284"/>
      <c r="H24" s="284"/>
      <c r="I24" s="287">
        <v>0</v>
      </c>
      <c r="J24" s="284"/>
      <c r="K24" s="285">
        <f>SUM(K25:K115)</f>
        <v>2.9592563278593113E-2</v>
      </c>
      <c r="L24" s="288">
        <f>SUM(L25:L115)</f>
        <v>29.592563278593119</v>
      </c>
      <c r="M24" s="289">
        <f>SUM(M25:M115)</f>
        <v>29.592563278593119</v>
      </c>
      <c r="N24" s="289">
        <f>SUM(N25:N115)</f>
        <v>828.59177180060681</v>
      </c>
      <c r="O24" s="179">
        <f>IF(OR(R10="",R11=""),0,D24*U11*U12*R10*R11)</f>
        <v>0</v>
      </c>
      <c r="P24" s="179">
        <f>O24*R12</f>
        <v>0</v>
      </c>
      <c r="Q24" s="25">
        <f>SUM(Q25:Q115)</f>
        <v>0.99999999999999978</v>
      </c>
      <c r="R24" s="24"/>
      <c r="S24" s="24"/>
      <c r="T24" s="24"/>
      <c r="U24" s="24"/>
      <c r="V24" s="26">
        <f>IF(SUM(V25:V115)=0,"No value",SUM(V25:V115))</f>
        <v>178321.33445217277</v>
      </c>
    </row>
    <row r="25" spans="2:22" x14ac:dyDescent="0.2">
      <c r="B25" s="194"/>
      <c r="C25" s="13">
        <v>0</v>
      </c>
      <c r="D25" s="13">
        <v>1</v>
      </c>
      <c r="E25" s="268">
        <f t="shared" ref="E25:E56" si="0">Assump_MCF</f>
        <v>0.6</v>
      </c>
      <c r="F25" s="286">
        <f>D25*$J$11*$J$12*E25</f>
        <v>4.4999999999999998E-2</v>
      </c>
      <c r="G25" s="255">
        <f>F25*$J$17</f>
        <v>4.4999999999999998E-2</v>
      </c>
      <c r="H25" s="256">
        <f>F25*(1-$J$17)</f>
        <v>0</v>
      </c>
      <c r="I25" s="257">
        <f>G25+(I24*$J$15)</f>
        <v>4.4999999999999998E-2</v>
      </c>
      <c r="J25" s="257">
        <f>H25+(I24*(1-$J$15))</f>
        <v>0</v>
      </c>
      <c r="K25" s="258">
        <f>$J$18*$U$6*J25</f>
        <v>0</v>
      </c>
      <c r="L25" s="263">
        <f t="shared" ref="L25:L56" si="1">K25*U$11</f>
        <v>0</v>
      </c>
      <c r="M25" s="141">
        <f t="shared" ref="M25:M56" si="2">IF($R$10="",L25,L25*(1-$R$10))</f>
        <v>0</v>
      </c>
      <c r="N25" s="29">
        <f t="shared" ref="N25:N56" si="3">M25*$U$7</f>
        <v>0</v>
      </c>
      <c r="O25" s="22"/>
      <c r="P25" s="22"/>
      <c r="Q25" s="31">
        <f>K25/$K$24</f>
        <v>0</v>
      </c>
      <c r="R25" s="32">
        <f>IFERROR($P$24*Q25,"No value")</f>
        <v>0</v>
      </c>
      <c r="S25" s="32">
        <f>IFERROR(N25-R25,"No value")</f>
        <v>0</v>
      </c>
      <c r="T25" s="33">
        <f>U8</f>
        <v>236</v>
      </c>
      <c r="U25" s="157">
        <f t="shared" ref="U25:U56" si="4">T25/((1+$U$10)^(C25))</f>
        <v>236</v>
      </c>
      <c r="V25" s="37">
        <f>IFERROR(S25*U25,"No value")</f>
        <v>0</v>
      </c>
    </row>
    <row r="26" spans="2:22" x14ac:dyDescent="0.2">
      <c r="B26" s="194"/>
      <c r="C26" s="13">
        <v>1</v>
      </c>
      <c r="D26" s="22"/>
      <c r="E26" s="268">
        <f t="shared" si="0"/>
        <v>0.6</v>
      </c>
      <c r="F26" s="276">
        <f t="shared" ref="F26:F89" si="5">D26*$J$11*$J$12*E26</f>
        <v>0</v>
      </c>
      <c r="G26" s="260">
        <f t="shared" ref="G26:G89" si="6">F26*$J$17</f>
        <v>0</v>
      </c>
      <c r="H26" s="261">
        <f t="shared" ref="H26:H89" si="7">F26*(1-$J$17)</f>
        <v>0</v>
      </c>
      <c r="I26" s="262">
        <f t="shared" ref="I26:I89" si="8">G26+(I25*$J$15)</f>
        <v>4.2805324102532127E-2</v>
      </c>
      <c r="J26" s="262">
        <f t="shared" ref="J26:J89" si="9">H26+(I25*(1-$J$15))</f>
        <v>2.1946758974678692E-3</v>
      </c>
      <c r="K26" s="277">
        <f t="shared" ref="K26:K89" si="10">$J$18*$U$6*J26</f>
        <v>1.459459471816133E-3</v>
      </c>
      <c r="L26" s="263">
        <f t="shared" si="1"/>
        <v>1.4594594718161331</v>
      </c>
      <c r="M26" s="141">
        <f t="shared" si="2"/>
        <v>1.4594594718161331</v>
      </c>
      <c r="N26" s="29">
        <f t="shared" si="3"/>
        <v>40.864865210851725</v>
      </c>
      <c r="O26" s="22"/>
      <c r="P26" s="22"/>
      <c r="Q26" s="31">
        <f t="shared" ref="Q26:Q89" si="11">K26/$K$24</f>
        <v>4.9318454034425856E-2</v>
      </c>
      <c r="R26" s="32">
        <f t="shared" ref="R26:R89" si="12">IFERROR($P$24*Q26,"No value")</f>
        <v>0</v>
      </c>
      <c r="S26" s="32">
        <f t="shared" ref="S26:S89" si="13">IFERROR(N26-R26,"No value")</f>
        <v>40.864865210851725</v>
      </c>
      <c r="T26" s="34">
        <f t="shared" ref="T26:T57" si="14">T25*(1+$U$9/100)</f>
        <v>239.53999999999996</v>
      </c>
      <c r="U26" s="157">
        <f t="shared" si="4"/>
        <v>234.84313725490193</v>
      </c>
      <c r="V26" s="37">
        <f t="shared" ref="V26:V89" si="15">IFERROR(S26*U26,"No value")</f>
        <v>9596.8331496151186</v>
      </c>
    </row>
    <row r="27" spans="2:22" x14ac:dyDescent="0.2">
      <c r="B27" s="194"/>
      <c r="C27" s="13">
        <v>2</v>
      </c>
      <c r="D27" s="22"/>
      <c r="E27" s="268">
        <f t="shared" si="0"/>
        <v>0.6</v>
      </c>
      <c r="F27" s="276">
        <f t="shared" si="5"/>
        <v>0</v>
      </c>
      <c r="G27" s="260">
        <f t="shared" si="6"/>
        <v>0</v>
      </c>
      <c r="H27" s="261">
        <f t="shared" si="7"/>
        <v>0</v>
      </c>
      <c r="I27" s="262">
        <f t="shared" si="8"/>
        <v>4.071768381161818E-2</v>
      </c>
      <c r="J27" s="262">
        <f t="shared" si="9"/>
        <v>2.0876402909139492E-3</v>
      </c>
      <c r="K27" s="277">
        <f t="shared" si="10"/>
        <v>1.3882807934577762E-3</v>
      </c>
      <c r="L27" s="263">
        <f>K27*U$11</f>
        <v>1.3882807934577763</v>
      </c>
      <c r="M27" s="141">
        <f t="shared" si="2"/>
        <v>1.3882807934577763</v>
      </c>
      <c r="N27" s="29">
        <f>M27*$U$7</f>
        <v>38.871862216817739</v>
      </c>
      <c r="O27" s="22"/>
      <c r="P27" s="22"/>
      <c r="Q27" s="31">
        <f t="shared" si="11"/>
        <v>4.6913164648431829E-2</v>
      </c>
      <c r="R27" s="32">
        <f t="shared" si="12"/>
        <v>0</v>
      </c>
      <c r="S27" s="32">
        <f t="shared" si="13"/>
        <v>38.871862216817739</v>
      </c>
      <c r="T27" s="34">
        <f t="shared" si="14"/>
        <v>243.13309999999993</v>
      </c>
      <c r="U27" s="157">
        <f t="shared" si="4"/>
        <v>233.69194540561315</v>
      </c>
      <c r="V27" s="37">
        <f t="shared" si="15"/>
        <v>9084.0411029870884</v>
      </c>
    </row>
    <row r="28" spans="2:22" x14ac:dyDescent="0.2">
      <c r="B28" s="194"/>
      <c r="C28" s="13">
        <v>3</v>
      </c>
      <c r="D28" s="22"/>
      <c r="E28" s="268">
        <f t="shared" si="0"/>
        <v>0.6</v>
      </c>
      <c r="F28" s="276">
        <f t="shared" si="5"/>
        <v>0</v>
      </c>
      <c r="G28" s="260">
        <f t="shared" si="6"/>
        <v>0</v>
      </c>
      <c r="H28" s="261">
        <f t="shared" si="7"/>
        <v>0</v>
      </c>
      <c r="I28" s="262">
        <f t="shared" si="8"/>
        <v>3.8731858939127603E-2</v>
      </c>
      <c r="J28" s="262">
        <f t="shared" si="9"/>
        <v>1.9858248724905791E-3</v>
      </c>
      <c r="K28" s="277">
        <f t="shared" si="10"/>
        <v>1.3205735402062352E-3</v>
      </c>
      <c r="L28" s="263">
        <f t="shared" si="1"/>
        <v>1.3205735402062353</v>
      </c>
      <c r="M28" s="141">
        <f t="shared" si="2"/>
        <v>1.3205735402062353</v>
      </c>
      <c r="N28" s="29">
        <f t="shared" si="3"/>
        <v>36.97605912577459</v>
      </c>
      <c r="O28" s="22"/>
      <c r="P28" s="22"/>
      <c r="Q28" s="31">
        <f t="shared" si="11"/>
        <v>4.462518261003505E-2</v>
      </c>
      <c r="R28" s="32">
        <f t="shared" si="12"/>
        <v>0</v>
      </c>
      <c r="S28" s="32">
        <f t="shared" si="13"/>
        <v>36.97605912577459</v>
      </c>
      <c r="T28" s="34">
        <f t="shared" si="14"/>
        <v>246.7800964999999</v>
      </c>
      <c r="U28" s="157">
        <f t="shared" si="4"/>
        <v>232.54639665362484</v>
      </c>
      <c r="V28" s="37">
        <f t="shared" si="15"/>
        <v>8598.6493121502626</v>
      </c>
    </row>
    <row r="29" spans="2:22" x14ac:dyDescent="0.2">
      <c r="B29" s="194"/>
      <c r="C29" s="13">
        <v>4</v>
      </c>
      <c r="D29" s="22"/>
      <c r="E29" s="268">
        <f t="shared" si="0"/>
        <v>0.6</v>
      </c>
      <c r="F29" s="276">
        <f t="shared" si="5"/>
        <v>0</v>
      </c>
      <c r="G29" s="260">
        <f t="shared" si="6"/>
        <v>0</v>
      </c>
      <c r="H29" s="261">
        <f t="shared" si="7"/>
        <v>0</v>
      </c>
      <c r="I29" s="262">
        <f t="shared" si="8"/>
        <v>3.6842883888509183E-2</v>
      </c>
      <c r="J29" s="262">
        <f t="shared" si="9"/>
        <v>1.8889750506184174E-3</v>
      </c>
      <c r="K29" s="277">
        <f t="shared" si="10"/>
        <v>1.2561684086612476E-3</v>
      </c>
      <c r="L29" s="263">
        <f t="shared" si="1"/>
        <v>1.2561684086612477</v>
      </c>
      <c r="M29" s="141">
        <f t="shared" si="2"/>
        <v>1.2561684086612477</v>
      </c>
      <c r="N29" s="29">
        <f t="shared" si="3"/>
        <v>35.172715442514935</v>
      </c>
      <c r="O29" s="22"/>
      <c r="P29" s="22"/>
      <c r="Q29" s="31">
        <f t="shared" si="11"/>
        <v>4.244878677238291E-2</v>
      </c>
      <c r="R29" s="32">
        <f t="shared" si="12"/>
        <v>0</v>
      </c>
      <c r="S29" s="32">
        <f t="shared" si="13"/>
        <v>35.172715442514935</v>
      </c>
      <c r="T29" s="34">
        <f t="shared" si="14"/>
        <v>250.48179794749987</v>
      </c>
      <c r="U29" s="157">
        <f t="shared" si="4"/>
        <v>231.40646333669528</v>
      </c>
      <c r="V29" s="37">
        <f t="shared" si="15"/>
        <v>8139.1936865003481</v>
      </c>
    </row>
    <row r="30" spans="2:22" x14ac:dyDescent="0.2">
      <c r="B30" s="194"/>
      <c r="C30" s="13">
        <v>5</v>
      </c>
      <c r="D30" s="22"/>
      <c r="E30" s="268">
        <f t="shared" si="0"/>
        <v>0.6</v>
      </c>
      <c r="F30" s="276">
        <f t="shared" si="5"/>
        <v>0</v>
      </c>
      <c r="G30" s="260">
        <f t="shared" si="6"/>
        <v>0</v>
      </c>
      <c r="H30" s="261">
        <f t="shared" si="7"/>
        <v>0</v>
      </c>
      <c r="I30" s="262">
        <f t="shared" si="8"/>
        <v>3.5046035238213216E-2</v>
      </c>
      <c r="J30" s="262">
        <f t="shared" si="9"/>
        <v>1.7968486502959642E-3</v>
      </c>
      <c r="K30" s="277">
        <f t="shared" si="10"/>
        <v>1.1949043524468162E-3</v>
      </c>
      <c r="L30" s="263">
        <f t="shared" si="1"/>
        <v>1.1949043524468161</v>
      </c>
      <c r="M30" s="141">
        <f t="shared" si="2"/>
        <v>1.1949043524468161</v>
      </c>
      <c r="N30" s="29">
        <f t="shared" si="3"/>
        <v>33.457321868510853</v>
      </c>
      <c r="O30" s="22"/>
      <c r="P30" s="22"/>
      <c r="Q30" s="31">
        <f t="shared" si="11"/>
        <v>4.0378535012247314E-2</v>
      </c>
      <c r="R30" s="32">
        <f t="shared" si="12"/>
        <v>0</v>
      </c>
      <c r="S30" s="32">
        <f t="shared" si="13"/>
        <v>33.457321868510853</v>
      </c>
      <c r="T30" s="34">
        <f t="shared" si="14"/>
        <v>254.23902491671234</v>
      </c>
      <c r="U30" s="157">
        <f t="shared" si="4"/>
        <v>230.27211792818204</v>
      </c>
      <c r="V30" s="37">
        <f t="shared" si="15"/>
        <v>7704.2883668668746</v>
      </c>
    </row>
    <row r="31" spans="2:22" x14ac:dyDescent="0.2">
      <c r="B31" s="194"/>
      <c r="C31" s="13">
        <v>6</v>
      </c>
      <c r="D31" s="22"/>
      <c r="E31" s="268">
        <f t="shared" si="0"/>
        <v>0.6</v>
      </c>
      <c r="F31" s="276">
        <f t="shared" si="5"/>
        <v>0</v>
      </c>
      <c r="G31" s="260">
        <f t="shared" si="6"/>
        <v>0</v>
      </c>
      <c r="H31" s="261">
        <f t="shared" si="7"/>
        <v>0</v>
      </c>
      <c r="I31" s="262">
        <f t="shared" si="8"/>
        <v>3.3336819930677303E-2</v>
      </c>
      <c r="J31" s="262">
        <f t="shared" si="9"/>
        <v>1.7092153075359147E-3</v>
      </c>
      <c r="K31" s="277">
        <f t="shared" si="10"/>
        <v>1.1366281795113834E-3</v>
      </c>
      <c r="L31" s="263">
        <f t="shared" si="1"/>
        <v>1.1366281795113833</v>
      </c>
      <c r="M31" s="141">
        <f t="shared" si="2"/>
        <v>1.1366281795113833</v>
      </c>
      <c r="N31" s="29">
        <f t="shared" si="3"/>
        <v>31.825589026318731</v>
      </c>
      <c r="O31" s="22"/>
      <c r="P31" s="22"/>
      <c r="Q31" s="31">
        <f t="shared" si="11"/>
        <v>3.8409250621881948E-2</v>
      </c>
      <c r="R31" s="32">
        <f t="shared" si="12"/>
        <v>0</v>
      </c>
      <c r="S31" s="32">
        <f t="shared" si="13"/>
        <v>31.825589026318731</v>
      </c>
      <c r="T31" s="34">
        <f t="shared" si="14"/>
        <v>258.05261029046301</v>
      </c>
      <c r="U31" s="157">
        <f t="shared" si="4"/>
        <v>229.14333303637719</v>
      </c>
      <c r="V31" s="37">
        <f t="shared" si="15"/>
        <v>7292.621545336624</v>
      </c>
    </row>
    <row r="32" spans="2:22" x14ac:dyDescent="0.2">
      <c r="B32" s="194"/>
      <c r="C32" s="13">
        <v>7</v>
      </c>
      <c r="D32" s="22"/>
      <c r="E32" s="268">
        <f t="shared" si="0"/>
        <v>0.6</v>
      </c>
      <c r="F32" s="276">
        <f t="shared" si="5"/>
        <v>0</v>
      </c>
      <c r="G32" s="260">
        <f t="shared" si="6"/>
        <v>0</v>
      </c>
      <c r="H32" s="261">
        <f t="shared" si="7"/>
        <v>0</v>
      </c>
      <c r="I32" s="262">
        <f t="shared" si="8"/>
        <v>3.1710964037342103E-2</v>
      </c>
      <c r="J32" s="262">
        <f t="shared" si="9"/>
        <v>1.6258558933351991E-3</v>
      </c>
      <c r="K32" s="277">
        <f t="shared" si="10"/>
        <v>1.0811941690679074E-3</v>
      </c>
      <c r="L32" s="263">
        <f t="shared" si="1"/>
        <v>1.0811941690679074</v>
      </c>
      <c r="M32" s="141">
        <f t="shared" si="2"/>
        <v>1.0811941690679074</v>
      </c>
      <c r="N32" s="29">
        <f t="shared" si="3"/>
        <v>30.273436733901409</v>
      </c>
      <c r="O32" s="22"/>
      <c r="P32" s="22"/>
      <c r="Q32" s="31">
        <f t="shared" si="11"/>
        <v>3.6536009364556456E-2</v>
      </c>
      <c r="R32" s="32">
        <f t="shared" si="12"/>
        <v>0</v>
      </c>
      <c r="S32" s="32">
        <f t="shared" si="13"/>
        <v>30.273436733901409</v>
      </c>
      <c r="T32" s="34">
        <f t="shared" si="14"/>
        <v>261.92339944481995</v>
      </c>
      <c r="U32" s="157">
        <f t="shared" si="4"/>
        <v>228.02008140384598</v>
      </c>
      <c r="V32" s="37">
        <f t="shared" si="15"/>
        <v>6902.9515084383802</v>
      </c>
    </row>
    <row r="33" spans="2:22" x14ac:dyDescent="0.2">
      <c r="B33" s="194"/>
      <c r="C33" s="13">
        <v>8</v>
      </c>
      <c r="D33" s="22"/>
      <c r="E33" s="268">
        <f t="shared" si="0"/>
        <v>0.6</v>
      </c>
      <c r="F33" s="276">
        <f t="shared" si="5"/>
        <v>0</v>
      </c>
      <c r="G33" s="260">
        <f t="shared" si="6"/>
        <v>0</v>
      </c>
      <c r="H33" s="261">
        <f t="shared" si="7"/>
        <v>0</v>
      </c>
      <c r="I33" s="262">
        <f t="shared" si="8"/>
        <v>3.0164402071603768E-2</v>
      </c>
      <c r="J33" s="262">
        <f t="shared" si="9"/>
        <v>1.5465619657383358E-3</v>
      </c>
      <c r="K33" s="277">
        <f t="shared" si="10"/>
        <v>1.0284637072159933E-3</v>
      </c>
      <c r="L33" s="263">
        <f t="shared" si="1"/>
        <v>1.0284637072159932</v>
      </c>
      <c r="M33" s="141">
        <f t="shared" si="2"/>
        <v>1.0284637072159932</v>
      </c>
      <c r="N33" s="29">
        <f t="shared" si="3"/>
        <v>28.796983802047812</v>
      </c>
      <c r="O33" s="22"/>
      <c r="P33" s="22"/>
      <c r="Q33" s="31">
        <f t="shared" si="11"/>
        <v>3.4754127161399737E-2</v>
      </c>
      <c r="R33" s="32">
        <f t="shared" si="12"/>
        <v>0</v>
      </c>
      <c r="S33" s="32">
        <f t="shared" si="13"/>
        <v>28.796983802047812</v>
      </c>
      <c r="T33" s="34">
        <f t="shared" si="14"/>
        <v>265.85225043649223</v>
      </c>
      <c r="U33" s="157">
        <f t="shared" si="4"/>
        <v>226.90233590676826</v>
      </c>
      <c r="V33" s="37">
        <f t="shared" si="15"/>
        <v>6534.102891754017</v>
      </c>
    </row>
    <row r="34" spans="2:22" x14ac:dyDescent="0.2">
      <c r="B34" s="194"/>
      <c r="C34" s="13">
        <v>9</v>
      </c>
      <c r="D34" s="22"/>
      <c r="E34" s="268">
        <f t="shared" si="0"/>
        <v>0.6</v>
      </c>
      <c r="F34" s="276">
        <f t="shared" si="5"/>
        <v>0</v>
      </c>
      <c r="G34" s="260">
        <f t="shared" si="6"/>
        <v>0</v>
      </c>
      <c r="H34" s="261">
        <f t="shared" si="7"/>
        <v>0</v>
      </c>
      <c r="I34" s="262">
        <f t="shared" si="8"/>
        <v>2.8693266822979797E-2</v>
      </c>
      <c r="J34" s="262">
        <f t="shared" si="9"/>
        <v>1.4711352486239701E-3</v>
      </c>
      <c r="K34" s="277">
        <f t="shared" si="10"/>
        <v>9.7830494033494006E-4</v>
      </c>
      <c r="L34" s="263">
        <f t="shared" si="1"/>
        <v>0.97830494033494009</v>
      </c>
      <c r="M34" s="141">
        <f t="shared" si="2"/>
        <v>0.97830494033494009</v>
      </c>
      <c r="N34" s="29">
        <f t="shared" si="3"/>
        <v>27.392538329378322</v>
      </c>
      <c r="O34" s="22"/>
      <c r="P34" s="22"/>
      <c r="Q34" s="31">
        <f t="shared" si="11"/>
        <v>3.30591483787629E-2</v>
      </c>
      <c r="R34" s="32">
        <f t="shared" si="12"/>
        <v>0</v>
      </c>
      <c r="S34" s="32">
        <f t="shared" si="13"/>
        <v>27.392538329378322</v>
      </c>
      <c r="T34" s="34">
        <f t="shared" si="14"/>
        <v>269.84003419303957</v>
      </c>
      <c r="U34" s="157">
        <f t="shared" si="4"/>
        <v>225.79006955428406</v>
      </c>
      <c r="V34" s="37">
        <f t="shared" si="15"/>
        <v>6184.963134658723</v>
      </c>
    </row>
    <row r="35" spans="2:22" x14ac:dyDescent="0.2">
      <c r="C35" s="13">
        <v>10</v>
      </c>
      <c r="D35" s="22"/>
      <c r="E35" s="268">
        <f t="shared" si="0"/>
        <v>0.6</v>
      </c>
      <c r="F35" s="276">
        <f t="shared" si="5"/>
        <v>0</v>
      </c>
      <c r="G35" s="260">
        <f t="shared" si="6"/>
        <v>0</v>
      </c>
      <c r="H35" s="261">
        <f t="shared" si="7"/>
        <v>0</v>
      </c>
      <c r="I35" s="262">
        <f t="shared" si="8"/>
        <v>2.7293879687068503E-2</v>
      </c>
      <c r="J35" s="262">
        <f t="shared" si="9"/>
        <v>1.3993871359112939E-3</v>
      </c>
      <c r="K35" s="277">
        <f t="shared" si="10"/>
        <v>9.3059244538101055E-4</v>
      </c>
      <c r="L35" s="263">
        <f t="shared" si="1"/>
        <v>0.9305924453810106</v>
      </c>
      <c r="M35" s="141">
        <f t="shared" si="2"/>
        <v>0.9305924453810106</v>
      </c>
      <c r="N35" s="29">
        <f t="shared" si="3"/>
        <v>26.056588470668295</v>
      </c>
      <c r="O35" s="22"/>
      <c r="P35" s="22"/>
      <c r="Q35" s="31">
        <f t="shared" si="11"/>
        <v>3.1446834686814355E-2</v>
      </c>
      <c r="R35" s="32">
        <f t="shared" si="12"/>
        <v>0</v>
      </c>
      <c r="S35" s="32">
        <f t="shared" si="13"/>
        <v>26.056588470668295</v>
      </c>
      <c r="T35" s="34">
        <f t="shared" si="14"/>
        <v>273.88763470593511</v>
      </c>
      <c r="U35" s="157">
        <f t="shared" si="4"/>
        <v>224.68325548784145</v>
      </c>
      <c r="V35" s="37">
        <f t="shared" si="15"/>
        <v>5854.4791244967082</v>
      </c>
    </row>
    <row r="36" spans="2:22" x14ac:dyDescent="0.2">
      <c r="C36" s="13">
        <v>11</v>
      </c>
      <c r="D36" s="22"/>
      <c r="E36" s="268">
        <f t="shared" si="0"/>
        <v>0.6</v>
      </c>
      <c r="F36" s="276">
        <f t="shared" si="5"/>
        <v>0</v>
      </c>
      <c r="G36" s="260">
        <f t="shared" si="6"/>
        <v>0</v>
      </c>
      <c r="H36" s="261">
        <f t="shared" si="7"/>
        <v>0</v>
      </c>
      <c r="I36" s="262">
        <f t="shared" si="8"/>
        <v>2.5962741467121901E-2</v>
      </c>
      <c r="J36" s="262">
        <f t="shared" si="9"/>
        <v>1.3311382199466025E-3</v>
      </c>
      <c r="K36" s="277">
        <f t="shared" si="10"/>
        <v>8.8520691626449075E-4</v>
      </c>
      <c r="L36" s="263">
        <f t="shared" si="1"/>
        <v>0.88520691626449077</v>
      </c>
      <c r="M36" s="141">
        <f t="shared" si="2"/>
        <v>0.88520691626449077</v>
      </c>
      <c r="N36" s="29">
        <f t="shared" si="3"/>
        <v>24.78579365540574</v>
      </c>
      <c r="O36" s="22"/>
      <c r="P36" s="22"/>
      <c r="Q36" s="31">
        <f t="shared" si="11"/>
        <v>2.9913154461507507E-2</v>
      </c>
      <c r="R36" s="32">
        <f t="shared" si="12"/>
        <v>0</v>
      </c>
      <c r="S36" s="32">
        <f t="shared" si="13"/>
        <v>24.78579365540574</v>
      </c>
      <c r="T36" s="34">
        <f t="shared" si="14"/>
        <v>277.99594922652409</v>
      </c>
      <c r="U36" s="157">
        <f t="shared" si="4"/>
        <v>223.58186698054811</v>
      </c>
      <c r="V36" s="37">
        <f t="shared" si="15"/>
        <v>5541.6540200702393</v>
      </c>
    </row>
    <row r="37" spans="2:22" x14ac:dyDescent="0.2">
      <c r="C37" s="13">
        <v>12</v>
      </c>
      <c r="D37" s="22"/>
      <c r="E37" s="268">
        <f t="shared" si="0"/>
        <v>0.6</v>
      </c>
      <c r="F37" s="276">
        <f t="shared" si="5"/>
        <v>0</v>
      </c>
      <c r="G37" s="260">
        <f t="shared" si="6"/>
        <v>0</v>
      </c>
      <c r="H37" s="261">
        <f t="shared" si="7"/>
        <v>0</v>
      </c>
      <c r="I37" s="262">
        <f t="shared" si="8"/>
        <v>2.4696523624231189E-2</v>
      </c>
      <c r="J37" s="262">
        <f t="shared" si="9"/>
        <v>1.2662178428907117E-3</v>
      </c>
      <c r="K37" s="277">
        <f t="shared" si="10"/>
        <v>8.4203486552232327E-4</v>
      </c>
      <c r="L37" s="263">
        <f t="shared" si="1"/>
        <v>0.84203486552232332</v>
      </c>
      <c r="M37" s="141">
        <f t="shared" si="2"/>
        <v>0.84203486552232332</v>
      </c>
      <c r="N37" s="29">
        <f t="shared" si="3"/>
        <v>23.576976234625054</v>
      </c>
      <c r="O37" s="22"/>
      <c r="P37" s="22"/>
      <c r="Q37" s="31">
        <f t="shared" si="11"/>
        <v>2.8454272703420751E-2</v>
      </c>
      <c r="R37" s="32">
        <f t="shared" si="12"/>
        <v>0</v>
      </c>
      <c r="S37" s="32">
        <f t="shared" si="13"/>
        <v>23.576976234625054</v>
      </c>
      <c r="T37" s="34">
        <f t="shared" si="14"/>
        <v>282.16588846492192</v>
      </c>
      <c r="U37" s="157">
        <f t="shared" si="4"/>
        <v>222.48587743652575</v>
      </c>
      <c r="V37" s="37">
        <f t="shared" si="15"/>
        <v>5245.54424486067</v>
      </c>
    </row>
    <row r="38" spans="2:22" x14ac:dyDescent="0.2">
      <c r="C38" s="13">
        <v>13</v>
      </c>
      <c r="D38" s="22"/>
      <c r="E38" s="268">
        <f t="shared" si="0"/>
        <v>0.6</v>
      </c>
      <c r="F38" s="276">
        <f t="shared" si="5"/>
        <v>0</v>
      </c>
      <c r="G38" s="260">
        <f t="shared" si="6"/>
        <v>0</v>
      </c>
      <c r="H38" s="261">
        <f t="shared" si="7"/>
        <v>0</v>
      </c>
      <c r="I38" s="262">
        <f t="shared" si="8"/>
        <v>2.3492059954245723E-2</v>
      </c>
      <c r="J38" s="262">
        <f t="shared" si="9"/>
        <v>1.2044636699854671E-3</v>
      </c>
      <c r="K38" s="277">
        <f t="shared" si="10"/>
        <v>8.0096834054033561E-4</v>
      </c>
      <c r="L38" s="263">
        <f t="shared" si="1"/>
        <v>0.80096834054033561</v>
      </c>
      <c r="M38" s="141">
        <f t="shared" si="2"/>
        <v>0.80096834054033561</v>
      </c>
      <c r="N38" s="29">
        <f t="shared" si="3"/>
        <v>22.427113535129397</v>
      </c>
      <c r="O38" s="22"/>
      <c r="P38" s="22"/>
      <c r="Q38" s="31">
        <f t="shared" si="11"/>
        <v>2.7066541448261296E-2</v>
      </c>
      <c r="R38" s="32">
        <f t="shared" si="12"/>
        <v>0</v>
      </c>
      <c r="S38" s="32">
        <f t="shared" si="13"/>
        <v>22.427113535129397</v>
      </c>
      <c r="T38" s="34">
        <f t="shared" si="14"/>
        <v>286.39837679189571</v>
      </c>
      <c r="U38" s="157">
        <f t="shared" si="4"/>
        <v>221.39526039026825</v>
      </c>
      <c r="V38" s="37">
        <f t="shared" si="15"/>
        <v>4965.2566409120827</v>
      </c>
    </row>
    <row r="39" spans="2:22" x14ac:dyDescent="0.2">
      <c r="C39" s="13">
        <v>14</v>
      </c>
      <c r="D39" s="22"/>
      <c r="E39" s="268">
        <f t="shared" si="0"/>
        <v>0.6</v>
      </c>
      <c r="F39" s="276">
        <f t="shared" si="5"/>
        <v>0</v>
      </c>
      <c r="G39" s="260">
        <f t="shared" si="6"/>
        <v>0</v>
      </c>
      <c r="H39" s="261">
        <f t="shared" si="7"/>
        <v>0</v>
      </c>
      <c r="I39" s="262">
        <f t="shared" si="8"/>
        <v>2.234633867061343E-2</v>
      </c>
      <c r="J39" s="262">
        <f t="shared" si="9"/>
        <v>1.1457212836322938E-3</v>
      </c>
      <c r="K39" s="277">
        <f t="shared" si="10"/>
        <v>7.6190465361547543E-4</v>
      </c>
      <c r="L39" s="263">
        <f t="shared" si="1"/>
        <v>0.76190465361547544</v>
      </c>
      <c r="M39" s="141">
        <f t="shared" si="2"/>
        <v>0.76190465361547544</v>
      </c>
      <c r="N39" s="29">
        <f t="shared" si="3"/>
        <v>21.33333030123331</v>
      </c>
      <c r="O39" s="22"/>
      <c r="P39" s="22"/>
      <c r="Q39" s="31">
        <f t="shared" si="11"/>
        <v>2.5746490645054316E-2</v>
      </c>
      <c r="R39" s="32">
        <f t="shared" si="12"/>
        <v>0</v>
      </c>
      <c r="S39" s="32">
        <f t="shared" si="13"/>
        <v>21.33333030123331</v>
      </c>
      <c r="T39" s="34">
        <f t="shared" si="14"/>
        <v>290.69435244377411</v>
      </c>
      <c r="U39" s="157">
        <f t="shared" si="4"/>
        <v>220.30998950600218</v>
      </c>
      <c r="V39" s="37">
        <f t="shared" si="15"/>
        <v>4699.9457747927891</v>
      </c>
    </row>
    <row r="40" spans="2:22" x14ac:dyDescent="0.2">
      <c r="C40" s="13">
        <v>15</v>
      </c>
      <c r="D40" s="22"/>
      <c r="E40" s="268">
        <f t="shared" si="0"/>
        <v>0.6</v>
      </c>
      <c r="F40" s="276">
        <f t="shared" si="5"/>
        <v>0</v>
      </c>
      <c r="G40" s="260">
        <f t="shared" si="6"/>
        <v>0</v>
      </c>
      <c r="H40" s="261">
        <f t="shared" si="7"/>
        <v>0</v>
      </c>
      <c r="I40" s="262">
        <f t="shared" si="8"/>
        <v>2.1256494873345664E-2</v>
      </c>
      <c r="J40" s="262">
        <f t="shared" si="9"/>
        <v>1.0898437972677662E-3</v>
      </c>
      <c r="K40" s="277">
        <f t="shared" si="10"/>
        <v>7.2474612518306451E-4</v>
      </c>
      <c r="L40" s="263">
        <f t="shared" si="1"/>
        <v>0.72474612518306447</v>
      </c>
      <c r="M40" s="141">
        <f t="shared" si="2"/>
        <v>0.72474612518306447</v>
      </c>
      <c r="N40" s="29">
        <f t="shared" si="3"/>
        <v>20.292891505125805</v>
      </c>
      <c r="O40" s="22"/>
      <c r="P40" s="22"/>
      <c r="Q40" s="31">
        <f t="shared" si="11"/>
        <v>2.4490819479208031E-2</v>
      </c>
      <c r="R40" s="32">
        <f t="shared" si="12"/>
        <v>0</v>
      </c>
      <c r="S40" s="32">
        <f t="shared" si="13"/>
        <v>20.292891505125805</v>
      </c>
      <c r="T40" s="34">
        <f t="shared" si="14"/>
        <v>295.05476773043068</v>
      </c>
      <c r="U40" s="157">
        <f t="shared" si="4"/>
        <v>219.23003857705123</v>
      </c>
      <c r="V40" s="37">
        <f t="shared" si="15"/>
        <v>4448.8113875086456</v>
      </c>
    </row>
    <row r="41" spans="2:22" x14ac:dyDescent="0.2">
      <c r="C41" s="13">
        <v>16</v>
      </c>
      <c r="D41" s="22"/>
      <c r="E41" s="268">
        <f t="shared" si="0"/>
        <v>0.6</v>
      </c>
      <c r="F41" s="276">
        <f t="shared" si="5"/>
        <v>0</v>
      </c>
      <c r="G41" s="260">
        <f t="shared" si="6"/>
        <v>0</v>
      </c>
      <c r="H41" s="261">
        <f t="shared" si="7"/>
        <v>0</v>
      </c>
      <c r="I41" s="262">
        <f t="shared" si="8"/>
        <v>2.0219803385274973E-2</v>
      </c>
      <c r="J41" s="262">
        <f t="shared" si="9"/>
        <v>1.0366914880706902E-3</v>
      </c>
      <c r="K41" s="277">
        <f t="shared" si="10"/>
        <v>6.8939983956700895E-4</v>
      </c>
      <c r="L41" s="263">
        <f t="shared" si="1"/>
        <v>0.6893998395670089</v>
      </c>
      <c r="M41" s="141">
        <f t="shared" si="2"/>
        <v>0.6893998395670089</v>
      </c>
      <c r="N41" s="29">
        <f t="shared" si="3"/>
        <v>19.30319550787625</v>
      </c>
      <c r="O41" s="22"/>
      <c r="P41" s="22"/>
      <c r="Q41" s="31">
        <f t="shared" si="11"/>
        <v>2.3296388118757935E-2</v>
      </c>
      <c r="R41" s="32">
        <f t="shared" si="12"/>
        <v>0</v>
      </c>
      <c r="S41" s="32">
        <f t="shared" si="13"/>
        <v>19.30319550787625</v>
      </c>
      <c r="T41" s="34">
        <f t="shared" si="14"/>
        <v>299.48058924638713</v>
      </c>
      <c r="U41" s="157">
        <f t="shared" si="4"/>
        <v>218.1553815252029</v>
      </c>
      <c r="V41" s="37">
        <f t="shared" si="15"/>
        <v>4211.0959806763258</v>
      </c>
    </row>
    <row r="42" spans="2:22" x14ac:dyDescent="0.2">
      <c r="C42" s="13">
        <v>17</v>
      </c>
      <c r="D42" s="22"/>
      <c r="E42" s="268">
        <f t="shared" si="0"/>
        <v>0.6</v>
      </c>
      <c r="F42" s="276">
        <f t="shared" si="5"/>
        <v>0</v>
      </c>
      <c r="G42" s="260">
        <f t="shared" si="6"/>
        <v>0</v>
      </c>
      <c r="H42" s="261">
        <f t="shared" si="7"/>
        <v>0</v>
      </c>
      <c r="I42" s="262">
        <f t="shared" si="8"/>
        <v>1.9233671937692702E-2</v>
      </c>
      <c r="J42" s="262">
        <f t="shared" si="9"/>
        <v>9.8613144758227149E-4</v>
      </c>
      <c r="K42" s="277">
        <f t="shared" si="10"/>
        <v>6.5577741264221062E-4</v>
      </c>
      <c r="L42" s="263">
        <f t="shared" si="1"/>
        <v>0.65577741264221068</v>
      </c>
      <c r="M42" s="141">
        <f t="shared" si="2"/>
        <v>0.65577741264221068</v>
      </c>
      <c r="N42" s="29">
        <f t="shared" si="3"/>
        <v>18.361767553981899</v>
      </c>
      <c r="O42" s="22"/>
      <c r="P42" s="22"/>
      <c r="Q42" s="31">
        <f t="shared" si="11"/>
        <v>2.2160209863151387E-2</v>
      </c>
      <c r="R42" s="32">
        <f t="shared" si="12"/>
        <v>0</v>
      </c>
      <c r="S42" s="32">
        <f t="shared" si="13"/>
        <v>18.361767553981899</v>
      </c>
      <c r="T42" s="34">
        <f t="shared" si="14"/>
        <v>303.9727980850829</v>
      </c>
      <c r="U42" s="157">
        <f t="shared" si="4"/>
        <v>217.08599240007931</v>
      </c>
      <c r="V42" s="37">
        <f t="shared" si="15"/>
        <v>3986.0825316757373</v>
      </c>
    </row>
    <row r="43" spans="2:22" x14ac:dyDescent="0.2">
      <c r="C43" s="13">
        <v>18</v>
      </c>
      <c r="D43" s="22"/>
      <c r="E43" s="268">
        <f t="shared" si="0"/>
        <v>0.6</v>
      </c>
      <c r="F43" s="276">
        <f t="shared" si="5"/>
        <v>0</v>
      </c>
      <c r="G43" s="260">
        <f t="shared" si="6"/>
        <v>0</v>
      </c>
      <c r="H43" s="261">
        <f t="shared" si="7"/>
        <v>0</v>
      </c>
      <c r="I43" s="262">
        <f t="shared" si="8"/>
        <v>1.8295634688326963E-2</v>
      </c>
      <c r="J43" s="262">
        <f t="shared" si="9"/>
        <v>9.3803724936574004E-4</v>
      </c>
      <c r="K43" s="277">
        <f t="shared" si="10"/>
        <v>6.2379477082821712E-4</v>
      </c>
      <c r="L43" s="263">
        <f t="shared" si="1"/>
        <v>0.6237947708282171</v>
      </c>
      <c r="M43" s="141">
        <f t="shared" si="2"/>
        <v>0.6237947708282171</v>
      </c>
      <c r="N43" s="29">
        <f t="shared" si="3"/>
        <v>17.466253583190078</v>
      </c>
      <c r="O43" s="22"/>
      <c r="P43" s="22"/>
      <c r="Q43" s="31">
        <f t="shared" si="11"/>
        <v>2.1079443674940534E-2</v>
      </c>
      <c r="R43" s="32">
        <f t="shared" si="12"/>
        <v>0</v>
      </c>
      <c r="S43" s="32">
        <f t="shared" si="13"/>
        <v>17.466253583190078</v>
      </c>
      <c r="T43" s="34">
        <f t="shared" si="14"/>
        <v>308.53239005635913</v>
      </c>
      <c r="U43" s="157">
        <f t="shared" si="4"/>
        <v>216.02184537851031</v>
      </c>
      <c r="V43" s="37">
        <f t="shared" si="15"/>
        <v>3773.0923308897386</v>
      </c>
    </row>
    <row r="44" spans="2:22" x14ac:dyDescent="0.2">
      <c r="C44" s="13">
        <v>19</v>
      </c>
      <c r="D44" s="22"/>
      <c r="E44" s="268">
        <f t="shared" si="0"/>
        <v>0.6</v>
      </c>
      <c r="F44" s="276">
        <f t="shared" si="5"/>
        <v>0</v>
      </c>
      <c r="G44" s="260">
        <f t="shared" si="6"/>
        <v>0</v>
      </c>
      <c r="H44" s="261">
        <f t="shared" si="7"/>
        <v>0</v>
      </c>
      <c r="I44" s="262">
        <f t="shared" si="8"/>
        <v>1.7403346055452556E-2</v>
      </c>
      <c r="J44" s="262">
        <f t="shared" si="9"/>
        <v>8.9228863287440575E-4</v>
      </c>
      <c r="K44" s="277">
        <f t="shared" si="10"/>
        <v>5.9337194086147985E-4</v>
      </c>
      <c r="L44" s="263">
        <f t="shared" si="1"/>
        <v>0.59337194086147982</v>
      </c>
      <c r="M44" s="141">
        <f t="shared" si="2"/>
        <v>0.59337194086147982</v>
      </c>
      <c r="N44" s="29">
        <f t="shared" si="3"/>
        <v>16.614414344121435</v>
      </c>
      <c r="O44" s="22"/>
      <c r="P44" s="22"/>
      <c r="Q44" s="31">
        <f t="shared" si="11"/>
        <v>2.0051387075708905E-2</v>
      </c>
      <c r="R44" s="32">
        <f t="shared" si="12"/>
        <v>0</v>
      </c>
      <c r="S44" s="32">
        <f t="shared" si="13"/>
        <v>16.614414344121435</v>
      </c>
      <c r="T44" s="34">
        <f t="shared" si="14"/>
        <v>313.16037590720447</v>
      </c>
      <c r="U44" s="157">
        <f t="shared" si="4"/>
        <v>214.96291476390974</v>
      </c>
      <c r="V44" s="37">
        <f t="shared" si="15"/>
        <v>3571.4829345076555</v>
      </c>
    </row>
    <row r="45" spans="2:22" x14ac:dyDescent="0.2">
      <c r="C45" s="13">
        <v>20</v>
      </c>
      <c r="D45" s="22"/>
      <c r="E45" s="268">
        <f t="shared" si="0"/>
        <v>0.6</v>
      </c>
      <c r="F45" s="276">
        <f t="shared" si="5"/>
        <v>0</v>
      </c>
      <c r="G45" s="260">
        <f t="shared" si="6"/>
        <v>0</v>
      </c>
      <c r="H45" s="261">
        <f t="shared" si="7"/>
        <v>0</v>
      </c>
      <c r="I45" s="262">
        <f t="shared" si="8"/>
        <v>1.6554574852714905E-2</v>
      </c>
      <c r="J45" s="262">
        <f t="shared" si="9"/>
        <v>8.4877120273764981E-4</v>
      </c>
      <c r="K45" s="277">
        <f t="shared" si="10"/>
        <v>5.644328498205372E-4</v>
      </c>
      <c r="L45" s="263">
        <f t="shared" si="1"/>
        <v>0.56443284982053721</v>
      </c>
      <c r="M45" s="141">
        <f t="shared" si="2"/>
        <v>0.56443284982053721</v>
      </c>
      <c r="N45" s="29">
        <f t="shared" si="3"/>
        <v>15.804119794975042</v>
      </c>
      <c r="O45" s="22"/>
      <c r="P45" s="22"/>
      <c r="Q45" s="31">
        <f t="shared" si="11"/>
        <v>1.9073469388467636E-2</v>
      </c>
      <c r="R45" s="32">
        <f t="shared" si="12"/>
        <v>0</v>
      </c>
      <c r="S45" s="32">
        <f t="shared" si="13"/>
        <v>15.804119794975042</v>
      </c>
      <c r="T45" s="34">
        <f t="shared" si="14"/>
        <v>317.85778154581249</v>
      </c>
      <c r="U45" s="157">
        <f t="shared" si="4"/>
        <v>213.90917498565523</v>
      </c>
      <c r="V45" s="37">
        <f t="shared" si="15"/>
        <v>3380.6462267175739</v>
      </c>
    </row>
    <row r="46" spans="2:22" x14ac:dyDescent="0.2">
      <c r="C46" s="13">
        <v>21</v>
      </c>
      <c r="D46" s="22"/>
      <c r="E46" s="268">
        <f t="shared" si="0"/>
        <v>0.6</v>
      </c>
      <c r="F46" s="276">
        <f t="shared" si="5"/>
        <v>0</v>
      </c>
      <c r="G46" s="260">
        <f t="shared" si="6"/>
        <v>0</v>
      </c>
      <c r="H46" s="261">
        <f t="shared" si="7"/>
        <v>0</v>
      </c>
      <c r="I46" s="262">
        <f t="shared" si="8"/>
        <v>1.5747198710001992E-2</v>
      </c>
      <c r="J46" s="262">
        <f t="shared" si="9"/>
        <v>8.0737614271291338E-4</v>
      </c>
      <c r="K46" s="277">
        <f t="shared" si="10"/>
        <v>5.3690513490408742E-4</v>
      </c>
      <c r="L46" s="263">
        <f t="shared" si="1"/>
        <v>0.53690513490408742</v>
      </c>
      <c r="M46" s="141">
        <f t="shared" si="2"/>
        <v>0.53690513490408742</v>
      </c>
      <c r="N46" s="29">
        <f t="shared" si="3"/>
        <v>15.033343777314448</v>
      </c>
      <c r="O46" s="22"/>
      <c r="P46" s="22"/>
      <c r="Q46" s="31">
        <f t="shared" si="11"/>
        <v>1.8143245309624051E-2</v>
      </c>
      <c r="R46" s="32">
        <f t="shared" si="12"/>
        <v>0</v>
      </c>
      <c r="S46" s="32">
        <f t="shared" si="13"/>
        <v>15.033343777314448</v>
      </c>
      <c r="T46" s="34">
        <f t="shared" si="14"/>
        <v>322.62564826899967</v>
      </c>
      <c r="U46" s="157">
        <f t="shared" si="4"/>
        <v>212.86060059847065</v>
      </c>
      <c r="V46" s="37">
        <f t="shared" si="15"/>
        <v>3200.0065854424347</v>
      </c>
    </row>
    <row r="47" spans="2:22" x14ac:dyDescent="0.2">
      <c r="C47" s="13">
        <v>22</v>
      </c>
      <c r="D47" s="22"/>
      <c r="E47" s="268">
        <f t="shared" si="0"/>
        <v>0.6</v>
      </c>
      <c r="F47" s="276">
        <f t="shared" si="5"/>
        <v>0</v>
      </c>
      <c r="G47" s="260">
        <f t="shared" si="6"/>
        <v>0</v>
      </c>
      <c r="H47" s="261">
        <f t="shared" si="7"/>
        <v>0</v>
      </c>
      <c r="I47" s="262">
        <f t="shared" si="8"/>
        <v>1.4979198766413581E-2</v>
      </c>
      <c r="J47" s="262">
        <f t="shared" si="9"/>
        <v>7.6799994358841097E-4</v>
      </c>
      <c r="K47" s="277">
        <f t="shared" si="10"/>
        <v>5.1071996248629333E-4</v>
      </c>
      <c r="L47" s="263">
        <f t="shared" si="1"/>
        <v>0.51071996248629337</v>
      </c>
      <c r="M47" s="141">
        <f t="shared" si="2"/>
        <v>0.51071996248629337</v>
      </c>
      <c r="N47" s="29">
        <f t="shared" si="3"/>
        <v>14.300158949616215</v>
      </c>
      <c r="O47" s="22"/>
      <c r="P47" s="22"/>
      <c r="Q47" s="31">
        <f t="shared" si="11"/>
        <v>1.7258388794448964E-2</v>
      </c>
      <c r="R47" s="32">
        <f t="shared" si="12"/>
        <v>0</v>
      </c>
      <c r="S47" s="32">
        <f t="shared" si="13"/>
        <v>14.300158949616215</v>
      </c>
      <c r="T47" s="34">
        <f t="shared" si="14"/>
        <v>327.46503299303464</v>
      </c>
      <c r="U47" s="157">
        <f t="shared" si="4"/>
        <v>211.81716628181144</v>
      </c>
      <c r="V47" s="37">
        <f t="shared" si="15"/>
        <v>3029.0191460871915</v>
      </c>
    </row>
    <row r="48" spans="2:22" x14ac:dyDescent="0.2">
      <c r="C48" s="13">
        <v>23</v>
      </c>
      <c r="D48" s="22"/>
      <c r="E48" s="268">
        <f t="shared" si="0"/>
        <v>0.6</v>
      </c>
      <c r="F48" s="276">
        <f t="shared" si="5"/>
        <v>0</v>
      </c>
      <c r="G48" s="260">
        <f t="shared" si="6"/>
        <v>0</v>
      </c>
      <c r="H48" s="261">
        <f t="shared" si="7"/>
        <v>0</v>
      </c>
      <c r="I48" s="262">
        <f t="shared" si="8"/>
        <v>1.4248654622057396E-2</v>
      </c>
      <c r="J48" s="262">
        <f t="shared" si="9"/>
        <v>7.3054414435618506E-4</v>
      </c>
      <c r="K48" s="277">
        <f t="shared" si="10"/>
        <v>4.8581185599686307E-4</v>
      </c>
      <c r="L48" s="263">
        <f t="shared" si="1"/>
        <v>0.48581185599686305</v>
      </c>
      <c r="M48" s="141">
        <f t="shared" si="2"/>
        <v>0.48581185599686305</v>
      </c>
      <c r="N48" s="29">
        <f t="shared" si="3"/>
        <v>13.602731967912165</v>
      </c>
      <c r="O48" s="22"/>
      <c r="P48" s="22"/>
      <c r="Q48" s="31">
        <f t="shared" si="11"/>
        <v>1.6416687240753264E-2</v>
      </c>
      <c r="R48" s="32">
        <f t="shared" si="12"/>
        <v>0</v>
      </c>
      <c r="S48" s="32">
        <f t="shared" si="13"/>
        <v>13.602731967912165</v>
      </c>
      <c r="T48" s="34">
        <f t="shared" si="14"/>
        <v>332.37700848793014</v>
      </c>
      <c r="U48" s="157">
        <f t="shared" si="4"/>
        <v>210.77884683925359</v>
      </c>
      <c r="V48" s="37">
        <f t="shared" si="15"/>
        <v>2867.1681580599766</v>
      </c>
    </row>
    <row r="49" spans="3:22" x14ac:dyDescent="0.2">
      <c r="C49" s="13">
        <v>24</v>
      </c>
      <c r="D49" s="22"/>
      <c r="E49" s="268">
        <f t="shared" si="0"/>
        <v>0.6</v>
      </c>
      <c r="F49" s="276">
        <f t="shared" si="5"/>
        <v>0</v>
      </c>
      <c r="G49" s="260">
        <f t="shared" si="6"/>
        <v>0</v>
      </c>
      <c r="H49" s="261">
        <f t="shared" si="7"/>
        <v>0</v>
      </c>
      <c r="I49" s="262">
        <f t="shared" si="8"/>
        <v>1.3553739536049096E-2</v>
      </c>
      <c r="J49" s="262">
        <f t="shared" si="9"/>
        <v>6.9491508600830047E-4</v>
      </c>
      <c r="K49" s="277">
        <f t="shared" si="10"/>
        <v>4.6211853219551983E-4</v>
      </c>
      <c r="L49" s="263">
        <f t="shared" si="1"/>
        <v>0.46211853219551985</v>
      </c>
      <c r="M49" s="141">
        <f t="shared" si="2"/>
        <v>0.46211853219551985</v>
      </c>
      <c r="N49" s="29">
        <f t="shared" si="3"/>
        <v>12.939318901474556</v>
      </c>
      <c r="O49" s="22"/>
      <c r="P49" s="22"/>
      <c r="Q49" s="31">
        <f t="shared" si="11"/>
        <v>1.5616035956229941E-2</v>
      </c>
      <c r="R49" s="32">
        <f t="shared" si="12"/>
        <v>0</v>
      </c>
      <c r="S49" s="32">
        <f t="shared" si="13"/>
        <v>12.939318901474556</v>
      </c>
      <c r="T49" s="34">
        <f t="shared" si="14"/>
        <v>337.36266361524906</v>
      </c>
      <c r="U49" s="157">
        <f t="shared" si="4"/>
        <v>209.74561719788466</v>
      </c>
      <c r="V49" s="37">
        <f t="shared" si="15"/>
        <v>2713.9654291100355</v>
      </c>
    </row>
    <row r="50" spans="3:22" x14ac:dyDescent="0.2">
      <c r="C50" s="13">
        <v>25</v>
      </c>
      <c r="D50" s="22"/>
      <c r="E50" s="268">
        <f t="shared" si="0"/>
        <v>0.6</v>
      </c>
      <c r="F50" s="276">
        <f t="shared" si="5"/>
        <v>0</v>
      </c>
      <c r="G50" s="260">
        <f t="shared" si="6"/>
        <v>0</v>
      </c>
      <c r="H50" s="261">
        <f t="shared" si="7"/>
        <v>0</v>
      </c>
      <c r="I50" s="262">
        <f t="shared" si="8"/>
        <v>1.2892715858708556E-2</v>
      </c>
      <c r="J50" s="262">
        <f t="shared" si="9"/>
        <v>6.6102367734053983E-4</v>
      </c>
      <c r="K50" s="277">
        <f t="shared" si="10"/>
        <v>4.3958074543145903E-4</v>
      </c>
      <c r="L50" s="263">
        <f t="shared" si="1"/>
        <v>0.43958074543145903</v>
      </c>
      <c r="M50" s="141">
        <f t="shared" si="2"/>
        <v>0.43958074543145903</v>
      </c>
      <c r="N50" s="29">
        <f t="shared" si="3"/>
        <v>12.308260872080853</v>
      </c>
      <c r="O50" s="22"/>
      <c r="P50" s="22"/>
      <c r="Q50" s="31">
        <f t="shared" si="11"/>
        <v>1.4854432895627065E-2</v>
      </c>
      <c r="R50" s="32">
        <f t="shared" si="12"/>
        <v>0</v>
      </c>
      <c r="S50" s="32">
        <f t="shared" si="13"/>
        <v>12.308260872080853</v>
      </c>
      <c r="T50" s="34">
        <f t="shared" si="14"/>
        <v>342.42310356947775</v>
      </c>
      <c r="U50" s="157">
        <f t="shared" si="4"/>
        <v>208.71745240769891</v>
      </c>
      <c r="V50" s="37">
        <f t="shared" si="15"/>
        <v>2568.948852790078</v>
      </c>
    </row>
    <row r="51" spans="3:22" x14ac:dyDescent="0.2">
      <c r="C51" s="13">
        <v>26</v>
      </c>
      <c r="D51" s="22"/>
      <c r="E51" s="268">
        <f t="shared" si="0"/>
        <v>0.6</v>
      </c>
      <c r="F51" s="276">
        <f t="shared" si="5"/>
        <v>0</v>
      </c>
      <c r="G51" s="260">
        <f t="shared" si="6"/>
        <v>0</v>
      </c>
      <c r="H51" s="261">
        <f t="shared" si="7"/>
        <v>0</v>
      </c>
      <c r="I51" s="262">
        <f t="shared" si="8"/>
        <v>1.226393068653057E-2</v>
      </c>
      <c r="J51" s="262">
        <f t="shared" si="9"/>
        <v>6.2878517217798734E-4</v>
      </c>
      <c r="K51" s="277">
        <f t="shared" si="10"/>
        <v>4.1814213949836163E-4</v>
      </c>
      <c r="L51" s="263">
        <f t="shared" si="1"/>
        <v>0.41814213949836165</v>
      </c>
      <c r="M51" s="141">
        <f t="shared" si="2"/>
        <v>0.41814213949836165</v>
      </c>
      <c r="N51" s="29">
        <f t="shared" si="3"/>
        <v>11.707979905954126</v>
      </c>
      <c r="O51" s="22"/>
      <c r="P51" s="22"/>
      <c r="Q51" s="31">
        <f t="shared" si="11"/>
        <v>1.4129973654591807E-2</v>
      </c>
      <c r="R51" s="32">
        <f t="shared" si="12"/>
        <v>0</v>
      </c>
      <c r="S51" s="32">
        <f t="shared" si="13"/>
        <v>11.707979905954126</v>
      </c>
      <c r="T51" s="34">
        <f t="shared" si="14"/>
        <v>347.55945012301987</v>
      </c>
      <c r="U51" s="157">
        <f t="shared" si="4"/>
        <v>207.69432764099446</v>
      </c>
      <c r="V51" s="37">
        <f t="shared" si="15"/>
        <v>2431.6810146014159</v>
      </c>
    </row>
    <row r="52" spans="3:22" x14ac:dyDescent="0.2">
      <c r="C52" s="13">
        <v>27</v>
      </c>
      <c r="D52" s="22"/>
      <c r="E52" s="268">
        <f t="shared" si="0"/>
        <v>0.6</v>
      </c>
      <c r="F52" s="276">
        <f t="shared" si="5"/>
        <v>0</v>
      </c>
      <c r="G52" s="260">
        <f t="shared" si="6"/>
        <v>0</v>
      </c>
      <c r="H52" s="261">
        <f t="shared" si="7"/>
        <v>0</v>
      </c>
      <c r="I52" s="262">
        <f t="shared" si="8"/>
        <v>1.1665811729065121E-2</v>
      </c>
      <c r="J52" s="262">
        <f t="shared" si="9"/>
        <v>5.9811895746544929E-4</v>
      </c>
      <c r="K52" s="277">
        <f t="shared" si="10"/>
        <v>3.977491067145238E-4</v>
      </c>
      <c r="L52" s="263">
        <f t="shared" si="1"/>
        <v>0.39774910671452379</v>
      </c>
      <c r="M52" s="141">
        <f t="shared" si="2"/>
        <v>0.39774910671452379</v>
      </c>
      <c r="N52" s="29">
        <f t="shared" si="3"/>
        <v>11.136974988006667</v>
      </c>
      <c r="O52" s="22"/>
      <c r="P52" s="22"/>
      <c r="Q52" s="31">
        <f t="shared" si="11"/>
        <v>1.3440846707667615E-2</v>
      </c>
      <c r="R52" s="32">
        <f t="shared" si="12"/>
        <v>0</v>
      </c>
      <c r="S52" s="32">
        <f t="shared" si="13"/>
        <v>11.136974988006667</v>
      </c>
      <c r="T52" s="34">
        <f t="shared" si="14"/>
        <v>352.77284187486515</v>
      </c>
      <c r="U52" s="157">
        <f t="shared" si="4"/>
        <v>206.67621819177393</v>
      </c>
      <c r="V52" s="37">
        <f t="shared" si="15"/>
        <v>2301.7478726175946</v>
      </c>
    </row>
    <row r="53" spans="3:22" x14ac:dyDescent="0.2">
      <c r="C53" s="13">
        <v>28</v>
      </c>
      <c r="D53" s="22"/>
      <c r="E53" s="268">
        <f t="shared" si="0"/>
        <v>0.6</v>
      </c>
      <c r="F53" s="276">
        <f t="shared" si="5"/>
        <v>0</v>
      </c>
      <c r="G53" s="260">
        <f t="shared" si="6"/>
        <v>0</v>
      </c>
      <c r="H53" s="261">
        <f t="shared" si="7"/>
        <v>0</v>
      </c>
      <c r="I53" s="262">
        <f t="shared" si="8"/>
        <v>1.1096863377372295E-2</v>
      </c>
      <c r="J53" s="262">
        <f t="shared" si="9"/>
        <v>5.6894835169282645E-4</v>
      </c>
      <c r="K53" s="277">
        <f t="shared" si="10"/>
        <v>3.7835065387572961E-4</v>
      </c>
      <c r="L53" s="263">
        <f t="shared" si="1"/>
        <v>0.37835065387572964</v>
      </c>
      <c r="M53" s="141">
        <f t="shared" si="2"/>
        <v>0.37835065387572964</v>
      </c>
      <c r="N53" s="29">
        <f t="shared" si="3"/>
        <v>10.593818308520429</v>
      </c>
      <c r="O53" s="22"/>
      <c r="P53" s="22"/>
      <c r="Q53" s="31">
        <f t="shared" si="11"/>
        <v>1.2785328878536983E-2</v>
      </c>
      <c r="R53" s="32">
        <f t="shared" si="12"/>
        <v>0</v>
      </c>
      <c r="S53" s="32">
        <f t="shared" si="13"/>
        <v>10.593818308520429</v>
      </c>
      <c r="T53" s="34">
        <f t="shared" si="14"/>
        <v>358.06443450298809</v>
      </c>
      <c r="U53" s="157">
        <f t="shared" si="4"/>
        <v>205.66309947514753</v>
      </c>
      <c r="V53" s="37">
        <f t="shared" si="15"/>
        <v>2178.7575086068764</v>
      </c>
    </row>
    <row r="54" spans="3:22" x14ac:dyDescent="0.2">
      <c r="C54" s="13">
        <v>29</v>
      </c>
      <c r="D54" s="22"/>
      <c r="E54" s="268">
        <f t="shared" si="0"/>
        <v>0.6</v>
      </c>
      <c r="F54" s="276">
        <f t="shared" si="5"/>
        <v>0</v>
      </c>
      <c r="G54" s="260">
        <f t="shared" si="6"/>
        <v>0</v>
      </c>
      <c r="H54" s="261">
        <f t="shared" si="7"/>
        <v>0</v>
      </c>
      <c r="I54" s="262">
        <f t="shared" si="8"/>
        <v>1.0555662964220898E-2</v>
      </c>
      <c r="J54" s="262">
        <f t="shared" si="9"/>
        <v>5.4120041315139714E-4</v>
      </c>
      <c r="K54" s="277">
        <f t="shared" si="10"/>
        <v>3.598982747456791E-4</v>
      </c>
      <c r="L54" s="263">
        <f t="shared" si="1"/>
        <v>0.35989827474567909</v>
      </c>
      <c r="M54" s="141">
        <f t="shared" si="2"/>
        <v>0.35989827474567909</v>
      </c>
      <c r="N54" s="29">
        <f t="shared" si="3"/>
        <v>10.077151692879015</v>
      </c>
      <c r="O54" s="22"/>
      <c r="P54" s="22"/>
      <c r="Q54" s="31">
        <f t="shared" si="11"/>
        <v>1.2161781031183094E-2</v>
      </c>
      <c r="R54" s="32">
        <f t="shared" si="12"/>
        <v>0</v>
      </c>
      <c r="S54" s="32">
        <f t="shared" si="13"/>
        <v>10.077151692879015</v>
      </c>
      <c r="T54" s="34">
        <f t="shared" si="14"/>
        <v>363.43540102053288</v>
      </c>
      <c r="U54" s="157">
        <f t="shared" si="4"/>
        <v>204.65494702673996</v>
      </c>
      <c r="V54" s="37">
        <f t="shared" si="15"/>
        <v>2062.3389458865777</v>
      </c>
    </row>
    <row r="55" spans="3:22" x14ac:dyDescent="0.2">
      <c r="C55" s="13">
        <v>30</v>
      </c>
      <c r="D55" s="22"/>
      <c r="E55" s="268">
        <f t="shared" si="0"/>
        <v>0.6</v>
      </c>
      <c r="F55" s="276">
        <f t="shared" si="5"/>
        <v>0</v>
      </c>
      <c r="G55" s="260">
        <f t="shared" si="6"/>
        <v>0</v>
      </c>
      <c r="H55" s="261">
        <f t="shared" si="7"/>
        <v>0</v>
      </c>
      <c r="I55" s="262">
        <f t="shared" si="8"/>
        <v>1.0040857206679346E-2</v>
      </c>
      <c r="J55" s="262">
        <f t="shared" si="9"/>
        <v>5.1480575754155218E-4</v>
      </c>
      <c r="K55" s="277">
        <f t="shared" si="10"/>
        <v>3.4234582876513223E-4</v>
      </c>
      <c r="L55" s="263">
        <f t="shared" si="1"/>
        <v>0.34234582876513225</v>
      </c>
      <c r="M55" s="141">
        <f t="shared" si="2"/>
        <v>0.34234582876513225</v>
      </c>
      <c r="N55" s="29">
        <f t="shared" si="3"/>
        <v>9.5856832054237024</v>
      </c>
      <c r="O55" s="22"/>
      <c r="P55" s="22"/>
      <c r="Q55" s="31">
        <f t="shared" si="11"/>
        <v>1.1568643971195997E-2</v>
      </c>
      <c r="R55" s="32">
        <f t="shared" si="12"/>
        <v>0</v>
      </c>
      <c r="S55" s="32">
        <f t="shared" si="13"/>
        <v>9.5856832054237024</v>
      </c>
      <c r="T55" s="34">
        <f t="shared" si="14"/>
        <v>368.88693203584086</v>
      </c>
      <c r="U55" s="157">
        <f t="shared" si="4"/>
        <v>203.65173650209906</v>
      </c>
      <c r="V55" s="37">
        <f t="shared" si="15"/>
        <v>1952.1410303435441</v>
      </c>
    </row>
    <row r="56" spans="3:22" x14ac:dyDescent="0.2">
      <c r="C56" s="13">
        <v>31</v>
      </c>
      <c r="D56" s="22"/>
      <c r="E56" s="268">
        <f t="shared" si="0"/>
        <v>0.6</v>
      </c>
      <c r="F56" s="276">
        <f t="shared" si="5"/>
        <v>0</v>
      </c>
      <c r="G56" s="260">
        <f t="shared" si="6"/>
        <v>0</v>
      </c>
      <c r="H56" s="261">
        <f t="shared" si="7"/>
        <v>0</v>
      </c>
      <c r="I56" s="262">
        <f t="shared" si="8"/>
        <v>9.5511588222034413E-3</v>
      </c>
      <c r="J56" s="262">
        <f t="shared" si="9"/>
        <v>4.8969838447590478E-4</v>
      </c>
      <c r="K56" s="277">
        <f t="shared" si="10"/>
        <v>3.2564942567647672E-4</v>
      </c>
      <c r="L56" s="263">
        <f t="shared" si="1"/>
        <v>0.3256494256764767</v>
      </c>
      <c r="M56" s="141">
        <f t="shared" si="2"/>
        <v>0.3256494256764767</v>
      </c>
      <c r="N56" s="29">
        <f t="shared" si="3"/>
        <v>9.1181839189413481</v>
      </c>
      <c r="O56" s="22"/>
      <c r="P56" s="22"/>
      <c r="Q56" s="31">
        <f t="shared" si="11"/>
        <v>1.1004434546974423E-2</v>
      </c>
      <c r="R56" s="32">
        <f t="shared" si="12"/>
        <v>0</v>
      </c>
      <c r="S56" s="32">
        <f t="shared" si="13"/>
        <v>9.1181839189413481</v>
      </c>
      <c r="T56" s="34">
        <f t="shared" si="14"/>
        <v>374.42023601637845</v>
      </c>
      <c r="U56" s="157">
        <f t="shared" si="4"/>
        <v>202.6534436761084</v>
      </c>
      <c r="V56" s="37">
        <f t="shared" si="15"/>
        <v>1847.8313712455779</v>
      </c>
    </row>
    <row r="57" spans="3:22" x14ac:dyDescent="0.2">
      <c r="C57" s="13">
        <v>32</v>
      </c>
      <c r="D57" s="22"/>
      <c r="E57" s="268">
        <f t="shared" ref="E57:E88" si="16">Assump_MCF</f>
        <v>0.6</v>
      </c>
      <c r="F57" s="276">
        <f t="shared" si="5"/>
        <v>0</v>
      </c>
      <c r="G57" s="260">
        <f t="shared" si="6"/>
        <v>0</v>
      </c>
      <c r="H57" s="261">
        <f t="shared" si="7"/>
        <v>0</v>
      </c>
      <c r="I57" s="262">
        <f t="shared" si="8"/>
        <v>9.0853433097594968E-3</v>
      </c>
      <c r="J57" s="262">
        <f t="shared" si="9"/>
        <v>4.6581551244394433E-4</v>
      </c>
      <c r="K57" s="277">
        <f t="shared" si="10"/>
        <v>3.0976731577522299E-4</v>
      </c>
      <c r="L57" s="263">
        <f t="shared" ref="L57:L88" si="17">K57*U$11</f>
        <v>0.30976731577522298</v>
      </c>
      <c r="M57" s="141">
        <f t="shared" ref="M57:M88" si="18">IF($R$10="",L57,L57*(1-$R$10))</f>
        <v>0.30976731577522298</v>
      </c>
      <c r="N57" s="29">
        <f t="shared" ref="N57:N88" si="19">M57*$U$7</f>
        <v>8.6734848417062445</v>
      </c>
      <c r="O57" s="22"/>
      <c r="P57" s="22"/>
      <c r="Q57" s="31">
        <f t="shared" si="11"/>
        <v>1.0467741941074256E-2</v>
      </c>
      <c r="R57" s="32">
        <f t="shared" si="12"/>
        <v>0</v>
      </c>
      <c r="S57" s="32">
        <f t="shared" si="13"/>
        <v>8.6734848417062445</v>
      </c>
      <c r="T57" s="34">
        <f t="shared" si="14"/>
        <v>380.03653955662412</v>
      </c>
      <c r="U57" s="157">
        <f t="shared" ref="U57:U88" si="20">T57/((1+$U$10)^(C57))</f>
        <v>201.66004444240195</v>
      </c>
      <c r="V57" s="37">
        <f t="shared" si="15"/>
        <v>1749.0953386489809</v>
      </c>
    </row>
    <row r="58" spans="3:22" x14ac:dyDescent="0.2">
      <c r="C58" s="13">
        <v>33</v>
      </c>
      <c r="D58" s="22"/>
      <c r="E58" s="268">
        <f t="shared" si="16"/>
        <v>0.6</v>
      </c>
      <c r="F58" s="276">
        <f t="shared" si="5"/>
        <v>0</v>
      </c>
      <c r="G58" s="260">
        <f t="shared" si="6"/>
        <v>0</v>
      </c>
      <c r="H58" s="261">
        <f t="shared" si="7"/>
        <v>0</v>
      </c>
      <c r="I58" s="262">
        <f t="shared" si="8"/>
        <v>8.642245887933938E-3</v>
      </c>
      <c r="J58" s="262">
        <f t="shared" si="9"/>
        <v>4.4309742182555836E-4</v>
      </c>
      <c r="K58" s="277">
        <f t="shared" si="10"/>
        <v>2.9465978551399631E-4</v>
      </c>
      <c r="L58" s="263">
        <f t="shared" si="17"/>
        <v>0.2946597855139963</v>
      </c>
      <c r="M58" s="141">
        <f t="shared" si="18"/>
        <v>0.2946597855139963</v>
      </c>
      <c r="N58" s="29">
        <f t="shared" si="19"/>
        <v>8.2504739943918963</v>
      </c>
      <c r="O58" s="22"/>
      <c r="P58" s="22"/>
      <c r="Q58" s="31">
        <f t="shared" si="11"/>
        <v>9.957224142430051E-3</v>
      </c>
      <c r="R58" s="32">
        <f t="shared" si="12"/>
        <v>0</v>
      </c>
      <c r="S58" s="32">
        <f t="shared" si="13"/>
        <v>8.2504739943918963</v>
      </c>
      <c r="T58" s="34">
        <f t="shared" ref="T58:T89" si="21">T57*(1+$U$9/100)</f>
        <v>385.73708764997343</v>
      </c>
      <c r="U58" s="157">
        <f t="shared" si="20"/>
        <v>200.67151481278228</v>
      </c>
      <c r="V58" s="37">
        <f t="shared" si="15"/>
        <v>1655.6351143780885</v>
      </c>
    </row>
    <row r="59" spans="3:22" x14ac:dyDescent="0.2">
      <c r="C59" s="13">
        <v>34</v>
      </c>
      <c r="D59" s="22"/>
      <c r="E59" s="268">
        <f t="shared" si="16"/>
        <v>0.6</v>
      </c>
      <c r="F59" s="276">
        <f t="shared" si="5"/>
        <v>0</v>
      </c>
      <c r="G59" s="260">
        <f t="shared" si="6"/>
        <v>0</v>
      </c>
      <c r="H59" s="261">
        <f t="shared" si="7"/>
        <v>0</v>
      </c>
      <c r="I59" s="262">
        <f t="shared" si="8"/>
        <v>8.2207585823730629E-3</v>
      </c>
      <c r="J59" s="262">
        <f t="shared" si="9"/>
        <v>4.2148730556087598E-4</v>
      </c>
      <c r="K59" s="277">
        <f t="shared" si="10"/>
        <v>2.8028905819798254E-4</v>
      </c>
      <c r="L59" s="263">
        <f t="shared" si="17"/>
        <v>0.28028905819798255</v>
      </c>
      <c r="M59" s="141">
        <f t="shared" si="18"/>
        <v>0.28028905819798255</v>
      </c>
      <c r="N59" s="29">
        <f t="shared" si="19"/>
        <v>7.8480936295435111</v>
      </c>
      <c r="O59" s="22"/>
      <c r="P59" s="22"/>
      <c r="Q59" s="31">
        <f t="shared" si="11"/>
        <v>9.4716045906283533E-3</v>
      </c>
      <c r="R59" s="32">
        <f t="shared" si="12"/>
        <v>0</v>
      </c>
      <c r="S59" s="32">
        <f t="shared" si="13"/>
        <v>7.8480936295435111</v>
      </c>
      <c r="T59" s="34">
        <f t="shared" si="21"/>
        <v>391.52314396472298</v>
      </c>
      <c r="U59" s="157">
        <f t="shared" si="20"/>
        <v>199.68783091664119</v>
      </c>
      <c r="V59" s="37">
        <f t="shared" si="15"/>
        <v>1567.1687937142535</v>
      </c>
    </row>
    <row r="60" spans="3:22" x14ac:dyDescent="0.2">
      <c r="C60" s="13">
        <v>35</v>
      </c>
      <c r="D60" s="22"/>
      <c r="E60" s="268">
        <f t="shared" si="16"/>
        <v>0.6</v>
      </c>
      <c r="F60" s="276">
        <f t="shared" si="5"/>
        <v>0</v>
      </c>
      <c r="G60" s="260">
        <f t="shared" si="6"/>
        <v>0</v>
      </c>
      <c r="H60" s="261">
        <f t="shared" si="7"/>
        <v>0</v>
      </c>
      <c r="I60" s="262">
        <f t="shared" si="8"/>
        <v>7.8198274552700349E-3</v>
      </c>
      <c r="J60" s="262">
        <f t="shared" si="9"/>
        <v>4.0093112710302866E-4</v>
      </c>
      <c r="K60" s="277">
        <f t="shared" si="10"/>
        <v>2.6661919952351409E-4</v>
      </c>
      <c r="L60" s="263">
        <f t="shared" si="17"/>
        <v>0.26661919952351409</v>
      </c>
      <c r="M60" s="141">
        <f t="shared" si="18"/>
        <v>0.26661919952351409</v>
      </c>
      <c r="N60" s="29">
        <f t="shared" si="19"/>
        <v>7.4653375866583946</v>
      </c>
      <c r="O60" s="22"/>
      <c r="P60" s="22"/>
      <c r="Q60" s="31">
        <f t="shared" si="11"/>
        <v>9.0096689838417288E-3</v>
      </c>
      <c r="R60" s="32">
        <f t="shared" si="12"/>
        <v>0</v>
      </c>
      <c r="S60" s="32">
        <f t="shared" si="13"/>
        <v>7.4653375866583946</v>
      </c>
      <c r="T60" s="34">
        <f t="shared" si="21"/>
        <v>397.39599112419376</v>
      </c>
      <c r="U60" s="157">
        <f t="shared" si="20"/>
        <v>198.70896900038312</v>
      </c>
      <c r="V60" s="37">
        <f t="shared" si="15"/>
        <v>1483.4295350846978</v>
      </c>
    </row>
    <row r="61" spans="3:22" x14ac:dyDescent="0.2">
      <c r="C61" s="13">
        <v>36</v>
      </c>
      <c r="D61" s="22"/>
      <c r="E61" s="268">
        <f t="shared" si="16"/>
        <v>0.6</v>
      </c>
      <c r="F61" s="276">
        <f t="shared" si="5"/>
        <v>0</v>
      </c>
      <c r="G61" s="260">
        <f t="shared" si="6"/>
        <v>0</v>
      </c>
      <c r="H61" s="261">
        <f t="shared" si="7"/>
        <v>0</v>
      </c>
      <c r="I61" s="262">
        <f t="shared" si="8"/>
        <v>7.4384499699713981E-3</v>
      </c>
      <c r="J61" s="262">
        <f t="shared" si="9"/>
        <v>3.8137748529863664E-4</v>
      </c>
      <c r="K61" s="277">
        <f t="shared" si="10"/>
        <v>2.5361602772359335E-4</v>
      </c>
      <c r="L61" s="263">
        <f t="shared" si="17"/>
        <v>0.25361602772359337</v>
      </c>
      <c r="M61" s="141">
        <f t="shared" si="18"/>
        <v>0.25361602772359337</v>
      </c>
      <c r="N61" s="29">
        <f t="shared" si="19"/>
        <v>7.1012487762606149</v>
      </c>
      <c r="O61" s="22"/>
      <c r="P61" s="22"/>
      <c r="Q61" s="31">
        <f t="shared" si="11"/>
        <v>8.5702622424417008E-3</v>
      </c>
      <c r="R61" s="32">
        <f t="shared" si="12"/>
        <v>0</v>
      </c>
      <c r="S61" s="32">
        <f t="shared" si="13"/>
        <v>7.1012487762606149</v>
      </c>
      <c r="T61" s="34">
        <f t="shared" si="21"/>
        <v>403.35693099105663</v>
      </c>
      <c r="U61" s="157">
        <f t="shared" si="20"/>
        <v>197.73490542685181</v>
      </c>
      <c r="V61" s="37">
        <f t="shared" si="15"/>
        <v>1404.1647551864398</v>
      </c>
    </row>
    <row r="62" spans="3:22" x14ac:dyDescent="0.2">
      <c r="C62" s="13">
        <v>37</v>
      </c>
      <c r="D62" s="22"/>
      <c r="E62" s="268">
        <f t="shared" si="16"/>
        <v>0.6</v>
      </c>
      <c r="F62" s="276">
        <f t="shared" si="5"/>
        <v>0</v>
      </c>
      <c r="G62" s="260">
        <f t="shared" si="6"/>
        <v>0</v>
      </c>
      <c r="H62" s="261">
        <f t="shared" si="7"/>
        <v>0</v>
      </c>
      <c r="I62" s="262">
        <f t="shared" si="8"/>
        <v>7.0756724841132468E-3</v>
      </c>
      <c r="J62" s="262">
        <f t="shared" si="9"/>
        <v>3.6277748585815162E-4</v>
      </c>
      <c r="K62" s="277">
        <f t="shared" si="10"/>
        <v>2.4124702809567083E-4</v>
      </c>
      <c r="L62" s="263">
        <f t="shared" si="17"/>
        <v>0.24124702809567083</v>
      </c>
      <c r="M62" s="141">
        <f t="shared" si="18"/>
        <v>0.24124702809567083</v>
      </c>
      <c r="N62" s="29">
        <f t="shared" si="19"/>
        <v>6.7549167866787831</v>
      </c>
      <c r="O62" s="22"/>
      <c r="P62" s="22"/>
      <c r="Q62" s="31">
        <f t="shared" si="11"/>
        <v>8.1522856206980177E-3</v>
      </c>
      <c r="R62" s="32">
        <f t="shared" si="12"/>
        <v>0</v>
      </c>
      <c r="S62" s="32">
        <f t="shared" si="13"/>
        <v>6.7549167866787831</v>
      </c>
      <c r="T62" s="34">
        <f t="shared" si="21"/>
        <v>409.40728495592242</v>
      </c>
      <c r="U62" s="157">
        <f t="shared" si="20"/>
        <v>196.76561667475934</v>
      </c>
      <c r="V62" s="37">
        <f t="shared" si="15"/>
        <v>1329.1353671175345</v>
      </c>
    </row>
    <row r="63" spans="3:22" x14ac:dyDescent="0.2">
      <c r="C63" s="13">
        <v>38</v>
      </c>
      <c r="D63" s="22"/>
      <c r="E63" s="268">
        <f t="shared" si="16"/>
        <v>0.6</v>
      </c>
      <c r="F63" s="276">
        <f t="shared" si="5"/>
        <v>0</v>
      </c>
      <c r="G63" s="260">
        <f t="shared" si="6"/>
        <v>0</v>
      </c>
      <c r="H63" s="261">
        <f t="shared" si="7"/>
        <v>0</v>
      </c>
      <c r="I63" s="262">
        <f t="shared" si="8"/>
        <v>6.7305878650185816E-3</v>
      </c>
      <c r="J63" s="262">
        <f t="shared" si="9"/>
        <v>3.4508461909466551E-4</v>
      </c>
      <c r="K63" s="277">
        <f t="shared" si="10"/>
        <v>2.2948127169795257E-4</v>
      </c>
      <c r="L63" s="263">
        <f t="shared" si="17"/>
        <v>0.22948127169795257</v>
      </c>
      <c r="M63" s="141">
        <f t="shared" si="18"/>
        <v>0.22948127169795257</v>
      </c>
      <c r="N63" s="29">
        <f t="shared" si="19"/>
        <v>6.4254756075426718</v>
      </c>
      <c r="O63" s="22"/>
      <c r="P63" s="22"/>
      <c r="Q63" s="31">
        <f t="shared" si="11"/>
        <v>7.7546939593420225E-3</v>
      </c>
      <c r="R63" s="32">
        <f t="shared" si="12"/>
        <v>0</v>
      </c>
      <c r="S63" s="32">
        <f t="shared" si="13"/>
        <v>6.4254756075426718</v>
      </c>
      <c r="T63" s="34">
        <f t="shared" si="21"/>
        <v>415.54839423026124</v>
      </c>
      <c r="U63" s="157">
        <f t="shared" si="20"/>
        <v>195.80107933811834</v>
      </c>
      <c r="V63" s="37">
        <f t="shared" si="15"/>
        <v>1258.1150592176068</v>
      </c>
    </row>
    <row r="64" spans="3:22" x14ac:dyDescent="0.2">
      <c r="C64" s="13">
        <v>39</v>
      </c>
      <c r="D64" s="22"/>
      <c r="E64" s="268">
        <f t="shared" si="16"/>
        <v>0.6</v>
      </c>
      <c r="F64" s="276">
        <f t="shared" si="5"/>
        <v>0</v>
      </c>
      <c r="G64" s="260">
        <f t="shared" si="6"/>
        <v>0</v>
      </c>
      <c r="H64" s="261">
        <f t="shared" si="7"/>
        <v>0</v>
      </c>
      <c r="I64" s="262">
        <f t="shared" si="8"/>
        <v>6.4023332213931144E-3</v>
      </c>
      <c r="J64" s="262">
        <f t="shared" si="9"/>
        <v>3.2825464362546677E-4</v>
      </c>
      <c r="K64" s="277">
        <f t="shared" si="10"/>
        <v>2.1828933801093541E-4</v>
      </c>
      <c r="L64" s="263">
        <f t="shared" si="17"/>
        <v>0.21828933801093542</v>
      </c>
      <c r="M64" s="141">
        <f t="shared" si="18"/>
        <v>0.21828933801093542</v>
      </c>
      <c r="N64" s="29">
        <f t="shared" si="19"/>
        <v>6.1121014643061917</v>
      </c>
      <c r="O64" s="22"/>
      <c r="P64" s="22"/>
      <c r="Q64" s="31">
        <f t="shared" si="11"/>
        <v>7.3764930721240754E-3</v>
      </c>
      <c r="R64" s="32">
        <f t="shared" si="12"/>
        <v>0</v>
      </c>
      <c r="S64" s="32">
        <f t="shared" si="13"/>
        <v>6.1121014643061917</v>
      </c>
      <c r="T64" s="34">
        <f t="shared" si="21"/>
        <v>421.78162014371509</v>
      </c>
      <c r="U64" s="157">
        <f t="shared" si="20"/>
        <v>194.84127012567663</v>
      </c>
      <c r="V64" s="37">
        <f t="shared" si="15"/>
        <v>1190.8896124424264</v>
      </c>
    </row>
    <row r="65" spans="3:22" x14ac:dyDescent="0.2">
      <c r="C65" s="13">
        <v>40</v>
      </c>
      <c r="D65" s="22"/>
      <c r="E65" s="268">
        <f t="shared" si="16"/>
        <v>0.6</v>
      </c>
      <c r="F65" s="276">
        <f t="shared" si="5"/>
        <v>0</v>
      </c>
      <c r="G65" s="260">
        <f t="shared" si="6"/>
        <v>0</v>
      </c>
      <c r="H65" s="261">
        <f t="shared" si="7"/>
        <v>0</v>
      </c>
      <c r="I65" s="262">
        <f t="shared" si="8"/>
        <v>6.090087745647575E-3</v>
      </c>
      <c r="J65" s="262">
        <f t="shared" si="9"/>
        <v>3.1224547574553975E-4</v>
      </c>
      <c r="K65" s="277">
        <f t="shared" si="10"/>
        <v>2.0764324137078396E-4</v>
      </c>
      <c r="L65" s="263">
        <f t="shared" si="17"/>
        <v>0.20764324137078397</v>
      </c>
      <c r="M65" s="141">
        <f t="shared" si="18"/>
        <v>0.20764324137078397</v>
      </c>
      <c r="N65" s="29">
        <f t="shared" si="19"/>
        <v>5.8140107583819507</v>
      </c>
      <c r="O65" s="22"/>
      <c r="P65" s="22"/>
      <c r="Q65" s="31">
        <f t="shared" si="11"/>
        <v>7.0167372598300892E-3</v>
      </c>
      <c r="R65" s="32">
        <f t="shared" si="12"/>
        <v>0</v>
      </c>
      <c r="S65" s="32">
        <f t="shared" si="13"/>
        <v>5.8140107583819507</v>
      </c>
      <c r="T65" s="34">
        <f t="shared" si="21"/>
        <v>428.10834444587078</v>
      </c>
      <c r="U65" s="157">
        <f t="shared" si="20"/>
        <v>193.88616586035462</v>
      </c>
      <c r="V65" s="37">
        <f t="shared" si="15"/>
        <v>1127.256254213529</v>
      </c>
    </row>
    <row r="66" spans="3:22" x14ac:dyDescent="0.2">
      <c r="C66" s="13">
        <v>41</v>
      </c>
      <c r="D66" s="22"/>
      <c r="E66" s="268">
        <f t="shared" si="16"/>
        <v>0.6</v>
      </c>
      <c r="F66" s="276">
        <f t="shared" si="5"/>
        <v>0</v>
      </c>
      <c r="G66" s="260">
        <f t="shared" si="6"/>
        <v>0</v>
      </c>
      <c r="H66" s="261">
        <f t="shared" si="7"/>
        <v>0</v>
      </c>
      <c r="I66" s="262">
        <f t="shared" si="8"/>
        <v>5.7930706614511933E-3</v>
      </c>
      <c r="J66" s="262">
        <f t="shared" si="9"/>
        <v>2.9701708419638143E-4</v>
      </c>
      <c r="K66" s="277">
        <f t="shared" si="10"/>
        <v>1.9751636099059366E-4</v>
      </c>
      <c r="L66" s="263">
        <f t="shared" si="17"/>
        <v>0.19751636099059366</v>
      </c>
      <c r="M66" s="141">
        <f t="shared" si="18"/>
        <v>0.19751636099059366</v>
      </c>
      <c r="N66" s="29">
        <f t="shared" si="19"/>
        <v>5.5304581077366226</v>
      </c>
      <c r="O66" s="22"/>
      <c r="P66" s="22"/>
      <c r="Q66" s="31">
        <f t="shared" si="11"/>
        <v>6.6745269455408922E-3</v>
      </c>
      <c r="R66" s="32">
        <f t="shared" si="12"/>
        <v>0</v>
      </c>
      <c r="S66" s="32">
        <f t="shared" si="13"/>
        <v>5.5304581077366226</v>
      </c>
      <c r="T66" s="34">
        <f t="shared" si="21"/>
        <v>434.52996961255883</v>
      </c>
      <c r="U66" s="157">
        <f t="shared" si="20"/>
        <v>192.93574347868622</v>
      </c>
      <c r="V66" s="37">
        <f t="shared" si="15"/>
        <v>1067.0230467938934</v>
      </c>
    </row>
    <row r="67" spans="3:22" x14ac:dyDescent="0.2">
      <c r="C67" s="13">
        <v>42</v>
      </c>
      <c r="D67" s="22"/>
      <c r="E67" s="268">
        <f t="shared" si="16"/>
        <v>0.6</v>
      </c>
      <c r="F67" s="276">
        <f t="shared" si="5"/>
        <v>0</v>
      </c>
      <c r="G67" s="260">
        <f t="shared" si="6"/>
        <v>0</v>
      </c>
      <c r="H67" s="261">
        <f t="shared" si="7"/>
        <v>0</v>
      </c>
      <c r="I67" s="262">
        <f t="shared" si="8"/>
        <v>5.5105392713841895E-3</v>
      </c>
      <c r="J67" s="262">
        <f t="shared" si="9"/>
        <v>2.8253139006700402E-4</v>
      </c>
      <c r="K67" s="277">
        <f t="shared" si="10"/>
        <v>1.8788337439455769E-4</v>
      </c>
      <c r="L67" s="263">
        <f t="shared" si="17"/>
        <v>0.18788337439455768</v>
      </c>
      <c r="M67" s="141">
        <f t="shared" si="18"/>
        <v>0.18788337439455768</v>
      </c>
      <c r="N67" s="29">
        <f t="shared" si="19"/>
        <v>5.2607344830476155</v>
      </c>
      <c r="O67" s="22"/>
      <c r="P67" s="22"/>
      <c r="Q67" s="31">
        <f t="shared" si="11"/>
        <v>6.3490064252213719E-3</v>
      </c>
      <c r="R67" s="32">
        <f t="shared" si="12"/>
        <v>0</v>
      </c>
      <c r="S67" s="32">
        <f t="shared" si="13"/>
        <v>5.2607344830476155</v>
      </c>
      <c r="T67" s="34">
        <f t="shared" si="21"/>
        <v>441.04791915674718</v>
      </c>
      <c r="U67" s="157">
        <f t="shared" si="20"/>
        <v>191.98998003026128</v>
      </c>
      <c r="V67" s="37">
        <f t="shared" si="15"/>
        <v>1010.0083083448186</v>
      </c>
    </row>
    <row r="68" spans="3:22" x14ac:dyDescent="0.2">
      <c r="C68" s="13">
        <v>43</v>
      </c>
      <c r="D68" s="22"/>
      <c r="E68" s="268">
        <f t="shared" si="16"/>
        <v>0.6</v>
      </c>
      <c r="F68" s="276">
        <f t="shared" si="5"/>
        <v>0</v>
      </c>
      <c r="G68" s="260">
        <f t="shared" si="6"/>
        <v>0</v>
      </c>
      <c r="H68" s="261">
        <f t="shared" si="7"/>
        <v>0</v>
      </c>
      <c r="I68" s="262">
        <f t="shared" si="8"/>
        <v>5.2417870998073667E-3</v>
      </c>
      <c r="J68" s="262">
        <f t="shared" si="9"/>
        <v>2.6875217157682298E-4</v>
      </c>
      <c r="K68" s="277">
        <f t="shared" si="10"/>
        <v>1.787201940985873E-4</v>
      </c>
      <c r="L68" s="263">
        <f t="shared" si="17"/>
        <v>0.1787201940985873</v>
      </c>
      <c r="M68" s="141">
        <f t="shared" si="18"/>
        <v>0.1787201940985873</v>
      </c>
      <c r="N68" s="29">
        <f t="shared" si="19"/>
        <v>5.004165434760445</v>
      </c>
      <c r="O68" s="22"/>
      <c r="P68" s="22"/>
      <c r="Q68" s="31">
        <f t="shared" si="11"/>
        <v>6.0393617280146607E-3</v>
      </c>
      <c r="R68" s="32">
        <f t="shared" si="12"/>
        <v>0</v>
      </c>
      <c r="S68" s="32">
        <f t="shared" si="13"/>
        <v>5.004165434760445</v>
      </c>
      <c r="T68" s="34">
        <f t="shared" si="21"/>
        <v>447.66363794409835</v>
      </c>
      <c r="U68" s="157">
        <f t="shared" si="20"/>
        <v>191.04885267717177</v>
      </c>
      <c r="V68" s="37">
        <f t="shared" si="15"/>
        <v>956.04006491774339</v>
      </c>
    </row>
    <row r="69" spans="3:22" x14ac:dyDescent="0.2">
      <c r="C69" s="13">
        <v>44</v>
      </c>
      <c r="D69" s="22"/>
      <c r="E69" s="268">
        <f t="shared" si="16"/>
        <v>0.6</v>
      </c>
      <c r="F69" s="276">
        <f t="shared" si="5"/>
        <v>0</v>
      </c>
      <c r="G69" s="260">
        <f t="shared" si="6"/>
        <v>0</v>
      </c>
      <c r="H69" s="261">
        <f t="shared" si="7"/>
        <v>0</v>
      </c>
      <c r="I69" s="262">
        <f t="shared" si="8"/>
        <v>4.9861421263050279E-3</v>
      </c>
      <c r="J69" s="262">
        <f t="shared" si="9"/>
        <v>2.556449735023385E-4</v>
      </c>
      <c r="K69" s="277">
        <f t="shared" si="10"/>
        <v>1.7000390737905512E-4</v>
      </c>
      <c r="L69" s="263">
        <f t="shared" si="17"/>
        <v>0.17000390737905513</v>
      </c>
      <c r="M69" s="141">
        <f t="shared" si="18"/>
        <v>0.17000390737905513</v>
      </c>
      <c r="N69" s="29">
        <f t="shared" si="19"/>
        <v>4.7601094066135436</v>
      </c>
      <c r="O69" s="22"/>
      <c r="P69" s="22"/>
      <c r="Q69" s="31">
        <f t="shared" si="11"/>
        <v>5.7448185808910241E-3</v>
      </c>
      <c r="R69" s="32">
        <f t="shared" si="12"/>
        <v>0</v>
      </c>
      <c r="S69" s="32">
        <f t="shared" si="13"/>
        <v>4.7601094066135436</v>
      </c>
      <c r="T69" s="34">
        <f t="shared" si="21"/>
        <v>454.37859251325978</v>
      </c>
      <c r="U69" s="157">
        <f t="shared" si="20"/>
        <v>190.11233869346009</v>
      </c>
      <c r="V69" s="37">
        <f t="shared" si="15"/>
        <v>904.95553172803932</v>
      </c>
    </row>
    <row r="70" spans="3:22" x14ac:dyDescent="0.2">
      <c r="C70" s="13">
        <v>45</v>
      </c>
      <c r="D70" s="22"/>
      <c r="E70" s="268">
        <f t="shared" si="16"/>
        <v>0.6</v>
      </c>
      <c r="F70" s="276">
        <f t="shared" si="5"/>
        <v>0</v>
      </c>
      <c r="G70" s="260">
        <f t="shared" si="6"/>
        <v>0</v>
      </c>
      <c r="H70" s="261">
        <f t="shared" si="7"/>
        <v>0</v>
      </c>
      <c r="I70" s="262">
        <f t="shared" si="8"/>
        <v>4.7429651052838979E-3</v>
      </c>
      <c r="J70" s="262">
        <f t="shared" si="9"/>
        <v>2.4317702102112971E-4</v>
      </c>
      <c r="K70" s="277">
        <f t="shared" si="10"/>
        <v>1.6171271897905126E-4</v>
      </c>
      <c r="L70" s="263">
        <f t="shared" si="17"/>
        <v>0.16171271897905126</v>
      </c>
      <c r="M70" s="141">
        <f t="shared" si="18"/>
        <v>0.16171271897905126</v>
      </c>
      <c r="N70" s="29">
        <f t="shared" si="19"/>
        <v>4.5279561314134353</v>
      </c>
      <c r="O70" s="22"/>
      <c r="P70" s="22"/>
      <c r="Q70" s="31">
        <f t="shared" si="11"/>
        <v>5.4646404725619763E-3</v>
      </c>
      <c r="R70" s="32">
        <f t="shared" si="12"/>
        <v>0</v>
      </c>
      <c r="S70" s="32">
        <f t="shared" si="13"/>
        <v>4.5279561314134353</v>
      </c>
      <c r="T70" s="34">
        <f t="shared" si="21"/>
        <v>461.19427140095866</v>
      </c>
      <c r="U70" s="157">
        <f t="shared" si="20"/>
        <v>189.18041546457059</v>
      </c>
      <c r="V70" s="37">
        <f t="shared" si="15"/>
        <v>856.60062214614345</v>
      </c>
    </row>
    <row r="71" spans="3:22" x14ac:dyDescent="0.2">
      <c r="C71" s="13">
        <v>46</v>
      </c>
      <c r="D71" s="22"/>
      <c r="E71" s="268">
        <f t="shared" si="16"/>
        <v>0.6</v>
      </c>
      <c r="F71" s="276">
        <f t="shared" si="5"/>
        <v>0</v>
      </c>
      <c r="G71" s="260">
        <f t="shared" si="6"/>
        <v>0</v>
      </c>
      <c r="H71" s="261">
        <f t="shared" si="7"/>
        <v>0</v>
      </c>
      <c r="I71" s="262">
        <f t="shared" si="8"/>
        <v>4.5116479675261709E-3</v>
      </c>
      <c r="J71" s="262">
        <f t="shared" si="9"/>
        <v>2.3131713775772724E-4</v>
      </c>
      <c r="K71" s="277">
        <f t="shared" si="10"/>
        <v>1.5382589660888863E-4</v>
      </c>
      <c r="L71" s="263">
        <f t="shared" si="17"/>
        <v>0.15382589660888862</v>
      </c>
      <c r="M71" s="141">
        <f t="shared" si="18"/>
        <v>0.15382589660888862</v>
      </c>
      <c r="N71" s="29">
        <f t="shared" si="19"/>
        <v>4.3071251050488817</v>
      </c>
      <c r="O71" s="22"/>
      <c r="P71" s="22"/>
      <c r="Q71" s="31">
        <f t="shared" si="11"/>
        <v>5.1981268118184388E-3</v>
      </c>
      <c r="R71" s="32">
        <f t="shared" si="12"/>
        <v>0</v>
      </c>
      <c r="S71" s="32">
        <f t="shared" si="13"/>
        <v>4.3071251050488817</v>
      </c>
      <c r="T71" s="34">
        <f t="shared" si="21"/>
        <v>468.11218547197296</v>
      </c>
      <c r="U71" s="157">
        <f t="shared" si="20"/>
        <v>188.25306048680304</v>
      </c>
      <c r="V71" s="37">
        <f t="shared" si="15"/>
        <v>810.82948292499498</v>
      </c>
    </row>
    <row r="72" spans="3:22" x14ac:dyDescent="0.2">
      <c r="C72" s="13">
        <v>47</v>
      </c>
      <c r="D72" s="22"/>
      <c r="E72" s="268">
        <f t="shared" si="16"/>
        <v>0.6</v>
      </c>
      <c r="F72" s="276">
        <f t="shared" si="5"/>
        <v>0</v>
      </c>
      <c r="G72" s="260">
        <f t="shared" si="6"/>
        <v>0</v>
      </c>
      <c r="H72" s="261">
        <f t="shared" si="7"/>
        <v>0</v>
      </c>
      <c r="I72" s="262">
        <f t="shared" si="8"/>
        <v>4.2916122996997357E-3</v>
      </c>
      <c r="J72" s="262">
        <f t="shared" si="9"/>
        <v>2.2003566782643528E-4</v>
      </c>
      <c r="K72" s="277">
        <f t="shared" si="10"/>
        <v>1.4632371910457947E-4</v>
      </c>
      <c r="L72" s="263">
        <f t="shared" si="17"/>
        <v>0.14632371910457947</v>
      </c>
      <c r="M72" s="141">
        <f t="shared" si="18"/>
        <v>0.14632371910457947</v>
      </c>
      <c r="N72" s="29">
        <f t="shared" si="19"/>
        <v>4.0970641349282255</v>
      </c>
      <c r="O72" s="22"/>
      <c r="P72" s="22"/>
      <c r="Q72" s="31">
        <f t="shared" si="11"/>
        <v>4.9446111756877853E-3</v>
      </c>
      <c r="R72" s="32">
        <f t="shared" si="12"/>
        <v>0</v>
      </c>
      <c r="S72" s="32">
        <f t="shared" si="13"/>
        <v>4.0970641349282255</v>
      </c>
      <c r="T72" s="34">
        <f t="shared" si="21"/>
        <v>475.13386825405252</v>
      </c>
      <c r="U72" s="157">
        <f t="shared" si="20"/>
        <v>187.33025136676972</v>
      </c>
      <c r="V72" s="37">
        <f t="shared" si="15"/>
        <v>767.50405426188138</v>
      </c>
    </row>
    <row r="73" spans="3:22" x14ac:dyDescent="0.2">
      <c r="C73" s="13">
        <v>48</v>
      </c>
      <c r="D73" s="22"/>
      <c r="E73" s="268">
        <f t="shared" si="16"/>
        <v>0.6</v>
      </c>
      <c r="F73" s="276">
        <f t="shared" si="5"/>
        <v>0</v>
      </c>
      <c r="G73" s="260">
        <f t="shared" si="6"/>
        <v>0</v>
      </c>
      <c r="H73" s="261">
        <f t="shared" si="7"/>
        <v>0</v>
      </c>
      <c r="I73" s="262">
        <f t="shared" si="8"/>
        <v>4.0823078980235655E-3</v>
      </c>
      <c r="J73" s="262">
        <f t="shared" si="9"/>
        <v>2.093044016761703E-4</v>
      </c>
      <c r="K73" s="277">
        <f t="shared" si="10"/>
        <v>1.3918742711465325E-4</v>
      </c>
      <c r="L73" s="263">
        <f t="shared" si="17"/>
        <v>0.13918742711465326</v>
      </c>
      <c r="M73" s="141">
        <f t="shared" si="18"/>
        <v>0.13918742711465326</v>
      </c>
      <c r="N73" s="29">
        <f t="shared" si="19"/>
        <v>3.8972479592102913</v>
      </c>
      <c r="O73" s="22"/>
      <c r="P73" s="22"/>
      <c r="Q73" s="31">
        <f t="shared" si="11"/>
        <v>4.7034596430292905E-3</v>
      </c>
      <c r="R73" s="32">
        <f t="shared" si="12"/>
        <v>0</v>
      </c>
      <c r="S73" s="32">
        <f t="shared" si="13"/>
        <v>3.8972479592102913</v>
      </c>
      <c r="T73" s="34">
        <f t="shared" si="21"/>
        <v>482.26087627786325</v>
      </c>
      <c r="U73" s="157">
        <f t="shared" si="20"/>
        <v>186.41196582085414</v>
      </c>
      <c r="V73" s="37">
        <f t="shared" si="15"/>
        <v>726.49365336770234</v>
      </c>
    </row>
    <row r="74" spans="3:22" x14ac:dyDescent="0.2">
      <c r="C74" s="13">
        <v>49</v>
      </c>
      <c r="D74" s="22"/>
      <c r="E74" s="268">
        <f t="shared" si="16"/>
        <v>0.6</v>
      </c>
      <c r="F74" s="276">
        <f t="shared" si="5"/>
        <v>0</v>
      </c>
      <c r="G74" s="260">
        <f t="shared" si="6"/>
        <v>0</v>
      </c>
      <c r="H74" s="261">
        <f t="shared" si="7"/>
        <v>0</v>
      </c>
      <c r="I74" s="262">
        <f t="shared" si="8"/>
        <v>3.8832113924716759E-3</v>
      </c>
      <c r="J74" s="262">
        <f t="shared" si="9"/>
        <v>1.9909650555188977E-4</v>
      </c>
      <c r="K74" s="277">
        <f t="shared" si="10"/>
        <v>1.3239917619200671E-4</v>
      </c>
      <c r="L74" s="263">
        <f t="shared" si="17"/>
        <v>0.1323991761920067</v>
      </c>
      <c r="M74" s="141">
        <f t="shared" si="18"/>
        <v>0.1323991761920067</v>
      </c>
      <c r="N74" s="29">
        <f t="shared" si="19"/>
        <v>3.7071769333761875</v>
      </c>
      <c r="O74" s="22"/>
      <c r="P74" s="22"/>
      <c r="Q74" s="31">
        <f t="shared" si="11"/>
        <v>4.4740692094010865E-3</v>
      </c>
      <c r="R74" s="32">
        <f t="shared" si="12"/>
        <v>0</v>
      </c>
      <c r="S74" s="32">
        <f t="shared" si="13"/>
        <v>3.7071769333761875</v>
      </c>
      <c r="T74" s="34">
        <f t="shared" si="21"/>
        <v>489.49478942203115</v>
      </c>
      <c r="U74" s="157">
        <f t="shared" si="20"/>
        <v>185.49818167467345</v>
      </c>
      <c r="V74" s="37">
        <f t="shared" si="15"/>
        <v>687.67458028757483</v>
      </c>
    </row>
    <row r="75" spans="3:22" x14ac:dyDescent="0.2">
      <c r="C75" s="13">
        <v>50</v>
      </c>
      <c r="D75" s="22"/>
      <c r="E75" s="268">
        <f t="shared" si="16"/>
        <v>0.6</v>
      </c>
      <c r="F75" s="276">
        <f t="shared" si="5"/>
        <v>0</v>
      </c>
      <c r="G75" s="260">
        <f t="shared" si="6"/>
        <v>0</v>
      </c>
      <c r="H75" s="261">
        <f t="shared" si="7"/>
        <v>0</v>
      </c>
      <c r="I75" s="262">
        <f t="shared" si="8"/>
        <v>3.6938249380754485E-3</v>
      </c>
      <c r="J75" s="262">
        <f t="shared" si="9"/>
        <v>1.8938645439622732E-4</v>
      </c>
      <c r="K75" s="277">
        <f t="shared" si="10"/>
        <v>1.2594199217349117E-4</v>
      </c>
      <c r="L75" s="263">
        <f t="shared" si="17"/>
        <v>0.12594199217349117</v>
      </c>
      <c r="M75" s="141">
        <f t="shared" si="18"/>
        <v>0.12594199217349117</v>
      </c>
      <c r="N75" s="29">
        <f t="shared" si="19"/>
        <v>3.5263757808577525</v>
      </c>
      <c r="O75" s="22"/>
      <c r="P75" s="22"/>
      <c r="Q75" s="31">
        <f t="shared" si="11"/>
        <v>4.2558662792349594E-3</v>
      </c>
      <c r="R75" s="32">
        <f t="shared" si="12"/>
        <v>0</v>
      </c>
      <c r="S75" s="32">
        <f t="shared" si="13"/>
        <v>3.5263757808577525</v>
      </c>
      <c r="T75" s="34">
        <f t="shared" si="21"/>
        <v>496.83721126336155</v>
      </c>
      <c r="U75" s="157">
        <f t="shared" si="20"/>
        <v>184.58887686254266</v>
      </c>
      <c r="V75" s="37">
        <f t="shared" si="15"/>
        <v>650.92974478380438</v>
      </c>
    </row>
    <row r="76" spans="3:22" x14ac:dyDescent="0.2">
      <c r="C76" s="13">
        <v>51</v>
      </c>
      <c r="D76" s="22"/>
      <c r="E76" s="268">
        <f t="shared" si="16"/>
        <v>0.6</v>
      </c>
      <c r="F76" s="276">
        <f t="shared" si="5"/>
        <v>0</v>
      </c>
      <c r="G76" s="260">
        <f t="shared" si="6"/>
        <v>0</v>
      </c>
      <c r="H76" s="261">
        <f t="shared" si="7"/>
        <v>0</v>
      </c>
      <c r="I76" s="262">
        <f t="shared" si="8"/>
        <v>3.5136749700518943E-3</v>
      </c>
      <c r="J76" s="262">
        <f t="shared" si="9"/>
        <v>1.8014996802355403E-4</v>
      </c>
      <c r="K76" s="277">
        <f t="shared" si="10"/>
        <v>1.1979972873566343E-4</v>
      </c>
      <c r="L76" s="263">
        <f t="shared" si="17"/>
        <v>0.11979972873566343</v>
      </c>
      <c r="M76" s="141">
        <f t="shared" si="18"/>
        <v>0.11979972873566343</v>
      </c>
      <c r="N76" s="29">
        <f t="shared" si="19"/>
        <v>3.3543924045985758</v>
      </c>
      <c r="O76" s="22"/>
      <c r="P76" s="22"/>
      <c r="Q76" s="31">
        <f t="shared" si="11"/>
        <v>4.048305231548666E-3</v>
      </c>
      <c r="R76" s="32">
        <f t="shared" si="12"/>
        <v>0</v>
      </c>
      <c r="S76" s="32">
        <f t="shared" si="13"/>
        <v>3.3543924045985758</v>
      </c>
      <c r="T76" s="34">
        <f t="shared" si="21"/>
        <v>504.28976943231191</v>
      </c>
      <c r="U76" s="157">
        <f t="shared" si="20"/>
        <v>183.68402942694198</v>
      </c>
      <c r="V76" s="37">
        <f t="shared" si="15"/>
        <v>616.14831315579545</v>
      </c>
    </row>
    <row r="77" spans="3:22" x14ac:dyDescent="0.2">
      <c r="C77" s="13">
        <v>52</v>
      </c>
      <c r="D77" s="22"/>
      <c r="E77" s="268">
        <f t="shared" si="16"/>
        <v>0.6</v>
      </c>
      <c r="F77" s="276">
        <f t="shared" si="5"/>
        <v>0</v>
      </c>
      <c r="G77" s="260">
        <f t="shared" si="6"/>
        <v>0</v>
      </c>
      <c r="H77" s="261">
        <f t="shared" si="7"/>
        <v>0</v>
      </c>
      <c r="I77" s="262">
        <f t="shared" si="8"/>
        <v>3.3423110196450271E-3</v>
      </c>
      <c r="J77" s="262">
        <f t="shared" si="9"/>
        <v>1.7136395040686733E-4</v>
      </c>
      <c r="K77" s="277">
        <f t="shared" si="10"/>
        <v>1.1395702702056678E-4</v>
      </c>
      <c r="L77" s="263">
        <f t="shared" si="17"/>
        <v>0.11395702702056679</v>
      </c>
      <c r="M77" s="141">
        <f t="shared" si="18"/>
        <v>0.11395702702056679</v>
      </c>
      <c r="N77" s="29">
        <f t="shared" si="19"/>
        <v>3.1907967565758701</v>
      </c>
      <c r="O77" s="22"/>
      <c r="P77" s="22"/>
      <c r="Q77" s="31">
        <f t="shared" si="11"/>
        <v>3.8508670556092672E-3</v>
      </c>
      <c r="R77" s="32">
        <f t="shared" si="12"/>
        <v>0</v>
      </c>
      <c r="S77" s="32">
        <f t="shared" si="13"/>
        <v>3.1907967565758701</v>
      </c>
      <c r="T77" s="34">
        <f t="shared" si="21"/>
        <v>511.85411597379652</v>
      </c>
      <c r="U77" s="157">
        <f t="shared" si="20"/>
        <v>182.78361751798633</v>
      </c>
      <c r="V77" s="37">
        <f t="shared" si="15"/>
        <v>583.22537393159519</v>
      </c>
    </row>
    <row r="78" spans="3:22" x14ac:dyDescent="0.2">
      <c r="C78" s="13">
        <v>53</v>
      </c>
      <c r="D78" s="22"/>
      <c r="E78" s="268">
        <f t="shared" si="16"/>
        <v>0.6</v>
      </c>
      <c r="F78" s="276">
        <f t="shared" si="5"/>
        <v>0</v>
      </c>
      <c r="G78" s="260">
        <f t="shared" si="6"/>
        <v>0</v>
      </c>
      <c r="H78" s="261">
        <f t="shared" si="7"/>
        <v>0</v>
      </c>
      <c r="I78" s="262">
        <f t="shared" si="8"/>
        <v>3.1793045877193337E-3</v>
      </c>
      <c r="J78" s="262">
        <f t="shared" si="9"/>
        <v>1.6300643192569331E-4</v>
      </c>
      <c r="K78" s="277">
        <f t="shared" si="10"/>
        <v>1.0839927723058605E-4</v>
      </c>
      <c r="L78" s="263">
        <f t="shared" si="17"/>
        <v>0.10839927723058605</v>
      </c>
      <c r="M78" s="141">
        <f t="shared" si="18"/>
        <v>0.10839927723058605</v>
      </c>
      <c r="N78" s="29">
        <f t="shared" si="19"/>
        <v>3.0351797624564094</v>
      </c>
      <c r="O78" s="22"/>
      <c r="P78" s="22"/>
      <c r="Q78" s="31">
        <f t="shared" si="11"/>
        <v>3.6630580531359621E-3</v>
      </c>
      <c r="R78" s="32">
        <f t="shared" si="12"/>
        <v>0</v>
      </c>
      <c r="S78" s="32">
        <f t="shared" si="13"/>
        <v>3.0351797624564094</v>
      </c>
      <c r="T78" s="34">
        <f t="shared" si="21"/>
        <v>519.53192771340343</v>
      </c>
      <c r="U78" s="157">
        <f t="shared" si="20"/>
        <v>181.88761939289816</v>
      </c>
      <c r="V78" s="37">
        <f t="shared" si="15"/>
        <v>552.06162142269841</v>
      </c>
    </row>
    <row r="79" spans="3:22" x14ac:dyDescent="0.2">
      <c r="C79" s="13">
        <v>54</v>
      </c>
      <c r="D79" s="22"/>
      <c r="E79" s="268">
        <f t="shared" si="16"/>
        <v>0.6</v>
      </c>
      <c r="F79" s="276">
        <f t="shared" si="5"/>
        <v>0</v>
      </c>
      <c r="G79" s="260">
        <f t="shared" si="6"/>
        <v>0</v>
      </c>
      <c r="H79" s="261">
        <f t="shared" si="7"/>
        <v>0</v>
      </c>
      <c r="I79" s="262">
        <f t="shared" si="8"/>
        <v>3.0242480732887416E-3</v>
      </c>
      <c r="J79" s="262">
        <f t="shared" si="9"/>
        <v>1.5505651443059205E-4</v>
      </c>
      <c r="K79" s="277">
        <f t="shared" si="10"/>
        <v>1.0311258209634373E-4</v>
      </c>
      <c r="L79" s="263">
        <f t="shared" si="17"/>
        <v>0.10311258209634373</v>
      </c>
      <c r="M79" s="141">
        <f t="shared" si="18"/>
        <v>0.10311258209634373</v>
      </c>
      <c r="N79" s="29">
        <f t="shared" si="19"/>
        <v>2.8871522986976244</v>
      </c>
      <c r="O79" s="22"/>
      <c r="P79" s="22"/>
      <c r="Q79" s="31">
        <f t="shared" si="11"/>
        <v>3.4844086037972271E-3</v>
      </c>
      <c r="R79" s="32">
        <f t="shared" si="12"/>
        <v>0</v>
      </c>
      <c r="S79" s="32">
        <f t="shared" si="13"/>
        <v>2.8871522986976244</v>
      </c>
      <c r="T79" s="34">
        <f t="shared" si="21"/>
        <v>527.32490662910448</v>
      </c>
      <c r="U79" s="157">
        <f t="shared" si="20"/>
        <v>180.99601341548197</v>
      </c>
      <c r="V79" s="37">
        <f t="shared" si="15"/>
        <v>522.56305618761485</v>
      </c>
    </row>
    <row r="80" spans="3:22" x14ac:dyDescent="0.2">
      <c r="C80" s="13">
        <v>55</v>
      </c>
      <c r="D80" s="22"/>
      <c r="E80" s="268">
        <f t="shared" si="16"/>
        <v>0.6</v>
      </c>
      <c r="F80" s="276">
        <f t="shared" si="5"/>
        <v>0</v>
      </c>
      <c r="G80" s="260">
        <f t="shared" si="6"/>
        <v>0</v>
      </c>
      <c r="H80" s="261">
        <f t="shared" si="7"/>
        <v>0</v>
      </c>
      <c r="I80" s="262">
        <f t="shared" si="8"/>
        <v>2.8767537543018429E-3</v>
      </c>
      <c r="J80" s="262">
        <f t="shared" si="9"/>
        <v>1.4749431898689874E-4</v>
      </c>
      <c r="K80" s="277">
        <f t="shared" si="10"/>
        <v>9.808372212628767E-5</v>
      </c>
      <c r="L80" s="263">
        <f t="shared" si="17"/>
        <v>9.8083722126287673E-2</v>
      </c>
      <c r="M80" s="141">
        <f t="shared" si="18"/>
        <v>9.8083722126287673E-2</v>
      </c>
      <c r="N80" s="29">
        <f t="shared" si="19"/>
        <v>2.7463442195360548</v>
      </c>
      <c r="O80" s="22"/>
      <c r="P80" s="22"/>
      <c r="Q80" s="31">
        <f t="shared" si="11"/>
        <v>3.314471990915373E-3</v>
      </c>
      <c r="R80" s="32">
        <f t="shared" si="12"/>
        <v>0</v>
      </c>
      <c r="S80" s="32">
        <f t="shared" si="13"/>
        <v>2.7463442195360548</v>
      </c>
      <c r="T80" s="34">
        <f t="shared" si="21"/>
        <v>535.23478022854101</v>
      </c>
      <c r="U80" s="157">
        <f t="shared" si="20"/>
        <v>180.10877805560219</v>
      </c>
      <c r="V80" s="37">
        <f t="shared" si="15"/>
        <v>494.64070150070529</v>
      </c>
    </row>
    <row r="81" spans="3:22" x14ac:dyDescent="0.2">
      <c r="C81" s="13">
        <v>56</v>
      </c>
      <c r="D81" s="22"/>
      <c r="E81" s="268">
        <f t="shared" si="16"/>
        <v>0.6</v>
      </c>
      <c r="F81" s="276">
        <f t="shared" si="5"/>
        <v>0</v>
      </c>
      <c r="G81" s="260">
        <f t="shared" si="6"/>
        <v>0</v>
      </c>
      <c r="H81" s="261">
        <f t="shared" si="7"/>
        <v>0</v>
      </c>
      <c r="I81" s="262">
        <f t="shared" si="8"/>
        <v>2.7364528181348107E-3</v>
      </c>
      <c r="J81" s="262">
        <f t="shared" si="9"/>
        <v>1.4030093616703243E-4</v>
      </c>
      <c r="K81" s="277">
        <f t="shared" si="10"/>
        <v>9.3300122551076564E-5</v>
      </c>
      <c r="L81" s="263">
        <f t="shared" si="17"/>
        <v>9.3300122551076559E-2</v>
      </c>
      <c r="M81" s="141">
        <f t="shared" si="18"/>
        <v>9.3300122551076559E-2</v>
      </c>
      <c r="N81" s="29">
        <f t="shared" si="19"/>
        <v>2.6124034314301436</v>
      </c>
      <c r="O81" s="22"/>
      <c r="P81" s="22"/>
      <c r="Q81" s="31">
        <f t="shared" si="11"/>
        <v>3.1528232844421659E-3</v>
      </c>
      <c r="R81" s="32">
        <f t="shared" si="12"/>
        <v>0</v>
      </c>
      <c r="S81" s="32">
        <f t="shared" si="13"/>
        <v>2.6124034314301436</v>
      </c>
      <c r="T81" s="34">
        <f t="shared" si="21"/>
        <v>543.26330193196907</v>
      </c>
      <c r="U81" s="157">
        <f t="shared" si="20"/>
        <v>179.22589188866294</v>
      </c>
      <c r="V81" s="37">
        <f t="shared" si="15"/>
        <v>468.21033497107101</v>
      </c>
    </row>
    <row r="82" spans="3:22" x14ac:dyDescent="0.2">
      <c r="C82" s="13">
        <v>57</v>
      </c>
      <c r="D82" s="22"/>
      <c r="E82" s="268">
        <f t="shared" si="16"/>
        <v>0.6</v>
      </c>
      <c r="F82" s="276">
        <f t="shared" si="5"/>
        <v>0</v>
      </c>
      <c r="G82" s="260">
        <f t="shared" si="6"/>
        <v>0</v>
      </c>
      <c r="H82" s="261">
        <f t="shared" si="7"/>
        <v>0</v>
      </c>
      <c r="I82" s="262">
        <f t="shared" si="8"/>
        <v>2.6029944393677331E-3</v>
      </c>
      <c r="J82" s="262">
        <f t="shared" si="9"/>
        <v>1.3345837876707769E-4</v>
      </c>
      <c r="K82" s="277">
        <f t="shared" si="10"/>
        <v>8.8749821880106669E-5</v>
      </c>
      <c r="L82" s="263">
        <f t="shared" si="17"/>
        <v>8.8749821880106675E-2</v>
      </c>
      <c r="M82" s="141">
        <f t="shared" si="18"/>
        <v>8.8749821880106675E-2</v>
      </c>
      <c r="N82" s="29">
        <f t="shared" si="19"/>
        <v>2.4849950126429867</v>
      </c>
      <c r="O82" s="22"/>
      <c r="P82" s="22"/>
      <c r="Q82" s="31">
        <f t="shared" si="11"/>
        <v>2.9990582784123732E-3</v>
      </c>
      <c r="R82" s="32">
        <f t="shared" si="12"/>
        <v>0</v>
      </c>
      <c r="S82" s="32">
        <f t="shared" si="13"/>
        <v>2.4849950126429867</v>
      </c>
      <c r="T82" s="34">
        <f t="shared" si="21"/>
        <v>551.4122514609486</v>
      </c>
      <c r="U82" s="157">
        <f t="shared" si="20"/>
        <v>178.34733359509107</v>
      </c>
      <c r="V82" s="37">
        <f t="shared" si="15"/>
        <v>443.19223450197632</v>
      </c>
    </row>
    <row r="83" spans="3:22" x14ac:dyDescent="0.2">
      <c r="C83" s="13">
        <v>58</v>
      </c>
      <c r="D83" s="22"/>
      <c r="E83" s="268">
        <f t="shared" si="16"/>
        <v>0.6</v>
      </c>
      <c r="F83" s="276">
        <f t="shared" si="5"/>
        <v>0</v>
      </c>
      <c r="G83" s="260">
        <f t="shared" si="6"/>
        <v>0</v>
      </c>
      <c r="H83" s="261">
        <f t="shared" si="7"/>
        <v>0</v>
      </c>
      <c r="I83" s="262">
        <f t="shared" si="8"/>
        <v>2.4760449025383277E-3</v>
      </c>
      <c r="J83" s="262">
        <f t="shared" si="9"/>
        <v>1.2694953682940562E-4</v>
      </c>
      <c r="K83" s="277">
        <f t="shared" si="10"/>
        <v>8.4421441991554735E-5</v>
      </c>
      <c r="L83" s="263">
        <f t="shared" si="17"/>
        <v>8.4421441991554741E-2</v>
      </c>
      <c r="M83" s="141">
        <f t="shared" si="18"/>
        <v>8.4421441991554741E-2</v>
      </c>
      <c r="N83" s="29">
        <f t="shared" si="19"/>
        <v>2.3638003757635326</v>
      </c>
      <c r="O83" s="22"/>
      <c r="P83" s="22"/>
      <c r="Q83" s="31">
        <f t="shared" si="11"/>
        <v>2.8527924802183033E-3</v>
      </c>
      <c r="R83" s="32">
        <f t="shared" si="12"/>
        <v>0</v>
      </c>
      <c r="S83" s="32">
        <f t="shared" si="13"/>
        <v>2.3638003757635326</v>
      </c>
      <c r="T83" s="34">
        <f t="shared" si="21"/>
        <v>559.68343523286273</v>
      </c>
      <c r="U83" s="157">
        <f t="shared" si="20"/>
        <v>177.47308195982097</v>
      </c>
      <c r="V83" s="37">
        <f t="shared" si="15"/>
        <v>419.51093782453705</v>
      </c>
    </row>
    <row r="84" spans="3:22" x14ac:dyDescent="0.2">
      <c r="C84" s="13">
        <v>59</v>
      </c>
      <c r="D84" s="22"/>
      <c r="E84" s="268">
        <f t="shared" si="16"/>
        <v>0.6</v>
      </c>
      <c r="F84" s="276">
        <f t="shared" si="5"/>
        <v>0</v>
      </c>
      <c r="G84" s="260">
        <f t="shared" si="6"/>
        <v>0</v>
      </c>
      <c r="H84" s="261">
        <f t="shared" si="7"/>
        <v>0</v>
      </c>
      <c r="I84" s="262">
        <f t="shared" si="8"/>
        <v>2.3552867676794598E-3</v>
      </c>
      <c r="J84" s="262">
        <f t="shared" si="9"/>
        <v>1.2075813485886771E-4</v>
      </c>
      <c r="K84" s="277">
        <f t="shared" si="10"/>
        <v>8.030415968114703E-5</v>
      </c>
      <c r="L84" s="263">
        <f t="shared" si="17"/>
        <v>8.0304159681147028E-2</v>
      </c>
      <c r="M84" s="141">
        <f t="shared" si="18"/>
        <v>8.0304159681147028E-2</v>
      </c>
      <c r="N84" s="29">
        <f t="shared" si="19"/>
        <v>2.2485164710721168</v>
      </c>
      <c r="O84" s="22"/>
      <c r="P84" s="22"/>
      <c r="Q84" s="31">
        <f t="shared" si="11"/>
        <v>2.7136601491780216E-3</v>
      </c>
      <c r="R84" s="32">
        <f t="shared" si="12"/>
        <v>0</v>
      </c>
      <c r="S84" s="32">
        <f t="shared" si="13"/>
        <v>2.2485164710721168</v>
      </c>
      <c r="T84" s="34">
        <f t="shared" si="21"/>
        <v>568.07868676135558</v>
      </c>
      <c r="U84" s="157">
        <f t="shared" si="20"/>
        <v>176.60311587178262</v>
      </c>
      <c r="V84" s="37">
        <f t="shared" si="15"/>
        <v>397.09501488036079</v>
      </c>
    </row>
    <row r="85" spans="3:22" x14ac:dyDescent="0.2">
      <c r="C85" s="13">
        <v>60</v>
      </c>
      <c r="D85" s="22"/>
      <c r="E85" s="268">
        <f t="shared" si="16"/>
        <v>0.6</v>
      </c>
      <c r="F85" s="276">
        <f t="shared" si="5"/>
        <v>0</v>
      </c>
      <c r="G85" s="260">
        <f t="shared" si="6"/>
        <v>0</v>
      </c>
      <c r="H85" s="261">
        <f t="shared" si="7"/>
        <v>0</v>
      </c>
      <c r="I85" s="262">
        <f t="shared" si="8"/>
        <v>2.2404180765538792E-3</v>
      </c>
      <c r="J85" s="262">
        <f t="shared" si="9"/>
        <v>1.1486869112558033E-4</v>
      </c>
      <c r="K85" s="277">
        <f t="shared" si="10"/>
        <v>7.6387679598510929E-5</v>
      </c>
      <c r="L85" s="263">
        <f t="shared" si="17"/>
        <v>7.6387679598510935E-2</v>
      </c>
      <c r="M85" s="141">
        <f t="shared" si="18"/>
        <v>7.6387679598510935E-2</v>
      </c>
      <c r="N85" s="29">
        <f t="shared" si="19"/>
        <v>2.1388550287583064</v>
      </c>
      <c r="O85" s="22"/>
      <c r="P85" s="22"/>
      <c r="Q85" s="31">
        <f t="shared" si="11"/>
        <v>2.5813133819931311E-3</v>
      </c>
      <c r="R85" s="32">
        <f t="shared" si="12"/>
        <v>0</v>
      </c>
      <c r="S85" s="32">
        <f t="shared" si="13"/>
        <v>2.1388550287583064</v>
      </c>
      <c r="T85" s="34">
        <f t="shared" si="21"/>
        <v>576.59986706277584</v>
      </c>
      <c r="U85" s="157">
        <f t="shared" si="20"/>
        <v>175.73741432339148</v>
      </c>
      <c r="V85" s="37">
        <f t="shared" si="15"/>
        <v>375.8768523665679</v>
      </c>
    </row>
    <row r="86" spans="3:22" x14ac:dyDescent="0.2">
      <c r="C86" s="13">
        <v>61</v>
      </c>
      <c r="D86" s="22"/>
      <c r="E86" s="268">
        <f t="shared" si="16"/>
        <v>0.6</v>
      </c>
      <c r="F86" s="276">
        <f t="shared" si="5"/>
        <v>0</v>
      </c>
      <c r="G86" s="260">
        <f t="shared" si="6"/>
        <v>0</v>
      </c>
      <c r="H86" s="261">
        <f t="shared" si="7"/>
        <v>0</v>
      </c>
      <c r="I86" s="262">
        <f t="shared" si="8"/>
        <v>2.1311515976013434E-3</v>
      </c>
      <c r="J86" s="262">
        <f t="shared" si="9"/>
        <v>1.0926647895253606E-4</v>
      </c>
      <c r="K86" s="277">
        <f t="shared" si="10"/>
        <v>7.2662208503436484E-5</v>
      </c>
      <c r="L86" s="263">
        <f t="shared" si="17"/>
        <v>7.2662208503436479E-2</v>
      </c>
      <c r="M86" s="141">
        <f t="shared" si="18"/>
        <v>7.2662208503436479E-2</v>
      </c>
      <c r="N86" s="29">
        <f t="shared" si="19"/>
        <v>2.0345418380962212</v>
      </c>
      <c r="O86" s="22"/>
      <c r="P86" s="22"/>
      <c r="Q86" s="31">
        <f t="shared" si="11"/>
        <v>2.455421242809318E-3</v>
      </c>
      <c r="R86" s="32">
        <f t="shared" si="12"/>
        <v>0</v>
      </c>
      <c r="S86" s="32">
        <f t="shared" si="13"/>
        <v>2.0345418380962212</v>
      </c>
      <c r="T86" s="34">
        <f t="shared" si="21"/>
        <v>585.24886506871746</v>
      </c>
      <c r="U86" s="157">
        <f t="shared" si="20"/>
        <v>174.87595641004154</v>
      </c>
      <c r="V86" s="37">
        <f t="shared" si="15"/>
        <v>355.7924497933206</v>
      </c>
    </row>
    <row r="87" spans="3:22" x14ac:dyDescent="0.2">
      <c r="C87" s="13">
        <v>62</v>
      </c>
      <c r="D87" s="22"/>
      <c r="E87" s="268">
        <f t="shared" si="16"/>
        <v>0.6</v>
      </c>
      <c r="F87" s="276">
        <f t="shared" si="5"/>
        <v>0</v>
      </c>
      <c r="G87" s="260">
        <f t="shared" si="6"/>
        <v>0</v>
      </c>
      <c r="H87" s="261">
        <f t="shared" si="7"/>
        <v>0</v>
      </c>
      <c r="I87" s="262">
        <f t="shared" si="8"/>
        <v>2.0272141077101033E-3</v>
      </c>
      <c r="J87" s="262">
        <f t="shared" si="9"/>
        <v>1.0393748989124026E-4</v>
      </c>
      <c r="K87" s="277">
        <f t="shared" si="10"/>
        <v>6.9118430777674773E-5</v>
      </c>
      <c r="L87" s="263">
        <f t="shared" si="17"/>
        <v>6.9118430777674766E-2</v>
      </c>
      <c r="M87" s="141">
        <f t="shared" si="18"/>
        <v>6.9118430777674766E-2</v>
      </c>
      <c r="N87" s="29">
        <f t="shared" si="19"/>
        <v>1.9353160617748935</v>
      </c>
      <c r="O87" s="22"/>
      <c r="P87" s="22"/>
      <c r="Q87" s="31">
        <f t="shared" si="11"/>
        <v>2.3356689357043356E-3</v>
      </c>
      <c r="R87" s="32">
        <f t="shared" si="12"/>
        <v>0</v>
      </c>
      <c r="S87" s="32">
        <f t="shared" si="13"/>
        <v>1.9353160617748935</v>
      </c>
      <c r="T87" s="34">
        <f t="shared" si="21"/>
        <v>594.02759804474817</v>
      </c>
      <c r="U87" s="157">
        <f t="shared" si="20"/>
        <v>174.01872132960011</v>
      </c>
      <c r="V87" s="37">
        <f t="shared" si="15"/>
        <v>336.78122643870432</v>
      </c>
    </row>
    <row r="88" spans="3:22" x14ac:dyDescent="0.2">
      <c r="C88" s="13">
        <v>63</v>
      </c>
      <c r="D88" s="22"/>
      <c r="E88" s="268">
        <f t="shared" si="16"/>
        <v>0.6</v>
      </c>
      <c r="F88" s="276">
        <f t="shared" si="5"/>
        <v>0</v>
      </c>
      <c r="G88" s="260">
        <f t="shared" si="6"/>
        <v>0</v>
      </c>
      <c r="H88" s="261">
        <f t="shared" si="7"/>
        <v>0</v>
      </c>
      <c r="I88" s="262">
        <f t="shared" si="8"/>
        <v>1.92834570901681E-3</v>
      </c>
      <c r="J88" s="262">
        <f t="shared" si="9"/>
        <v>9.8868398693293253E-5</v>
      </c>
      <c r="K88" s="277">
        <f t="shared" si="10"/>
        <v>6.5747485131040014E-5</v>
      </c>
      <c r="L88" s="263">
        <f t="shared" si="17"/>
        <v>6.574748513104002E-2</v>
      </c>
      <c r="M88" s="141">
        <f t="shared" si="18"/>
        <v>6.574748513104002E-2</v>
      </c>
      <c r="N88" s="29">
        <f t="shared" si="19"/>
        <v>1.8409295836691206</v>
      </c>
      <c r="O88" s="22"/>
      <c r="P88" s="22"/>
      <c r="Q88" s="31">
        <f t="shared" si="11"/>
        <v>2.2217570175342301E-3</v>
      </c>
      <c r="R88" s="32">
        <f t="shared" si="12"/>
        <v>0</v>
      </c>
      <c r="S88" s="32">
        <f t="shared" si="13"/>
        <v>1.8409295836691206</v>
      </c>
      <c r="T88" s="34">
        <f t="shared" si="21"/>
        <v>602.9380120154193</v>
      </c>
      <c r="U88" s="157">
        <f t="shared" si="20"/>
        <v>173.16568838190602</v>
      </c>
      <c r="V88" s="37">
        <f t="shared" si="15"/>
        <v>318.78583861867895</v>
      </c>
    </row>
    <row r="89" spans="3:22" x14ac:dyDescent="0.2">
      <c r="C89" s="13">
        <v>64</v>
      </c>
      <c r="D89" s="22"/>
      <c r="E89" s="268">
        <f t="shared" ref="E89:E115" si="22">Assump_MCF</f>
        <v>0.6</v>
      </c>
      <c r="F89" s="276">
        <f t="shared" si="5"/>
        <v>0</v>
      </c>
      <c r="G89" s="260">
        <f t="shared" si="6"/>
        <v>0</v>
      </c>
      <c r="H89" s="261">
        <f t="shared" si="7"/>
        <v>0</v>
      </c>
      <c r="I89" s="262">
        <f t="shared" si="8"/>
        <v>1.8342991790264815E-3</v>
      </c>
      <c r="J89" s="262">
        <f t="shared" si="9"/>
        <v>9.4046529990328493E-5</v>
      </c>
      <c r="K89" s="277">
        <f t="shared" si="10"/>
        <v>6.2540942443568452E-5</v>
      </c>
      <c r="L89" s="263">
        <f t="shared" ref="L89:L115" si="23">K89*U$11</f>
        <v>6.2540942443568448E-2</v>
      </c>
      <c r="M89" s="141">
        <f t="shared" ref="M89:M115" si="24">IF($R$10="",L89,L89*(1-$R$10))</f>
        <v>6.2540942443568448E-2</v>
      </c>
      <c r="N89" s="29">
        <f t="shared" ref="N89:N115" si="25">M89*$U$7</f>
        <v>1.7511463884199165</v>
      </c>
      <c r="O89" s="22"/>
      <c r="P89" s="22"/>
      <c r="Q89" s="31">
        <f t="shared" si="11"/>
        <v>2.1134006491695086E-3</v>
      </c>
      <c r="R89" s="32">
        <f t="shared" si="12"/>
        <v>0</v>
      </c>
      <c r="S89" s="32">
        <f t="shared" si="13"/>
        <v>1.7511463884199165</v>
      </c>
      <c r="T89" s="34">
        <f t="shared" si="21"/>
        <v>611.98208219565049</v>
      </c>
      <c r="U89" s="157">
        <f t="shared" ref="U89:U115" si="26">T89/((1+$U$10)^(C89))</f>
        <v>172.31683696826914</v>
      </c>
      <c r="V89" s="37">
        <f t="shared" si="15"/>
        <v>301.75200672092808</v>
      </c>
    </row>
    <row r="90" spans="3:22" x14ac:dyDescent="0.2">
      <c r="C90" s="13">
        <v>65</v>
      </c>
      <c r="D90" s="22"/>
      <c r="E90" s="268">
        <f t="shared" si="22"/>
        <v>0.6</v>
      </c>
      <c r="F90" s="276">
        <f t="shared" ref="F90:F115" si="27">D90*$J$11*$J$12*E90</f>
        <v>0</v>
      </c>
      <c r="G90" s="260">
        <f t="shared" ref="G90:G115" si="28">F90*$J$17</f>
        <v>0</v>
      </c>
      <c r="H90" s="261">
        <f t="shared" ref="H90:H115" si="29">F90*(1-$J$17)</f>
        <v>0</v>
      </c>
      <c r="I90" s="262">
        <f t="shared" ref="I90:I115" si="30">G90+(I89*$J$15)</f>
        <v>1.7448393524274921E-3</v>
      </c>
      <c r="J90" s="262">
        <f t="shared" ref="J90:J115" si="31">H90+(I89*(1-$J$15))</f>
        <v>8.9459826598989315E-5</v>
      </c>
      <c r="K90" s="277">
        <f t="shared" ref="K90:K115" si="32">$J$18*$U$6*J90</f>
        <v>5.94907846883279E-5</v>
      </c>
      <c r="L90" s="263">
        <f t="shared" si="23"/>
        <v>5.94907846883279E-2</v>
      </c>
      <c r="M90" s="141">
        <f t="shared" si="24"/>
        <v>5.94907846883279E-2</v>
      </c>
      <c r="N90" s="29">
        <f t="shared" si="25"/>
        <v>1.6657419712731811</v>
      </c>
      <c r="O90" s="22"/>
      <c r="P90" s="22"/>
      <c r="Q90" s="31">
        <f t="shared" ref="Q90:Q115" si="33">K90/$K$24</f>
        <v>2.0103288832489475E-3</v>
      </c>
      <c r="R90" s="32">
        <f t="shared" ref="R90:R115" si="34">IFERROR($P$24*Q90,"No value")</f>
        <v>0</v>
      </c>
      <c r="S90" s="32">
        <f t="shared" ref="S90:S115" si="35">IFERROR(N90-R90,"No value")</f>
        <v>1.6657419712731811</v>
      </c>
      <c r="T90" s="34">
        <f t="shared" ref="T90:T115" si="36">T89*(1+$U$9/100)</f>
        <v>621.16181342858522</v>
      </c>
      <c r="U90" s="157">
        <f t="shared" si="26"/>
        <v>171.47214659097369</v>
      </c>
      <c r="V90" s="37">
        <f t="shared" ref="V90:V115" si="37">IFERROR(S90*U90,"No value")</f>
        <v>285.62835148089243</v>
      </c>
    </row>
    <row r="91" spans="3:22" x14ac:dyDescent="0.2">
      <c r="C91" s="13">
        <v>66</v>
      </c>
      <c r="D91" s="22"/>
      <c r="E91" s="268">
        <f t="shared" si="22"/>
        <v>0.6</v>
      </c>
      <c r="F91" s="276">
        <f t="shared" si="27"/>
        <v>0</v>
      </c>
      <c r="G91" s="260">
        <f t="shared" si="28"/>
        <v>0</v>
      </c>
      <c r="H91" s="261">
        <f t="shared" si="29"/>
        <v>0</v>
      </c>
      <c r="I91" s="262">
        <f t="shared" si="30"/>
        <v>1.6597425330558018E-3</v>
      </c>
      <c r="J91" s="262">
        <f t="shared" si="31"/>
        <v>8.5096819371690275E-5</v>
      </c>
      <c r="K91" s="277">
        <f t="shared" si="32"/>
        <v>5.6589384882174034E-5</v>
      </c>
      <c r="L91" s="263">
        <f t="shared" si="23"/>
        <v>5.6589384882174035E-2</v>
      </c>
      <c r="M91" s="141">
        <f t="shared" si="24"/>
        <v>5.6589384882174035E-2</v>
      </c>
      <c r="N91" s="29">
        <f t="shared" si="25"/>
        <v>1.584502776700873</v>
      </c>
      <c r="O91" s="22"/>
      <c r="P91" s="22"/>
      <c r="Q91" s="31">
        <f t="shared" si="33"/>
        <v>1.9122839866700591E-3</v>
      </c>
      <c r="R91" s="32">
        <f t="shared" si="34"/>
        <v>0</v>
      </c>
      <c r="S91" s="32">
        <f t="shared" si="35"/>
        <v>1.584502776700873</v>
      </c>
      <c r="T91" s="34">
        <f t="shared" si="36"/>
        <v>630.47924063001392</v>
      </c>
      <c r="U91" s="157">
        <f t="shared" si="26"/>
        <v>170.63159685278265</v>
      </c>
      <c r="V91" s="37">
        <f t="shared" si="37"/>
        <v>270.36623900613807</v>
      </c>
    </row>
    <row r="92" spans="3:22" x14ac:dyDescent="0.2">
      <c r="C92" s="13">
        <v>67</v>
      </c>
      <c r="D92" s="22"/>
      <c r="E92" s="268">
        <f t="shared" si="22"/>
        <v>0.6</v>
      </c>
      <c r="F92" s="276">
        <f t="shared" si="27"/>
        <v>0</v>
      </c>
      <c r="G92" s="260">
        <f t="shared" si="28"/>
        <v>0</v>
      </c>
      <c r="H92" s="261">
        <f t="shared" si="29"/>
        <v>0</v>
      </c>
      <c r="I92" s="262">
        <f t="shared" si="30"/>
        <v>1.5787959345380277E-3</v>
      </c>
      <c r="J92" s="262">
        <f t="shared" si="31"/>
        <v>8.094659851777414E-5</v>
      </c>
      <c r="K92" s="277">
        <f t="shared" si="32"/>
        <v>5.3829488014319808E-5</v>
      </c>
      <c r="L92" s="263">
        <f t="shared" si="23"/>
        <v>5.3829488014319811E-2</v>
      </c>
      <c r="M92" s="141">
        <f t="shared" si="24"/>
        <v>5.3829488014319811E-2</v>
      </c>
      <c r="N92" s="29">
        <f t="shared" si="25"/>
        <v>1.5072256644009547</v>
      </c>
      <c r="O92" s="22"/>
      <c r="P92" s="22"/>
      <c r="Q92" s="31">
        <f t="shared" si="33"/>
        <v>1.8190207961220912E-3</v>
      </c>
      <c r="R92" s="32">
        <f t="shared" si="34"/>
        <v>0</v>
      </c>
      <c r="S92" s="32">
        <f t="shared" si="35"/>
        <v>1.5072256644009547</v>
      </c>
      <c r="T92" s="34">
        <f t="shared" si="36"/>
        <v>639.93642923946402</v>
      </c>
      <c r="U92" s="157">
        <f t="shared" si="26"/>
        <v>169.79516745644545</v>
      </c>
      <c r="V92" s="37">
        <f t="shared" si="37"/>
        <v>255.91963408161237</v>
      </c>
    </row>
    <row r="93" spans="3:22" x14ac:dyDescent="0.2">
      <c r="C93" s="13">
        <v>68</v>
      </c>
      <c r="D93" s="22"/>
      <c r="E93" s="268">
        <f t="shared" si="22"/>
        <v>0.6</v>
      </c>
      <c r="F93" s="276">
        <f t="shared" si="27"/>
        <v>0</v>
      </c>
      <c r="G93" s="260">
        <f t="shared" si="28"/>
        <v>0</v>
      </c>
      <c r="H93" s="261">
        <f t="shared" si="29"/>
        <v>0</v>
      </c>
      <c r="I93" s="262">
        <f t="shared" si="30"/>
        <v>1.5017971482146752E-3</v>
      </c>
      <c r="J93" s="262">
        <f t="shared" si="31"/>
        <v>7.699878632335266E-5</v>
      </c>
      <c r="K93" s="277">
        <f t="shared" si="32"/>
        <v>5.1204192905029522E-5</v>
      </c>
      <c r="L93" s="263">
        <f t="shared" si="23"/>
        <v>5.1204192905029519E-2</v>
      </c>
      <c r="M93" s="141">
        <f t="shared" si="24"/>
        <v>5.1204192905029519E-2</v>
      </c>
      <c r="N93" s="29">
        <f t="shared" si="25"/>
        <v>1.4337174013408265</v>
      </c>
      <c r="O93" s="22"/>
      <c r="P93" s="22"/>
      <c r="Q93" s="31">
        <f t="shared" si="33"/>
        <v>1.7303061050500479E-3</v>
      </c>
      <c r="R93" s="32">
        <f t="shared" si="34"/>
        <v>0</v>
      </c>
      <c r="S93" s="32">
        <f t="shared" si="35"/>
        <v>1.4337174013408265</v>
      </c>
      <c r="T93" s="34">
        <f t="shared" si="36"/>
        <v>649.53547567805595</v>
      </c>
      <c r="U93" s="157">
        <f t="shared" si="26"/>
        <v>168.96283820420797</v>
      </c>
      <c r="V93" s="37">
        <f t="shared" si="37"/>
        <v>242.24496131330756</v>
      </c>
    </row>
    <row r="94" spans="3:22" x14ac:dyDescent="0.2">
      <c r="C94" s="13">
        <v>69</v>
      </c>
      <c r="D94" s="22"/>
      <c r="E94" s="268">
        <f t="shared" si="22"/>
        <v>0.6</v>
      </c>
      <c r="F94" s="276">
        <f t="shared" si="27"/>
        <v>0</v>
      </c>
      <c r="G94" s="260">
        <f t="shared" si="28"/>
        <v>0</v>
      </c>
      <c r="H94" s="261">
        <f t="shared" si="29"/>
        <v>0</v>
      </c>
      <c r="I94" s="262">
        <f t="shared" si="30"/>
        <v>1.428553637013059E-3</v>
      </c>
      <c r="J94" s="262">
        <f t="shared" si="31"/>
        <v>7.3243511201616197E-5</v>
      </c>
      <c r="K94" s="277">
        <f t="shared" si="32"/>
        <v>4.8706934949074775E-5</v>
      </c>
      <c r="L94" s="263">
        <f t="shared" si="23"/>
        <v>4.8706934949074777E-2</v>
      </c>
      <c r="M94" s="141">
        <f t="shared" si="24"/>
        <v>4.8706934949074777E-2</v>
      </c>
      <c r="N94" s="29">
        <f t="shared" si="25"/>
        <v>1.3637941785740937</v>
      </c>
      <c r="O94" s="22"/>
      <c r="P94" s="22"/>
      <c r="Q94" s="31">
        <f t="shared" si="33"/>
        <v>1.645918080516829E-3</v>
      </c>
      <c r="R94" s="32">
        <f t="shared" si="34"/>
        <v>0</v>
      </c>
      <c r="S94" s="32">
        <f t="shared" si="35"/>
        <v>1.3637941785740937</v>
      </c>
      <c r="T94" s="34">
        <f t="shared" si="36"/>
        <v>659.27850781322672</v>
      </c>
      <c r="U94" s="157">
        <f t="shared" si="26"/>
        <v>168.13458899732458</v>
      </c>
      <c r="V94" s="37">
        <f t="shared" si="37"/>
        <v>229.30097369149914</v>
      </c>
    </row>
    <row r="95" spans="3:22" x14ac:dyDescent="0.2">
      <c r="C95" s="13">
        <v>70</v>
      </c>
      <c r="D95" s="22"/>
      <c r="E95" s="268">
        <f t="shared" si="22"/>
        <v>0.6</v>
      </c>
      <c r="F95" s="276">
        <f t="shared" si="27"/>
        <v>0</v>
      </c>
      <c r="G95" s="260">
        <f t="shared" si="28"/>
        <v>0</v>
      </c>
      <c r="H95" s="261">
        <f t="shared" si="29"/>
        <v>0</v>
      </c>
      <c r="I95" s="262">
        <f t="shared" si="30"/>
        <v>1.3588822540043341E-3</v>
      </c>
      <c r="J95" s="262">
        <f t="shared" si="31"/>
        <v>6.9671383008724973E-5</v>
      </c>
      <c r="K95" s="277">
        <f t="shared" si="32"/>
        <v>4.6331469700802111E-5</v>
      </c>
      <c r="L95" s="263">
        <f t="shared" si="23"/>
        <v>4.6331469700802111E-2</v>
      </c>
      <c r="M95" s="141">
        <f t="shared" si="24"/>
        <v>4.6331469700802111E-2</v>
      </c>
      <c r="N95" s="29">
        <f t="shared" si="25"/>
        <v>1.2972811516224592</v>
      </c>
      <c r="O95" s="22"/>
      <c r="P95" s="22"/>
      <c r="Q95" s="31">
        <f t="shared" si="33"/>
        <v>1.565645708505343E-3</v>
      </c>
      <c r="R95" s="32">
        <f t="shared" si="34"/>
        <v>0</v>
      </c>
      <c r="S95" s="32">
        <f t="shared" si="35"/>
        <v>1.2972811516224592</v>
      </c>
      <c r="T95" s="34">
        <f t="shared" si="36"/>
        <v>669.16768543042508</v>
      </c>
      <c r="U95" s="157">
        <f t="shared" si="26"/>
        <v>167.31039983557295</v>
      </c>
      <c r="V95" s="37">
        <f t="shared" si="37"/>
        <v>217.04862817710617</v>
      </c>
    </row>
    <row r="96" spans="3:22" x14ac:dyDescent="0.2">
      <c r="C96" s="13">
        <v>71</v>
      </c>
      <c r="D96" s="22"/>
      <c r="E96" s="268">
        <f t="shared" si="22"/>
        <v>0.6</v>
      </c>
      <c r="F96" s="276">
        <f t="shared" si="27"/>
        <v>0</v>
      </c>
      <c r="G96" s="260">
        <f t="shared" si="28"/>
        <v>0</v>
      </c>
      <c r="H96" s="261">
        <f t="shared" si="29"/>
        <v>0</v>
      </c>
      <c r="I96" s="262">
        <f t="shared" si="30"/>
        <v>1.2926087844407758E-3</v>
      </c>
      <c r="J96" s="262">
        <f t="shared" si="31"/>
        <v>6.6273469563558291E-5</v>
      </c>
      <c r="K96" s="277">
        <f t="shared" si="32"/>
        <v>4.4071857259766265E-5</v>
      </c>
      <c r="L96" s="263">
        <f t="shared" si="23"/>
        <v>4.4071857259766263E-2</v>
      </c>
      <c r="M96" s="141">
        <f t="shared" si="24"/>
        <v>4.4071857259766263E-2</v>
      </c>
      <c r="N96" s="29">
        <f t="shared" si="25"/>
        <v>1.2340120032734554</v>
      </c>
      <c r="O96" s="22"/>
      <c r="P96" s="22"/>
      <c r="Q96" s="31">
        <f t="shared" si="33"/>
        <v>1.4892882662735502E-3</v>
      </c>
      <c r="R96" s="32">
        <f t="shared" si="34"/>
        <v>0</v>
      </c>
      <c r="S96" s="32">
        <f t="shared" si="35"/>
        <v>1.2340120032734554</v>
      </c>
      <c r="T96" s="34">
        <f t="shared" si="36"/>
        <v>679.20520071188139</v>
      </c>
      <c r="U96" s="157">
        <f t="shared" si="26"/>
        <v>166.49025081677112</v>
      </c>
      <c r="V96" s="37">
        <f t="shared" si="37"/>
        <v>205.45096793590378</v>
      </c>
    </row>
    <row r="97" spans="3:22" x14ac:dyDescent="0.2">
      <c r="C97" s="13">
        <v>72</v>
      </c>
      <c r="D97" s="22"/>
      <c r="E97" s="268">
        <f t="shared" si="22"/>
        <v>0.6</v>
      </c>
      <c r="F97" s="276">
        <f t="shared" si="27"/>
        <v>0</v>
      </c>
      <c r="G97" s="260">
        <f t="shared" si="28"/>
        <v>0</v>
      </c>
      <c r="H97" s="261">
        <f t="shared" si="29"/>
        <v>0</v>
      </c>
      <c r="I97" s="262">
        <f t="shared" si="30"/>
        <v>1.2295675101281667E-3</v>
      </c>
      <c r="J97" s="262">
        <f t="shared" si="31"/>
        <v>6.3041274312609135E-5</v>
      </c>
      <c r="K97" s="277">
        <f t="shared" si="32"/>
        <v>4.1922447417885079E-5</v>
      </c>
      <c r="L97" s="263">
        <f t="shared" si="23"/>
        <v>4.1922447417885082E-2</v>
      </c>
      <c r="M97" s="141">
        <f t="shared" si="24"/>
        <v>4.1922447417885082E-2</v>
      </c>
      <c r="N97" s="29">
        <f t="shared" si="25"/>
        <v>1.1738285277007823</v>
      </c>
      <c r="O97" s="22"/>
      <c r="P97" s="22"/>
      <c r="Q97" s="31">
        <f t="shared" si="33"/>
        <v>1.4166548204430553E-3</v>
      </c>
      <c r="R97" s="32">
        <f t="shared" si="34"/>
        <v>0</v>
      </c>
      <c r="S97" s="32">
        <f t="shared" si="35"/>
        <v>1.1738285277007823</v>
      </c>
      <c r="T97" s="34">
        <f t="shared" si="36"/>
        <v>689.39327872255956</v>
      </c>
      <c r="U97" s="157">
        <f t="shared" si="26"/>
        <v>165.67412213629675</v>
      </c>
      <c r="V97" s="37">
        <f t="shared" si="37"/>
        <v>194.47301086536879</v>
      </c>
    </row>
    <row r="98" spans="3:22" x14ac:dyDescent="0.2">
      <c r="C98" s="13">
        <v>73</v>
      </c>
      <c r="D98" s="22"/>
      <c r="E98" s="268">
        <f t="shared" si="22"/>
        <v>0.6</v>
      </c>
      <c r="F98" s="276">
        <f t="shared" si="27"/>
        <v>0</v>
      </c>
      <c r="G98" s="260">
        <f t="shared" si="28"/>
        <v>0</v>
      </c>
      <c r="H98" s="261">
        <f t="shared" si="29"/>
        <v>0</v>
      </c>
      <c r="I98" s="262">
        <f t="shared" si="30"/>
        <v>1.1696007950439918E-3</v>
      </c>
      <c r="J98" s="262">
        <f t="shared" si="31"/>
        <v>5.9966715084174838E-5</v>
      </c>
      <c r="K98" s="277">
        <f t="shared" si="32"/>
        <v>3.9877865530976268E-5</v>
      </c>
      <c r="L98" s="263">
        <f t="shared" si="23"/>
        <v>3.9877865530976268E-2</v>
      </c>
      <c r="M98" s="141">
        <f t="shared" si="24"/>
        <v>3.9877865530976268E-2</v>
      </c>
      <c r="N98" s="29">
        <f t="shared" si="25"/>
        <v>1.1165802348673355</v>
      </c>
      <c r="O98" s="22"/>
      <c r="P98" s="22"/>
      <c r="Q98" s="31">
        <f t="shared" si="33"/>
        <v>1.3475637495662099E-3</v>
      </c>
      <c r="R98" s="32">
        <f t="shared" si="34"/>
        <v>0</v>
      </c>
      <c r="S98" s="32">
        <f t="shared" si="35"/>
        <v>1.1165802348673355</v>
      </c>
      <c r="T98" s="34">
        <f t="shared" si="36"/>
        <v>699.73417790339784</v>
      </c>
      <c r="U98" s="157">
        <f t="shared" si="26"/>
        <v>164.861994086609</v>
      </c>
      <c r="V98" s="37">
        <f t="shared" si="37"/>
        <v>184.08164407792316</v>
      </c>
    </row>
    <row r="99" spans="3:22" x14ac:dyDescent="0.2">
      <c r="C99" s="13">
        <v>74</v>
      </c>
      <c r="D99" s="22"/>
      <c r="E99" s="268">
        <f t="shared" si="22"/>
        <v>0.6</v>
      </c>
      <c r="F99" s="276">
        <f t="shared" si="27"/>
        <v>0</v>
      </c>
      <c r="G99" s="260">
        <f t="shared" si="28"/>
        <v>0</v>
      </c>
      <c r="H99" s="261">
        <f t="shared" si="29"/>
        <v>0</v>
      </c>
      <c r="I99" s="262">
        <f t="shared" si="30"/>
        <v>1.1125586911652739E-3</v>
      </c>
      <c r="J99" s="262">
        <f t="shared" si="31"/>
        <v>5.7042103878717918E-5</v>
      </c>
      <c r="K99" s="277">
        <f t="shared" si="32"/>
        <v>3.7932999079347419E-5</v>
      </c>
      <c r="L99" s="263">
        <f t="shared" si="23"/>
        <v>3.7932999079347419E-2</v>
      </c>
      <c r="M99" s="141">
        <f t="shared" si="24"/>
        <v>3.7932999079347419E-2</v>
      </c>
      <c r="N99" s="29">
        <f t="shared" si="25"/>
        <v>1.0621239742217277</v>
      </c>
      <c r="O99" s="22"/>
      <c r="P99" s="22"/>
      <c r="Q99" s="31">
        <f t="shared" si="33"/>
        <v>1.2818422899778903E-3</v>
      </c>
      <c r="R99" s="32">
        <f t="shared" si="34"/>
        <v>0</v>
      </c>
      <c r="S99" s="32">
        <f t="shared" si="35"/>
        <v>1.0621239742217277</v>
      </c>
      <c r="T99" s="34">
        <f t="shared" si="36"/>
        <v>710.2301905719487</v>
      </c>
      <c r="U99" s="157">
        <f t="shared" si="26"/>
        <v>164.05384705677264</v>
      </c>
      <c r="V99" s="37">
        <f t="shared" si="37"/>
        <v>174.24552402230285</v>
      </c>
    </row>
    <row r="100" spans="3:22" x14ac:dyDescent="0.2">
      <c r="C100" s="13">
        <v>75</v>
      </c>
      <c r="D100" s="22"/>
      <c r="E100" s="268">
        <f t="shared" si="22"/>
        <v>0.6</v>
      </c>
      <c r="F100" s="276">
        <f t="shared" si="27"/>
        <v>0</v>
      </c>
      <c r="G100" s="260">
        <f t="shared" si="28"/>
        <v>0</v>
      </c>
      <c r="H100" s="261">
        <f t="shared" si="29"/>
        <v>0</v>
      </c>
      <c r="I100" s="262">
        <f t="shared" si="30"/>
        <v>1.0582985635204112E-3</v>
      </c>
      <c r="J100" s="262">
        <f t="shared" si="31"/>
        <v>5.4260127644862791E-5</v>
      </c>
      <c r="K100" s="277">
        <f t="shared" si="32"/>
        <v>3.608298488383376E-5</v>
      </c>
      <c r="L100" s="263">
        <f t="shared" si="23"/>
        <v>3.6082984883833762E-2</v>
      </c>
      <c r="M100" s="141">
        <f t="shared" si="24"/>
        <v>3.6082984883833762E-2</v>
      </c>
      <c r="N100" s="29">
        <f t="shared" si="25"/>
        <v>1.0103235767473453</v>
      </c>
      <c r="O100" s="22"/>
      <c r="P100" s="22"/>
      <c r="Q100" s="31">
        <f t="shared" si="33"/>
        <v>1.2193261037963458E-3</v>
      </c>
      <c r="R100" s="32">
        <f t="shared" si="34"/>
        <v>0</v>
      </c>
      <c r="S100" s="32">
        <f t="shared" si="35"/>
        <v>1.0103235767473453</v>
      </c>
      <c r="T100" s="34">
        <f t="shared" si="36"/>
        <v>720.88364343052785</v>
      </c>
      <c r="U100" s="157">
        <f t="shared" si="26"/>
        <v>163.24966153198457</v>
      </c>
      <c r="V100" s="37">
        <f t="shared" si="37"/>
        <v>164.93498194178815</v>
      </c>
    </row>
    <row r="101" spans="3:22" x14ac:dyDescent="0.2">
      <c r="C101" s="13">
        <v>76</v>
      </c>
      <c r="D101" s="22"/>
      <c r="E101" s="268">
        <f t="shared" si="22"/>
        <v>0.6</v>
      </c>
      <c r="F101" s="276">
        <f t="shared" si="27"/>
        <v>0</v>
      </c>
      <c r="G101" s="260">
        <f t="shared" si="28"/>
        <v>0</v>
      </c>
      <c r="H101" s="261">
        <f t="shared" si="29"/>
        <v>0</v>
      </c>
      <c r="I101" s="262">
        <f t="shared" si="30"/>
        <v>1.0066847335274531E-3</v>
      </c>
      <c r="J101" s="262">
        <f t="shared" si="31"/>
        <v>5.161382999295812E-5</v>
      </c>
      <c r="K101" s="277">
        <f t="shared" si="32"/>
        <v>3.4323196945317154E-5</v>
      </c>
      <c r="L101" s="263">
        <f t="shared" si="23"/>
        <v>3.4323196945317151E-2</v>
      </c>
      <c r="M101" s="141">
        <f t="shared" si="24"/>
        <v>3.4323196945317151E-2</v>
      </c>
      <c r="N101" s="29">
        <f t="shared" si="25"/>
        <v>0.96104951446888021</v>
      </c>
      <c r="O101" s="22"/>
      <c r="P101" s="22"/>
      <c r="Q101" s="31">
        <f t="shared" si="33"/>
        <v>1.159858867992896E-3</v>
      </c>
      <c r="R101" s="32">
        <f t="shared" si="34"/>
        <v>0</v>
      </c>
      <c r="S101" s="32">
        <f t="shared" si="35"/>
        <v>0.96104951446888021</v>
      </c>
      <c r="T101" s="34">
        <f t="shared" si="36"/>
        <v>731.69689808198575</v>
      </c>
      <c r="U101" s="157">
        <f t="shared" si="26"/>
        <v>162.44941809310225</v>
      </c>
      <c r="V101" s="37">
        <f t="shared" si="37"/>
        <v>156.12193438412805</v>
      </c>
    </row>
    <row r="102" spans="3:22" x14ac:dyDescent="0.2">
      <c r="C102" s="13">
        <v>77</v>
      </c>
      <c r="D102" s="22"/>
      <c r="E102" s="268">
        <f t="shared" si="22"/>
        <v>0.6</v>
      </c>
      <c r="F102" s="276">
        <f t="shared" si="27"/>
        <v>0</v>
      </c>
      <c r="G102" s="260">
        <f t="shared" si="28"/>
        <v>0</v>
      </c>
      <c r="H102" s="261">
        <f t="shared" si="29"/>
        <v>0</v>
      </c>
      <c r="I102" s="262">
        <f t="shared" si="30"/>
        <v>9.575881397269738E-4</v>
      </c>
      <c r="J102" s="262">
        <f t="shared" si="31"/>
        <v>4.9096593800479245E-5</v>
      </c>
      <c r="K102" s="277">
        <f t="shared" si="32"/>
        <v>3.2649234877318697E-5</v>
      </c>
      <c r="L102" s="263">
        <f t="shared" si="23"/>
        <v>3.2649234877318696E-2</v>
      </c>
      <c r="M102" s="141">
        <f t="shared" si="24"/>
        <v>3.2649234877318696E-2</v>
      </c>
      <c r="N102" s="29">
        <f t="shared" si="25"/>
        <v>0.91417857656492352</v>
      </c>
      <c r="O102" s="22"/>
      <c r="P102" s="22"/>
      <c r="Q102" s="31">
        <f t="shared" si="33"/>
        <v>1.103291883502932E-3</v>
      </c>
      <c r="R102" s="32">
        <f t="shared" si="34"/>
        <v>0</v>
      </c>
      <c r="S102" s="32">
        <f t="shared" si="35"/>
        <v>0.91417857656492352</v>
      </c>
      <c r="T102" s="34">
        <f t="shared" si="36"/>
        <v>742.67235155321544</v>
      </c>
      <c r="U102" s="157">
        <f t="shared" si="26"/>
        <v>161.65309741617526</v>
      </c>
      <c r="V102" s="37">
        <f t="shared" si="37"/>
        <v>147.77979849323</v>
      </c>
    </row>
    <row r="103" spans="3:22" x14ac:dyDescent="0.2">
      <c r="C103" s="13">
        <v>78</v>
      </c>
      <c r="D103" s="22"/>
      <c r="E103" s="268">
        <f t="shared" si="22"/>
        <v>0.6</v>
      </c>
      <c r="F103" s="276">
        <f t="shared" si="27"/>
        <v>0</v>
      </c>
      <c r="G103" s="260">
        <f t="shared" si="28"/>
        <v>0</v>
      </c>
      <c r="H103" s="261">
        <f t="shared" si="29"/>
        <v>0</v>
      </c>
      <c r="I103" s="262">
        <f t="shared" si="30"/>
        <v>9.1088601506119856E-4</v>
      </c>
      <c r="J103" s="262">
        <f t="shared" si="31"/>
        <v>4.6702124665775195E-5</v>
      </c>
      <c r="K103" s="277">
        <f t="shared" si="32"/>
        <v>3.1056912902740505E-5</v>
      </c>
      <c r="L103" s="263">
        <f t="shared" si="23"/>
        <v>3.1056912902740506E-2</v>
      </c>
      <c r="M103" s="141">
        <f t="shared" si="24"/>
        <v>3.1056912902740506E-2</v>
      </c>
      <c r="N103" s="29">
        <f t="shared" si="25"/>
        <v>0.86959356127673415</v>
      </c>
      <c r="O103" s="22"/>
      <c r="P103" s="22"/>
      <c r="Q103" s="31">
        <f t="shared" si="33"/>
        <v>1.0494837034008028E-3</v>
      </c>
      <c r="R103" s="32">
        <f t="shared" si="34"/>
        <v>0</v>
      </c>
      <c r="S103" s="32">
        <f t="shared" si="35"/>
        <v>0.86959356127673415</v>
      </c>
      <c r="T103" s="34">
        <f t="shared" si="36"/>
        <v>753.81243682651359</v>
      </c>
      <c r="U103" s="157">
        <f t="shared" si="26"/>
        <v>160.86068027197828</v>
      </c>
      <c r="V103" s="37">
        <f t="shared" si="37"/>
        <v>139.88341182710769</v>
      </c>
    </row>
    <row r="104" spans="3:22" x14ac:dyDescent="0.2">
      <c r="C104" s="13">
        <v>79</v>
      </c>
      <c r="D104" s="22"/>
      <c r="E104" s="268">
        <f t="shared" si="22"/>
        <v>0.6</v>
      </c>
      <c r="F104" s="276">
        <f t="shared" si="27"/>
        <v>0</v>
      </c>
      <c r="G104" s="260">
        <f t="shared" si="28"/>
        <v>0</v>
      </c>
      <c r="H104" s="261">
        <f t="shared" si="29"/>
        <v>0</v>
      </c>
      <c r="I104" s="262">
        <f t="shared" si="30"/>
        <v>8.6646157989241264E-4</v>
      </c>
      <c r="J104" s="262">
        <f t="shared" si="31"/>
        <v>4.4424435168785935E-5</v>
      </c>
      <c r="K104" s="277">
        <f t="shared" si="32"/>
        <v>2.9542249387242647E-5</v>
      </c>
      <c r="L104" s="263">
        <f t="shared" si="23"/>
        <v>2.9542249387242647E-2</v>
      </c>
      <c r="M104" s="141">
        <f t="shared" si="24"/>
        <v>2.9542249387242647E-2</v>
      </c>
      <c r="N104" s="29">
        <f t="shared" si="25"/>
        <v>0.82718298284279412</v>
      </c>
      <c r="O104" s="22"/>
      <c r="P104" s="22"/>
      <c r="Q104" s="31">
        <f t="shared" si="33"/>
        <v>9.9829977920882357E-4</v>
      </c>
      <c r="R104" s="32">
        <f t="shared" si="34"/>
        <v>0</v>
      </c>
      <c r="S104" s="32">
        <f t="shared" si="35"/>
        <v>0.82718298284279412</v>
      </c>
      <c r="T104" s="34">
        <f t="shared" si="36"/>
        <v>765.11962337891123</v>
      </c>
      <c r="U104" s="157">
        <f t="shared" si="26"/>
        <v>160.07214752554705</v>
      </c>
      <c r="V104" s="37">
        <f t="shared" si="37"/>
        <v>132.40895646023381</v>
      </c>
    </row>
    <row r="105" spans="3:22" x14ac:dyDescent="0.2">
      <c r="C105" s="13">
        <v>80</v>
      </c>
      <c r="D105" s="22"/>
      <c r="E105" s="268">
        <f t="shared" si="22"/>
        <v>0.6</v>
      </c>
      <c r="F105" s="276">
        <f t="shared" si="27"/>
        <v>0</v>
      </c>
      <c r="G105" s="260">
        <f t="shared" si="28"/>
        <v>0</v>
      </c>
      <c r="H105" s="261">
        <f t="shared" si="29"/>
        <v>0</v>
      </c>
      <c r="I105" s="262">
        <f t="shared" si="30"/>
        <v>8.2420374999303916E-4</v>
      </c>
      <c r="J105" s="262">
        <f t="shared" si="31"/>
        <v>4.2257829899373525E-5</v>
      </c>
      <c r="K105" s="277">
        <f t="shared" si="32"/>
        <v>2.8101456883083396E-5</v>
      </c>
      <c r="L105" s="263">
        <f t="shared" si="23"/>
        <v>2.8101456883083395E-2</v>
      </c>
      <c r="M105" s="141">
        <f t="shared" si="24"/>
        <v>2.8101456883083395E-2</v>
      </c>
      <c r="N105" s="29">
        <f t="shared" si="25"/>
        <v>0.786840792726335</v>
      </c>
      <c r="O105" s="22"/>
      <c r="P105" s="22"/>
      <c r="Q105" s="31">
        <f t="shared" si="33"/>
        <v>9.4961212445599929E-4</v>
      </c>
      <c r="R105" s="32">
        <f t="shared" si="34"/>
        <v>0</v>
      </c>
      <c r="S105" s="32">
        <f t="shared" si="35"/>
        <v>0.786840792726335</v>
      </c>
      <c r="T105" s="34">
        <f t="shared" si="36"/>
        <v>776.5964177295948</v>
      </c>
      <c r="U105" s="157">
        <f t="shared" si="26"/>
        <v>159.2874801357159</v>
      </c>
      <c r="V105" s="37">
        <f t="shared" si="37"/>
        <v>125.33388714136703</v>
      </c>
    </row>
    <row r="106" spans="3:22" x14ac:dyDescent="0.2">
      <c r="C106" s="13">
        <v>81</v>
      </c>
      <c r="D106" s="22"/>
      <c r="E106" s="268">
        <f t="shared" si="22"/>
        <v>0.6</v>
      </c>
      <c r="F106" s="276">
        <f t="shared" si="27"/>
        <v>0</v>
      </c>
      <c r="G106" s="260">
        <f t="shared" si="28"/>
        <v>0</v>
      </c>
      <c r="H106" s="261">
        <f t="shared" si="29"/>
        <v>0</v>
      </c>
      <c r="I106" s="262">
        <f t="shared" si="30"/>
        <v>7.8400685877720903E-4</v>
      </c>
      <c r="J106" s="262">
        <f t="shared" si="31"/>
        <v>4.0196891215830144E-5</v>
      </c>
      <c r="K106" s="277">
        <f t="shared" si="32"/>
        <v>2.6730932658527048E-5</v>
      </c>
      <c r="L106" s="263">
        <f t="shared" si="23"/>
        <v>2.6730932658527048E-2</v>
      </c>
      <c r="M106" s="141">
        <f t="shared" si="24"/>
        <v>2.6730932658527048E-2</v>
      </c>
      <c r="N106" s="29">
        <f t="shared" si="25"/>
        <v>0.74846611443875732</v>
      </c>
      <c r="O106" s="22"/>
      <c r="P106" s="22"/>
      <c r="Q106" s="31">
        <f t="shared" si="33"/>
        <v>9.0329899464518064E-4</v>
      </c>
      <c r="R106" s="32">
        <f t="shared" si="34"/>
        <v>0</v>
      </c>
      <c r="S106" s="32">
        <f t="shared" si="35"/>
        <v>0.74846611443875732</v>
      </c>
      <c r="T106" s="34">
        <f t="shared" si="36"/>
        <v>788.2453639955387</v>
      </c>
      <c r="U106" s="157">
        <f t="shared" si="26"/>
        <v>158.50665915465848</v>
      </c>
      <c r="V106" s="37">
        <f t="shared" si="37"/>
        <v>118.63686329015572</v>
      </c>
    </row>
    <row r="107" spans="3:22" x14ac:dyDescent="0.2">
      <c r="C107" s="13">
        <v>82</v>
      </c>
      <c r="D107" s="22"/>
      <c r="E107" s="268">
        <f t="shared" si="22"/>
        <v>0.6</v>
      </c>
      <c r="F107" s="276">
        <f t="shared" si="27"/>
        <v>0</v>
      </c>
      <c r="G107" s="260">
        <f t="shared" si="28"/>
        <v>0</v>
      </c>
      <c r="H107" s="261">
        <f t="shared" si="29"/>
        <v>0</v>
      </c>
      <c r="I107" s="262">
        <f t="shared" si="30"/>
        <v>7.4577039307925706E-4</v>
      </c>
      <c r="J107" s="262">
        <f t="shared" si="31"/>
        <v>3.8236465697951919E-5</v>
      </c>
      <c r="K107" s="277">
        <f t="shared" si="32"/>
        <v>2.5427249689138027E-5</v>
      </c>
      <c r="L107" s="263">
        <f t="shared" si="23"/>
        <v>2.5427249689138027E-2</v>
      </c>
      <c r="M107" s="141">
        <f t="shared" si="24"/>
        <v>2.5427249689138027E-2</v>
      </c>
      <c r="N107" s="29">
        <f t="shared" si="25"/>
        <v>0.71196299129586471</v>
      </c>
      <c r="O107" s="22"/>
      <c r="P107" s="22"/>
      <c r="Q107" s="31">
        <f t="shared" si="33"/>
        <v>8.592445828284088E-4</v>
      </c>
      <c r="R107" s="32">
        <f t="shared" si="34"/>
        <v>0</v>
      </c>
      <c r="S107" s="32">
        <f t="shared" si="35"/>
        <v>0.71196299129586471</v>
      </c>
      <c r="T107" s="34">
        <f t="shared" si="36"/>
        <v>800.06904445547173</v>
      </c>
      <c r="U107" s="157">
        <f t="shared" si="26"/>
        <v>157.72966572742976</v>
      </c>
      <c r="V107" s="37">
        <f t="shared" si="37"/>
        <v>112.29768462739773</v>
      </c>
    </row>
    <row r="108" spans="3:22" x14ac:dyDescent="0.2">
      <c r="C108" s="13">
        <v>83</v>
      </c>
      <c r="D108" s="22"/>
      <c r="E108" s="268">
        <f t="shared" si="22"/>
        <v>0.6</v>
      </c>
      <c r="F108" s="276">
        <f t="shared" si="27"/>
        <v>0</v>
      </c>
      <c r="G108" s="260">
        <f t="shared" si="28"/>
        <v>0</v>
      </c>
      <c r="H108" s="261">
        <f t="shared" si="29"/>
        <v>0</v>
      </c>
      <c r="I108" s="262">
        <f t="shared" si="30"/>
        <v>7.0939874181845299E-4</v>
      </c>
      <c r="J108" s="262">
        <f t="shared" si="31"/>
        <v>3.6371651260804089E-5</v>
      </c>
      <c r="K108" s="277">
        <f t="shared" si="32"/>
        <v>2.4187148088434721E-5</v>
      </c>
      <c r="L108" s="263">
        <f t="shared" si="23"/>
        <v>2.418714808843472E-2</v>
      </c>
      <c r="M108" s="141">
        <f t="shared" si="24"/>
        <v>2.418714808843472E-2</v>
      </c>
      <c r="N108" s="29">
        <f t="shared" si="25"/>
        <v>0.67724014647617214</v>
      </c>
      <c r="O108" s="22"/>
      <c r="P108" s="22"/>
      <c r="Q108" s="31">
        <f t="shared" si="33"/>
        <v>8.1733873002922319E-4</v>
      </c>
      <c r="R108" s="32">
        <f t="shared" si="34"/>
        <v>0</v>
      </c>
      <c r="S108" s="32">
        <f t="shared" si="35"/>
        <v>0.67724014647617214</v>
      </c>
      <c r="T108" s="34">
        <f t="shared" si="36"/>
        <v>812.07008012230369</v>
      </c>
      <c r="U108" s="157">
        <f t="shared" si="26"/>
        <v>156.95648109151097</v>
      </c>
      <c r="V108" s="37">
        <f t="shared" si="37"/>
        <v>106.29723024479944</v>
      </c>
    </row>
    <row r="109" spans="3:22" x14ac:dyDescent="0.2">
      <c r="C109" s="13">
        <v>84</v>
      </c>
      <c r="D109" s="22"/>
      <c r="E109" s="268">
        <f t="shared" si="22"/>
        <v>0.6</v>
      </c>
      <c r="F109" s="276">
        <f t="shared" si="27"/>
        <v>0</v>
      </c>
      <c r="G109" s="260">
        <f t="shared" si="28"/>
        <v>0</v>
      </c>
      <c r="H109" s="261">
        <f t="shared" si="29"/>
        <v>0</v>
      </c>
      <c r="I109" s="262">
        <f t="shared" si="30"/>
        <v>6.7480095692149769E-4</v>
      </c>
      <c r="J109" s="262">
        <f t="shared" si="31"/>
        <v>3.4597784896955347E-5</v>
      </c>
      <c r="K109" s="277">
        <f t="shared" si="32"/>
        <v>2.3007526956475307E-5</v>
      </c>
      <c r="L109" s="263">
        <f t="shared" si="23"/>
        <v>2.3007526956475306E-2</v>
      </c>
      <c r="M109" s="141">
        <f t="shared" si="24"/>
        <v>2.3007526956475306E-2</v>
      </c>
      <c r="N109" s="29">
        <f t="shared" si="25"/>
        <v>0.64421075478130851</v>
      </c>
      <c r="O109" s="22"/>
      <c r="P109" s="22"/>
      <c r="Q109" s="31">
        <f t="shared" si="33"/>
        <v>7.7747664978784249E-4</v>
      </c>
      <c r="R109" s="32">
        <f t="shared" si="34"/>
        <v>0</v>
      </c>
      <c r="S109" s="32">
        <f t="shared" si="35"/>
        <v>0.64421075478130851</v>
      </c>
      <c r="T109" s="34">
        <f t="shared" si="36"/>
        <v>824.25113132413821</v>
      </c>
      <c r="U109" s="157">
        <f t="shared" si="26"/>
        <v>156.18708657635648</v>
      </c>
      <c r="V109" s="37">
        <f t="shared" si="37"/>
        <v>100.61740093044818</v>
      </c>
    </row>
    <row r="110" spans="3:22" x14ac:dyDescent="0.2">
      <c r="C110" s="13">
        <v>85</v>
      </c>
      <c r="D110" s="22"/>
      <c r="E110" s="268">
        <f t="shared" si="22"/>
        <v>0.6</v>
      </c>
      <c r="F110" s="276">
        <f t="shared" si="27"/>
        <v>0</v>
      </c>
      <c r="G110" s="260">
        <f t="shared" si="28"/>
        <v>0</v>
      </c>
      <c r="H110" s="261">
        <f t="shared" si="29"/>
        <v>0</v>
      </c>
      <c r="I110" s="262">
        <f t="shared" si="30"/>
        <v>6.4189052590496736E-4</v>
      </c>
      <c r="J110" s="262">
        <f t="shared" si="31"/>
        <v>3.291043101653033E-5</v>
      </c>
      <c r="K110" s="277">
        <f t="shared" si="32"/>
        <v>2.188543662599267E-5</v>
      </c>
      <c r="L110" s="263">
        <f t="shared" si="23"/>
        <v>2.1885436625992669E-2</v>
      </c>
      <c r="M110" s="141">
        <f t="shared" si="24"/>
        <v>2.1885436625992669E-2</v>
      </c>
      <c r="N110" s="29">
        <f t="shared" si="25"/>
        <v>0.61279222552779467</v>
      </c>
      <c r="O110" s="22"/>
      <c r="P110" s="22"/>
      <c r="Q110" s="31">
        <f t="shared" si="33"/>
        <v>7.3955866614043261E-4</v>
      </c>
      <c r="R110" s="32">
        <f t="shared" si="34"/>
        <v>0</v>
      </c>
      <c r="S110" s="32">
        <f t="shared" si="35"/>
        <v>0.61279222552779467</v>
      </c>
      <c r="T110" s="34">
        <f t="shared" si="36"/>
        <v>836.61489829400023</v>
      </c>
      <c r="U110" s="157">
        <f t="shared" si="26"/>
        <v>155.42146360294294</v>
      </c>
      <c r="V110" s="37">
        <f t="shared" si="37"/>
        <v>95.241064576034532</v>
      </c>
    </row>
    <row r="111" spans="3:22" x14ac:dyDescent="0.2">
      <c r="C111" s="13">
        <v>86</v>
      </c>
      <c r="D111" s="22"/>
      <c r="E111" s="268">
        <f t="shared" si="22"/>
        <v>0.6</v>
      </c>
      <c r="F111" s="276">
        <f t="shared" si="27"/>
        <v>0</v>
      </c>
      <c r="G111" s="260">
        <f t="shared" si="28"/>
        <v>0</v>
      </c>
      <c r="H111" s="261">
        <f t="shared" si="29"/>
        <v>0</v>
      </c>
      <c r="I111" s="262">
        <f t="shared" si="30"/>
        <v>6.105851555490428E-4</v>
      </c>
      <c r="J111" s="262">
        <f t="shared" si="31"/>
        <v>3.1305370355924598E-5</v>
      </c>
      <c r="K111" s="277">
        <f t="shared" si="32"/>
        <v>2.0818071286689858E-5</v>
      </c>
      <c r="L111" s="263">
        <f t="shared" si="23"/>
        <v>2.081807128668986E-2</v>
      </c>
      <c r="M111" s="141">
        <f t="shared" si="24"/>
        <v>2.081807128668986E-2</v>
      </c>
      <c r="N111" s="29">
        <f t="shared" si="25"/>
        <v>0.58290599602731608</v>
      </c>
      <c r="O111" s="22"/>
      <c r="P111" s="22"/>
      <c r="Q111" s="31">
        <f t="shared" si="33"/>
        <v>7.0348996437727949E-4</v>
      </c>
      <c r="R111" s="32">
        <f t="shared" si="34"/>
        <v>0</v>
      </c>
      <c r="S111" s="32">
        <f t="shared" si="35"/>
        <v>0.58290599602731608</v>
      </c>
      <c r="T111" s="34">
        <f t="shared" si="36"/>
        <v>849.16412176841015</v>
      </c>
      <c r="U111" s="157">
        <f t="shared" si="26"/>
        <v>154.65959368332065</v>
      </c>
      <c r="V111" s="37">
        <f t="shared" si="37"/>
        <v>90.152004501156028</v>
      </c>
    </row>
    <row r="112" spans="3:22" x14ac:dyDescent="0.2">
      <c r="C112" s="13">
        <v>87</v>
      </c>
      <c r="D112" s="22"/>
      <c r="E112" s="268">
        <f t="shared" si="22"/>
        <v>0.6</v>
      </c>
      <c r="F112" s="276">
        <f t="shared" si="27"/>
        <v>0</v>
      </c>
      <c r="G112" s="260">
        <f t="shared" si="28"/>
        <v>0</v>
      </c>
      <c r="H112" s="261">
        <f t="shared" si="29"/>
        <v>0</v>
      </c>
      <c r="I112" s="262">
        <f t="shared" si="30"/>
        <v>5.8080656612159492E-4</v>
      </c>
      <c r="J112" s="262">
        <f t="shared" si="31"/>
        <v>2.9778589427447868E-5</v>
      </c>
      <c r="K112" s="277">
        <f t="shared" si="32"/>
        <v>1.9802761969252835E-5</v>
      </c>
      <c r="L112" s="263">
        <f t="shared" si="23"/>
        <v>1.9802761969252836E-2</v>
      </c>
      <c r="M112" s="141">
        <f t="shared" si="24"/>
        <v>1.9802761969252836E-2</v>
      </c>
      <c r="N112" s="29">
        <f t="shared" si="25"/>
        <v>0.55447733513907937</v>
      </c>
      <c r="O112" s="22"/>
      <c r="P112" s="22"/>
      <c r="Q112" s="31">
        <f t="shared" si="33"/>
        <v>6.6918035395662748E-4</v>
      </c>
      <c r="R112" s="32">
        <f t="shared" si="34"/>
        <v>0</v>
      </c>
      <c r="S112" s="32">
        <f t="shared" si="35"/>
        <v>0.55447733513907937</v>
      </c>
      <c r="T112" s="34">
        <f t="shared" si="36"/>
        <v>861.90158359493626</v>
      </c>
      <c r="U112" s="157">
        <f t="shared" si="26"/>
        <v>153.90145842016716</v>
      </c>
      <c r="V112" s="37">
        <f t="shared" si="37"/>
        <v>85.334870538832121</v>
      </c>
    </row>
    <row r="113" spans="3:22" x14ac:dyDescent="0.2">
      <c r="C113" s="13">
        <v>88</v>
      </c>
      <c r="D113" s="22"/>
      <c r="E113" s="268">
        <f t="shared" si="22"/>
        <v>0.6</v>
      </c>
      <c r="F113" s="276">
        <f t="shared" si="27"/>
        <v>0</v>
      </c>
      <c r="G113" s="260">
        <f t="shared" si="28"/>
        <v>0</v>
      </c>
      <c r="H113" s="261">
        <f t="shared" si="29"/>
        <v>0</v>
      </c>
      <c r="I113" s="262">
        <f t="shared" si="30"/>
        <v>5.5248029563808069E-4</v>
      </c>
      <c r="J113" s="262">
        <f t="shared" si="31"/>
        <v>2.8326270483514282E-5</v>
      </c>
      <c r="K113" s="277">
        <f t="shared" si="32"/>
        <v>1.8836969871536998E-5</v>
      </c>
      <c r="L113" s="263">
        <f t="shared" si="23"/>
        <v>1.8836969871536997E-2</v>
      </c>
      <c r="M113" s="141">
        <f t="shared" si="24"/>
        <v>1.8836969871536997E-2</v>
      </c>
      <c r="N113" s="29">
        <f t="shared" si="25"/>
        <v>0.52743515640303595</v>
      </c>
      <c r="O113" s="22"/>
      <c r="P113" s="22"/>
      <c r="Q113" s="31">
        <f t="shared" si="33"/>
        <v>6.3654404298134674E-4</v>
      </c>
      <c r="R113" s="32">
        <f t="shared" si="34"/>
        <v>0</v>
      </c>
      <c r="S113" s="32">
        <f t="shared" si="35"/>
        <v>0.52743515640303595</v>
      </c>
      <c r="T113" s="34">
        <f t="shared" si="36"/>
        <v>874.83010734886022</v>
      </c>
      <c r="U113" s="157">
        <f t="shared" si="26"/>
        <v>153.14703950634279</v>
      </c>
      <c r="V113" s="37">
        <f t="shared" si="37"/>
        <v>80.775132734689834</v>
      </c>
    </row>
    <row r="114" spans="3:22" x14ac:dyDescent="0.2">
      <c r="C114" s="13">
        <v>89</v>
      </c>
      <c r="D114" s="22"/>
      <c r="E114" s="268">
        <f t="shared" si="22"/>
        <v>0.6</v>
      </c>
      <c r="F114" s="276">
        <f t="shared" si="27"/>
        <v>0</v>
      </c>
      <c r="G114" s="260">
        <f t="shared" si="28"/>
        <v>0</v>
      </c>
      <c r="H114" s="261">
        <f t="shared" si="29"/>
        <v>0</v>
      </c>
      <c r="I114" s="262">
        <f t="shared" si="30"/>
        <v>5.2553551366779584E-4</v>
      </c>
      <c r="J114" s="262">
        <f t="shared" si="31"/>
        <v>2.6944781970284855E-5</v>
      </c>
      <c r="K114" s="277">
        <f t="shared" si="32"/>
        <v>1.7918280010239428E-5</v>
      </c>
      <c r="L114" s="263">
        <f t="shared" si="23"/>
        <v>1.7918280010239429E-2</v>
      </c>
      <c r="M114" s="141">
        <f t="shared" si="24"/>
        <v>1.7918280010239429E-2</v>
      </c>
      <c r="N114" s="29">
        <f t="shared" si="25"/>
        <v>0.50171184028670401</v>
      </c>
      <c r="O114" s="22"/>
      <c r="P114" s="22"/>
      <c r="Q114" s="31">
        <f t="shared" si="33"/>
        <v>6.0549942367450424E-4</v>
      </c>
      <c r="R114" s="32">
        <f t="shared" si="34"/>
        <v>0</v>
      </c>
      <c r="S114" s="32">
        <f t="shared" si="35"/>
        <v>0.50171184028670401</v>
      </c>
      <c r="T114" s="34">
        <f t="shared" si="36"/>
        <v>887.95255895909304</v>
      </c>
      <c r="U114" s="157">
        <f t="shared" si="26"/>
        <v>152.39631872444892</v>
      </c>
      <c r="V114" s="37">
        <f t="shared" si="37"/>
        <v>76.459037520162354</v>
      </c>
    </row>
    <row r="115" spans="3:22" ht="16" thickBot="1" x14ac:dyDescent="0.25">
      <c r="C115" s="13">
        <v>90</v>
      </c>
      <c r="D115" s="22"/>
      <c r="E115" s="268">
        <f t="shared" si="22"/>
        <v>0.6</v>
      </c>
      <c r="F115" s="278">
        <f t="shared" si="27"/>
        <v>0</v>
      </c>
      <c r="G115" s="279">
        <f t="shared" si="28"/>
        <v>0</v>
      </c>
      <c r="H115" s="280">
        <f t="shared" si="29"/>
        <v>0</v>
      </c>
      <c r="I115" s="281">
        <f t="shared" si="30"/>
        <v>4.9990484422090457E-4</v>
      </c>
      <c r="J115" s="281">
        <f t="shared" si="31"/>
        <v>2.563066944689128E-5</v>
      </c>
      <c r="K115" s="282">
        <f t="shared" si="32"/>
        <v>1.7044395182182701E-5</v>
      </c>
      <c r="L115" s="263">
        <f t="shared" si="23"/>
        <v>1.70443951821827E-2</v>
      </c>
      <c r="M115" s="141">
        <f t="shared" si="24"/>
        <v>1.70443951821827E-2</v>
      </c>
      <c r="N115" s="29">
        <f t="shared" si="25"/>
        <v>0.47724306510111558</v>
      </c>
      <c r="O115" s="22"/>
      <c r="P115" s="22"/>
      <c r="Q115" s="31">
        <f t="shared" si="33"/>
        <v>5.7596886831741282E-4</v>
      </c>
      <c r="R115" s="32">
        <f t="shared" si="34"/>
        <v>0</v>
      </c>
      <c r="S115" s="32">
        <f t="shared" si="35"/>
        <v>0.47724306510111558</v>
      </c>
      <c r="T115" s="34">
        <f t="shared" si="36"/>
        <v>901.27184734347929</v>
      </c>
      <c r="U115" s="157">
        <f t="shared" si="26"/>
        <v>151.64927794638785</v>
      </c>
      <c r="V115" s="37">
        <f t="shared" si="37"/>
        <v>72.373566227505151</v>
      </c>
    </row>
    <row r="116" spans="3:22" x14ac:dyDescent="0.2">
      <c r="C116" s="27" t="s">
        <v>392</v>
      </c>
      <c r="D116" s="27" t="s">
        <v>392</v>
      </c>
      <c r="E116" s="27" t="s">
        <v>392</v>
      </c>
      <c r="F116" s="271" t="e">
        <f t="shared" ref="F116" si="38">D116*$J$11*$J$12*E116</f>
        <v>#VALUE!</v>
      </c>
      <c r="G116" s="271" t="e">
        <f t="shared" ref="G116" si="39">F116*$J$17</f>
        <v>#VALUE!</v>
      </c>
      <c r="H116" s="272" t="s">
        <v>392</v>
      </c>
      <c r="I116" s="272" t="s">
        <v>392</v>
      </c>
      <c r="J116" s="272" t="s">
        <v>392</v>
      </c>
      <c r="K116" s="272" t="s">
        <v>392</v>
      </c>
      <c r="L116" s="27" t="s">
        <v>392</v>
      </c>
      <c r="M116" s="27" t="s">
        <v>392</v>
      </c>
      <c r="N116" s="27" t="s">
        <v>392</v>
      </c>
      <c r="O116" s="27" t="s">
        <v>392</v>
      </c>
      <c r="P116" s="27" t="s">
        <v>392</v>
      </c>
      <c r="Q116" s="27" t="s">
        <v>392</v>
      </c>
      <c r="R116" s="27" t="s">
        <v>392</v>
      </c>
      <c r="S116" s="27" t="s">
        <v>392</v>
      </c>
      <c r="T116" s="27" t="s">
        <v>392</v>
      </c>
      <c r="U116" s="27" t="s">
        <v>392</v>
      </c>
      <c r="V116" s="27" t="s">
        <v>392</v>
      </c>
    </row>
  </sheetData>
  <mergeCells count="1">
    <mergeCell ref="B5:E7"/>
  </mergeCells>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041F4-4974-42CF-878E-87867109B77C}">
  <sheetPr codeName="Sheet11">
    <tabColor theme="5" tint="0.79998168889431442"/>
  </sheetPr>
  <dimension ref="B2:S75"/>
  <sheetViews>
    <sheetView showGridLines="0" zoomScaleNormal="100" workbookViewId="0"/>
  </sheetViews>
  <sheetFormatPr baseColWidth="10" defaultColWidth="8.83203125" defaultRowHeight="15" x14ac:dyDescent="0.2"/>
  <cols>
    <col min="2" max="2" width="31.5" customWidth="1"/>
    <col min="3" max="3" width="22.5" customWidth="1"/>
    <col min="4" max="4" width="33.83203125" customWidth="1"/>
    <col min="5" max="5" width="30.5" customWidth="1"/>
    <col min="6" max="6" width="28.5" customWidth="1"/>
    <col min="7" max="7" width="25.83203125" customWidth="1"/>
    <col min="8" max="8" width="27.5" customWidth="1"/>
    <col min="9" max="9" width="25.83203125" customWidth="1"/>
    <col min="10" max="10" width="25.5" customWidth="1"/>
    <col min="11" max="11" width="25.83203125" customWidth="1"/>
    <col min="12" max="12" width="24.83203125" customWidth="1"/>
    <col min="13" max="13" width="25.83203125" customWidth="1"/>
    <col min="14" max="14" width="23.83203125" bestFit="1" customWidth="1"/>
    <col min="15" max="15" width="23.5" customWidth="1"/>
    <col min="16" max="16" width="23.83203125" customWidth="1"/>
    <col min="17" max="17" width="25.83203125" customWidth="1"/>
    <col min="18" max="18" width="28.5" customWidth="1"/>
    <col min="19" max="19" width="27.5" customWidth="1"/>
  </cols>
  <sheetData>
    <row r="2" spans="2:19" ht="21" x14ac:dyDescent="0.25">
      <c r="B2" s="1" t="s">
        <v>822</v>
      </c>
      <c r="C2" s="1"/>
      <c r="D2" s="1"/>
    </row>
    <row r="4" spans="2:19" x14ac:dyDescent="0.2">
      <c r="B4" s="3" t="s">
        <v>3</v>
      </c>
      <c r="C4" s="3"/>
      <c r="E4" s="63" t="s">
        <v>610</v>
      </c>
      <c r="F4" s="66">
        <f>Assump_Haz_CarbonContent</f>
        <v>0.5</v>
      </c>
      <c r="I4" s="71" t="s">
        <v>614</v>
      </c>
      <c r="J4" s="40">
        <f>Assump_SCC</f>
        <v>236</v>
      </c>
      <c r="N4" s="63" t="s">
        <v>615</v>
      </c>
      <c r="O4" s="66">
        <f>Assump_NonHaz_CarbonContent</f>
        <v>0.4</v>
      </c>
    </row>
    <row r="5" spans="2:19" x14ac:dyDescent="0.2">
      <c r="B5" s="362" t="s">
        <v>608</v>
      </c>
      <c r="C5" s="362"/>
      <c r="E5" s="65" t="s">
        <v>613</v>
      </c>
      <c r="F5" s="67">
        <f>Assump_Haz_FossilCarbon</f>
        <v>0.9</v>
      </c>
      <c r="I5" s="63" t="s">
        <v>311</v>
      </c>
      <c r="J5" s="60">
        <f>Assump_CarbonCO2conv</f>
        <v>3.67</v>
      </c>
      <c r="N5" s="65" t="s">
        <v>616</v>
      </c>
      <c r="O5" s="67">
        <f>Assump_NonHaz_FossilCarbon</f>
        <v>0.4</v>
      </c>
    </row>
    <row r="6" spans="2:19" x14ac:dyDescent="0.2">
      <c r="B6" s="362"/>
      <c r="C6" s="362"/>
      <c r="E6" s="65" t="s">
        <v>611</v>
      </c>
      <c r="F6" s="67">
        <f>Assump_Haz_EfficiencyCombustion</f>
        <v>0.995</v>
      </c>
      <c r="I6" s="61" t="s">
        <v>612</v>
      </c>
      <c r="J6" s="40">
        <f>Assump_EnergyPot_Incin</f>
        <v>600</v>
      </c>
      <c r="N6" s="65" t="s">
        <v>617</v>
      </c>
      <c r="O6" s="67">
        <f>Assump_NonHaz_EfficiencyCombustion</f>
        <v>0.95</v>
      </c>
    </row>
    <row r="7" spans="2:19" x14ac:dyDescent="0.2">
      <c r="B7" s="362"/>
      <c r="C7" s="362"/>
      <c r="D7" s="54"/>
      <c r="E7" s="55"/>
      <c r="F7" s="16"/>
    </row>
    <row r="8" spans="2:19" x14ac:dyDescent="0.2">
      <c r="E8" s="367" t="s">
        <v>406</v>
      </c>
      <c r="F8" s="367"/>
      <c r="G8" s="367"/>
      <c r="H8" s="367"/>
      <c r="I8" s="367"/>
      <c r="J8" s="367"/>
      <c r="K8" s="367"/>
      <c r="L8" s="367"/>
      <c r="M8" s="367"/>
      <c r="N8" s="368" t="s">
        <v>451</v>
      </c>
      <c r="O8" s="368"/>
      <c r="P8" s="368"/>
      <c r="Q8" s="368"/>
      <c r="R8" s="368"/>
      <c r="S8" s="368"/>
    </row>
    <row r="9" spans="2:19" ht="48" x14ac:dyDescent="0.2">
      <c r="B9" s="193" t="s">
        <v>788</v>
      </c>
      <c r="C9" s="2" t="s">
        <v>0</v>
      </c>
      <c r="D9" s="2" t="s">
        <v>20</v>
      </c>
      <c r="E9" s="58" t="s">
        <v>440</v>
      </c>
      <c r="F9" s="59" t="s">
        <v>444</v>
      </c>
      <c r="G9" s="59" t="s">
        <v>445</v>
      </c>
      <c r="H9" s="59" t="s">
        <v>446</v>
      </c>
      <c r="I9" s="59" t="s">
        <v>447</v>
      </c>
      <c r="J9" s="59" t="s">
        <v>332</v>
      </c>
      <c r="K9" s="59" t="s">
        <v>442</v>
      </c>
      <c r="L9" s="59" t="s">
        <v>443</v>
      </c>
      <c r="M9" s="59" t="s">
        <v>547</v>
      </c>
      <c r="N9" s="58" t="s">
        <v>440</v>
      </c>
      <c r="O9" s="59" t="s">
        <v>448</v>
      </c>
      <c r="P9" s="59" t="s">
        <v>449</v>
      </c>
      <c r="Q9" s="59" t="s">
        <v>450</v>
      </c>
      <c r="R9" s="59" t="s">
        <v>443</v>
      </c>
      <c r="S9" s="59" t="s">
        <v>548</v>
      </c>
    </row>
    <row r="10" spans="2:19" x14ac:dyDescent="0.2">
      <c r="B10" s="193" t="s">
        <v>789</v>
      </c>
      <c r="C10" s="6"/>
      <c r="D10" s="11" t="s">
        <v>1</v>
      </c>
      <c r="E10" s="11"/>
      <c r="F10" s="130" t="s">
        <v>345</v>
      </c>
      <c r="G10" s="130" t="s">
        <v>1</v>
      </c>
      <c r="H10" s="11"/>
      <c r="I10" s="130" t="s">
        <v>1</v>
      </c>
      <c r="J10" s="130" t="s">
        <v>665</v>
      </c>
      <c r="K10" s="11"/>
      <c r="L10" s="11"/>
      <c r="M10" s="11"/>
      <c r="N10" s="11"/>
      <c r="O10" s="130" t="s">
        <v>345</v>
      </c>
      <c r="P10" s="11"/>
      <c r="Q10" s="11"/>
      <c r="R10" s="11"/>
      <c r="S10" s="11"/>
    </row>
    <row r="11" spans="2:19" x14ac:dyDescent="0.2">
      <c r="B11" s="193" t="s">
        <v>790</v>
      </c>
      <c r="C11" s="6">
        <v>2024</v>
      </c>
      <c r="D11" s="6">
        <v>2024</v>
      </c>
      <c r="E11" s="6"/>
      <c r="F11" s="6"/>
      <c r="G11" s="6">
        <v>2024</v>
      </c>
      <c r="H11" s="6"/>
      <c r="I11" s="6">
        <v>2024</v>
      </c>
      <c r="J11" s="6">
        <v>2023</v>
      </c>
      <c r="K11" s="6"/>
      <c r="L11" s="6"/>
      <c r="M11" s="6">
        <v>2023</v>
      </c>
      <c r="N11" s="6"/>
      <c r="O11" s="6"/>
      <c r="P11" s="6"/>
      <c r="Q11" s="6"/>
      <c r="R11" s="6"/>
      <c r="S11" s="6">
        <v>2023</v>
      </c>
    </row>
    <row r="12" spans="2:19" x14ac:dyDescent="0.2">
      <c r="B12" s="193" t="s">
        <v>791</v>
      </c>
      <c r="C12" s="6"/>
      <c r="D12" s="6"/>
      <c r="E12" s="6" t="s">
        <v>388</v>
      </c>
      <c r="F12" s="6" t="s">
        <v>388</v>
      </c>
      <c r="G12" s="6" t="s">
        <v>388</v>
      </c>
      <c r="H12" s="6" t="s">
        <v>284</v>
      </c>
      <c r="I12" s="6" t="s">
        <v>284</v>
      </c>
      <c r="J12" s="6" t="s">
        <v>441</v>
      </c>
      <c r="K12" s="6" t="s">
        <v>388</v>
      </c>
      <c r="L12" s="6" t="s">
        <v>388</v>
      </c>
      <c r="M12" s="6" t="s">
        <v>391</v>
      </c>
      <c r="N12" s="6" t="s">
        <v>388</v>
      </c>
      <c r="O12" s="73" t="s">
        <v>388</v>
      </c>
      <c r="P12" s="73" t="s">
        <v>388</v>
      </c>
      <c r="Q12" s="73" t="s">
        <v>388</v>
      </c>
      <c r="R12" s="6" t="s">
        <v>388</v>
      </c>
      <c r="S12" s="6" t="s">
        <v>391</v>
      </c>
    </row>
    <row r="13" spans="2:19" x14ac:dyDescent="0.2">
      <c r="B13" s="193" t="s">
        <v>792</v>
      </c>
      <c r="C13" s="7"/>
      <c r="D13" s="7"/>
      <c r="E13" s="38"/>
      <c r="F13" s="38"/>
      <c r="G13" s="38"/>
      <c r="H13" s="38"/>
      <c r="I13" s="38"/>
      <c r="J13" s="38"/>
      <c r="K13" s="38"/>
      <c r="L13" s="38"/>
      <c r="M13" s="38" t="s">
        <v>655</v>
      </c>
      <c r="N13" s="46"/>
      <c r="O13" s="51"/>
      <c r="P13" s="74"/>
      <c r="Q13" s="74"/>
      <c r="R13" s="38"/>
      <c r="S13" s="38" t="s">
        <v>656</v>
      </c>
    </row>
    <row r="14" spans="2:19" x14ac:dyDescent="0.2">
      <c r="C14" s="8" t="str" cm="1">
        <f t="array" ref="C14:C75">ModifiedCountries</f>
        <v>Argentina</v>
      </c>
      <c r="D14" s="56" t="str" cm="1">
        <f t="array" ref="D14:D75">ModifiedRegions</f>
        <v>Latin America &amp; Caribbean</v>
      </c>
      <c r="E14" s="57">
        <f t="shared" ref="E14:E45" si="0">$F$4*$F$5*$F$6*$J$5</f>
        <v>1.6432424999999999</v>
      </c>
      <c r="F14" s="218" t="str">
        <f t="shared" ref="F14:F45" si="1">IF(INDEX(Input_HazIncin_ER,MATCH(C14,Input_countries,0))="","No value",INDEX(Input_HazIncin_ER,MATCH(C14,Input_countries,0)))</f>
        <v>No value</v>
      </c>
      <c r="G14" s="218">
        <f t="shared" ref="G14:G45" si="2">INDEX(Input_IncinerationWasteTonnes,MATCH(C14,Input_countries,0))</f>
        <v>895527.5</v>
      </c>
      <c r="H14" s="86" t="str">
        <f>IFERROR(F14/G14,"No value")</f>
        <v>No value</v>
      </c>
      <c r="I14" s="218">
        <f t="shared" ref="I14:I45" si="3">IFERROR(INDEX(Input_IncinerationER,MATCH(C14,Input_countries,0)),"No value")</f>
        <v>7.9045867296149402E-2</v>
      </c>
      <c r="J14" s="227">
        <f t="shared" ref="J14:J45" si="4">INDEX(Input_CO2grid,MATCH(C14,Input_countries,0))</f>
        <v>3.9461645999999998E-4</v>
      </c>
      <c r="K14" s="41">
        <f>IFERROR(IF(H14="No value",I14,H14)*J14*$J$6,0)</f>
        <v>1.871568019802175E-2</v>
      </c>
      <c r="L14" s="98">
        <f>E14-K14</f>
        <v>1.6245268198019782</v>
      </c>
      <c r="M14" s="84">
        <f>L14*$J$4</f>
        <v>383.38832947326688</v>
      </c>
      <c r="N14" s="57">
        <f t="shared" ref="N14:N45" si="5">$O$4*$O$5*$O$6*$J$5</f>
        <v>0.55784000000000011</v>
      </c>
      <c r="O14" s="208" t="str">
        <f t="shared" ref="O14:O45" si="6">IF(INDEX(Input_NonHaz_IncinER,MATCH(C14,Input_countries,0))="","No value",INDEX(Input_NonHaz_IncinER,MATCH(C14,Input_countries,0)))</f>
        <v>No value</v>
      </c>
      <c r="P14" s="86" t="str">
        <f>IFERROR(1-H14,"No value")</f>
        <v>No value</v>
      </c>
      <c r="Q14" s="41">
        <f>IFERROR(IF(P14="No value",I14,P14)*J14*$J$6,0)</f>
        <v>1.871568019802175E-2</v>
      </c>
      <c r="R14" s="41">
        <f>N14-Q14</f>
        <v>0.53912431980197839</v>
      </c>
      <c r="S14" s="84">
        <f>R14*$J$4</f>
        <v>127.23333947326689</v>
      </c>
    </row>
    <row r="15" spans="2:19" x14ac:dyDescent="0.2">
      <c r="C15" s="8" t="str">
        <v>Australia</v>
      </c>
      <c r="D15" s="56" t="str">
        <v>East Asia &amp; Pacific</v>
      </c>
      <c r="E15" s="57">
        <f t="shared" si="0"/>
        <v>1.6432424999999999</v>
      </c>
      <c r="F15" s="218" t="str">
        <f t="shared" si="1"/>
        <v>No value</v>
      </c>
      <c r="G15" s="218">
        <f t="shared" si="2"/>
        <v>1303806.5</v>
      </c>
      <c r="H15" s="57" t="str">
        <f t="shared" ref="H15:H75" si="7">IFERROR(F15/G15,"No value")</f>
        <v>No value</v>
      </c>
      <c r="I15" s="218">
        <f t="shared" si="3"/>
        <v>5.108937E-3</v>
      </c>
      <c r="J15" s="227">
        <f t="shared" si="4"/>
        <v>5.7035283999999999E-4</v>
      </c>
      <c r="K15" s="41">
        <f>IFERROR(IF(H15="No value",I15,H15)*J15*$J$6,0)</f>
        <v>1.7483380363986481E-3</v>
      </c>
      <c r="L15" s="98">
        <f>E15-K15</f>
        <v>1.6414941619636012</v>
      </c>
      <c r="M15" s="84">
        <f t="shared" ref="M15:M45" si="8">L15*$J$4</f>
        <v>387.39262222340989</v>
      </c>
      <c r="N15" s="57">
        <f t="shared" si="5"/>
        <v>0.55784000000000011</v>
      </c>
      <c r="O15" s="208" t="str">
        <f t="shared" si="6"/>
        <v>No value</v>
      </c>
      <c r="P15" s="57" t="str">
        <f t="shared" ref="P15:P75" si="9">IFERROR(1-H15,"No value")</f>
        <v>No value</v>
      </c>
      <c r="Q15" s="41">
        <f t="shared" ref="Q15:Q45" si="10">IFERROR(IF(P15="No value",I15,P15)*J15*$J$6,0)</f>
        <v>1.7483380363986481E-3</v>
      </c>
      <c r="R15" s="41">
        <f t="shared" ref="R15:R75" si="11">N15-Q15</f>
        <v>0.55609166196360149</v>
      </c>
      <c r="S15" s="84">
        <f t="shared" ref="S15:S75" si="12">R15*$J$4</f>
        <v>131.23763222340995</v>
      </c>
    </row>
    <row r="16" spans="2:19" x14ac:dyDescent="0.2">
      <c r="C16" s="8" t="str">
        <v>Austria</v>
      </c>
      <c r="D16" s="56" t="str">
        <v>Europe &amp; Central Asia</v>
      </c>
      <c r="E16" s="57">
        <f t="shared" si="0"/>
        <v>1.6432424999999999</v>
      </c>
      <c r="F16" s="218">
        <f t="shared" si="1"/>
        <v>71327</v>
      </c>
      <c r="G16" s="218">
        <f t="shared" si="2"/>
        <v>1978272.1745</v>
      </c>
      <c r="H16" s="57">
        <f>IFERROR(F16/G16,"No value")</f>
        <v>3.6055200552991454E-2</v>
      </c>
      <c r="I16" s="218">
        <f t="shared" si="3"/>
        <v>0.38909999999999995</v>
      </c>
      <c r="J16" s="227">
        <f t="shared" si="4"/>
        <v>1.4178989000000002E-4</v>
      </c>
      <c r="K16" s="41">
        <f>IFERROR(IF(H16="No value",I16,H16)*J16*$J$6,0)</f>
        <v>3.0673577522019584E-3</v>
      </c>
      <c r="L16" s="98">
        <f t="shared" ref="L16:L45" si="13">E16-K16</f>
        <v>1.6401751422477979</v>
      </c>
      <c r="M16" s="84">
        <f t="shared" si="8"/>
        <v>387.0813335704803</v>
      </c>
      <c r="N16" s="57">
        <f t="shared" si="5"/>
        <v>0.55784000000000011</v>
      </c>
      <c r="O16" s="208">
        <f t="shared" si="6"/>
        <v>1906945.1745</v>
      </c>
      <c r="P16" s="57">
        <f t="shared" si="9"/>
        <v>0.9639447994470085</v>
      </c>
      <c r="Q16" s="41">
        <f t="shared" si="10"/>
        <v>8.2006576247798044E-2</v>
      </c>
      <c r="R16" s="41">
        <f t="shared" si="11"/>
        <v>0.47583342375220206</v>
      </c>
      <c r="S16" s="84">
        <f t="shared" si="12"/>
        <v>112.29668800551968</v>
      </c>
    </row>
    <row r="17" spans="3:19" x14ac:dyDescent="0.2">
      <c r="C17" s="8" t="str">
        <v>Bangladesh</v>
      </c>
      <c r="D17" s="56" t="str">
        <v>South Asia</v>
      </c>
      <c r="E17" s="57">
        <f t="shared" si="0"/>
        <v>1.6432424999999999</v>
      </c>
      <c r="F17" s="218">
        <f t="shared" si="1"/>
        <v>0</v>
      </c>
      <c r="G17" s="218">
        <f t="shared" si="2"/>
        <v>0</v>
      </c>
      <c r="H17" s="57" t="str">
        <f t="shared" si="7"/>
        <v>No value</v>
      </c>
      <c r="I17" s="218">
        <f t="shared" si="3"/>
        <v>0</v>
      </c>
      <c r="J17" s="227">
        <f t="shared" si="4"/>
        <v>6.7810580000000008E-4</v>
      </c>
      <c r="K17" s="41">
        <f t="shared" ref="K17:K45" si="14">IFERROR(IF(H17="No value",I17,H17)*J17*$J$6,0)</f>
        <v>0</v>
      </c>
      <c r="L17" s="98">
        <f t="shared" si="13"/>
        <v>1.6432424999999999</v>
      </c>
      <c r="M17" s="84">
        <f t="shared" si="8"/>
        <v>387.80522999999999</v>
      </c>
      <c r="N17" s="57">
        <f t="shared" si="5"/>
        <v>0.55784000000000011</v>
      </c>
      <c r="O17" s="208">
        <f t="shared" si="6"/>
        <v>0</v>
      </c>
      <c r="P17" s="57" t="str">
        <f t="shared" si="9"/>
        <v>No value</v>
      </c>
      <c r="Q17" s="41">
        <f t="shared" si="10"/>
        <v>0</v>
      </c>
      <c r="R17" s="41">
        <f t="shared" si="11"/>
        <v>0.55784000000000011</v>
      </c>
      <c r="S17" s="84">
        <f t="shared" si="12"/>
        <v>131.65024000000003</v>
      </c>
    </row>
    <row r="18" spans="3:19" x14ac:dyDescent="0.2">
      <c r="C18" s="8" t="str">
        <v>Belgium</v>
      </c>
      <c r="D18" s="56" t="str">
        <v>Europe &amp; Central Asia</v>
      </c>
      <c r="E18" s="57">
        <f t="shared" si="0"/>
        <v>1.6432424999999999</v>
      </c>
      <c r="F18" s="218">
        <f t="shared" si="1"/>
        <v>258006</v>
      </c>
      <c r="G18" s="218">
        <f t="shared" si="2"/>
        <v>2067916.6336999999</v>
      </c>
      <c r="H18" s="57">
        <f t="shared" si="7"/>
        <v>0.1247661514953653</v>
      </c>
      <c r="I18" s="218">
        <f t="shared" si="3"/>
        <v>0.4230061</v>
      </c>
      <c r="J18" s="227">
        <f t="shared" si="4"/>
        <v>1.3979180999999999E-4</v>
      </c>
      <c r="K18" s="41">
        <f t="shared" si="14"/>
        <v>1.0464771686562792E-2</v>
      </c>
      <c r="L18" s="98">
        <f t="shared" si="13"/>
        <v>1.632777728313437</v>
      </c>
      <c r="M18" s="84">
        <f t="shared" si="8"/>
        <v>385.33554388197115</v>
      </c>
      <c r="N18" s="57">
        <f t="shared" si="5"/>
        <v>0.55784000000000011</v>
      </c>
      <c r="O18" s="208">
        <f t="shared" si="6"/>
        <v>1809910.6336999999</v>
      </c>
      <c r="P18" s="57">
        <f t="shared" si="9"/>
        <v>0.8752338485046347</v>
      </c>
      <c r="Q18" s="41">
        <f t="shared" si="10"/>
        <v>7.3410314313437197E-2</v>
      </c>
      <c r="R18" s="41">
        <f t="shared" si="11"/>
        <v>0.48442968568656292</v>
      </c>
      <c r="S18" s="84">
        <f t="shared" si="12"/>
        <v>114.32540582202884</v>
      </c>
    </row>
    <row r="19" spans="3:19" x14ac:dyDescent="0.2">
      <c r="C19" s="8" t="str">
        <v>Bolivia</v>
      </c>
      <c r="D19" s="56" t="str">
        <v>Latin America &amp; Caribbean</v>
      </c>
      <c r="E19" s="57">
        <f t="shared" si="0"/>
        <v>1.6432424999999999</v>
      </c>
      <c r="F19" s="218" t="str">
        <f t="shared" si="1"/>
        <v>No value</v>
      </c>
      <c r="G19" s="218">
        <f t="shared" si="2"/>
        <v>0</v>
      </c>
      <c r="H19" s="57" t="str">
        <f t="shared" si="7"/>
        <v>No value</v>
      </c>
      <c r="I19" s="218">
        <f t="shared" si="3"/>
        <v>0</v>
      </c>
      <c r="J19" s="227">
        <f t="shared" si="4"/>
        <v>4.8913986000000001E-4</v>
      </c>
      <c r="K19" s="41">
        <f t="shared" si="14"/>
        <v>0</v>
      </c>
      <c r="L19" s="98">
        <f t="shared" si="13"/>
        <v>1.6432424999999999</v>
      </c>
      <c r="M19" s="84">
        <f t="shared" si="8"/>
        <v>387.80522999999999</v>
      </c>
      <c r="N19" s="57">
        <f t="shared" si="5"/>
        <v>0.55784000000000011</v>
      </c>
      <c r="O19" s="208" t="str">
        <f t="shared" si="6"/>
        <v>No value</v>
      </c>
      <c r="P19" s="57" t="str">
        <f t="shared" si="9"/>
        <v>No value</v>
      </c>
      <c r="Q19" s="41">
        <f t="shared" si="10"/>
        <v>0</v>
      </c>
      <c r="R19" s="41">
        <f t="shared" si="11"/>
        <v>0.55784000000000011</v>
      </c>
      <c r="S19" s="84">
        <f t="shared" si="12"/>
        <v>131.65024000000003</v>
      </c>
    </row>
    <row r="20" spans="3:19" x14ac:dyDescent="0.2">
      <c r="C20" s="8" t="str">
        <v>Brazil</v>
      </c>
      <c r="D20" s="56" t="str">
        <v>Latin America &amp; Caribbean</v>
      </c>
      <c r="E20" s="57">
        <f t="shared" si="0"/>
        <v>1.6432424999999999</v>
      </c>
      <c r="F20" s="218" t="str">
        <f t="shared" si="1"/>
        <v>No value</v>
      </c>
      <c r="G20" s="218">
        <f t="shared" si="2"/>
        <v>3953479.2</v>
      </c>
      <c r="H20" s="57" t="str">
        <f t="shared" si="7"/>
        <v>No value</v>
      </c>
      <c r="I20" s="218">
        <f t="shared" si="3"/>
        <v>7.9045867296149375E-2</v>
      </c>
      <c r="J20" s="227">
        <f t="shared" si="4"/>
        <v>1.0551264000000001E-4</v>
      </c>
      <c r="K20" s="41">
        <f t="shared" si="14"/>
        <v>5.0042028837038299E-3</v>
      </c>
      <c r="L20" s="98">
        <f t="shared" si="13"/>
        <v>1.6382382971162961</v>
      </c>
      <c r="M20" s="84">
        <f t="shared" si="8"/>
        <v>386.62423811944586</v>
      </c>
      <c r="N20" s="57">
        <f t="shared" si="5"/>
        <v>0.55784000000000011</v>
      </c>
      <c r="O20" s="208" t="str">
        <f t="shared" si="6"/>
        <v>No value</v>
      </c>
      <c r="P20" s="57" t="str">
        <f t="shared" si="9"/>
        <v>No value</v>
      </c>
      <c r="Q20" s="41">
        <f t="shared" si="10"/>
        <v>5.0042028837038299E-3</v>
      </c>
      <c r="R20" s="41">
        <f t="shared" si="11"/>
        <v>0.55283579711629627</v>
      </c>
      <c r="S20" s="84">
        <f t="shared" si="12"/>
        <v>130.46924811944592</v>
      </c>
    </row>
    <row r="21" spans="3:19" x14ac:dyDescent="0.2">
      <c r="C21" s="8" t="str">
        <v>Bulgaria</v>
      </c>
      <c r="D21" s="56" t="str">
        <v>Europe &amp; Central Asia</v>
      </c>
      <c r="E21" s="57">
        <f t="shared" si="0"/>
        <v>1.6432424999999999</v>
      </c>
      <c r="F21" s="218">
        <f t="shared" si="1"/>
        <v>5259</v>
      </c>
      <c r="G21" s="218">
        <f t="shared" si="2"/>
        <v>78627.725000000006</v>
      </c>
      <c r="H21" s="57">
        <f t="shared" si="7"/>
        <v>6.6884804310438833E-2</v>
      </c>
      <c r="I21" s="218">
        <f t="shared" si="3"/>
        <v>5.5903621521275385E-2</v>
      </c>
      <c r="J21" s="227">
        <f t="shared" si="4"/>
        <v>4.7690164E-4</v>
      </c>
      <c r="K21" s="41">
        <f t="shared" si="14"/>
        <v>1.913848372003641E-2</v>
      </c>
      <c r="L21" s="98">
        <f t="shared" si="13"/>
        <v>1.6241040162799636</v>
      </c>
      <c r="M21" s="84">
        <f t="shared" si="8"/>
        <v>383.28854784207141</v>
      </c>
      <c r="N21" s="57">
        <f t="shared" si="5"/>
        <v>0.55784000000000011</v>
      </c>
      <c r="O21" s="208">
        <f t="shared" si="6"/>
        <v>73368.725000000006</v>
      </c>
      <c r="P21" s="57">
        <f t="shared" si="9"/>
        <v>0.93311519568956114</v>
      </c>
      <c r="Q21" s="41">
        <f t="shared" si="10"/>
        <v>0.26700250027996358</v>
      </c>
      <c r="R21" s="41">
        <f t="shared" si="11"/>
        <v>0.29083749972003653</v>
      </c>
      <c r="S21" s="84">
        <f t="shared" si="12"/>
        <v>68.637649933928614</v>
      </c>
    </row>
    <row r="22" spans="3:19" x14ac:dyDescent="0.2">
      <c r="C22" s="8" t="str">
        <v>Canada</v>
      </c>
      <c r="D22" s="56" t="str">
        <v>North America</v>
      </c>
      <c r="E22" s="57">
        <f t="shared" si="0"/>
        <v>1.6432424999999999</v>
      </c>
      <c r="F22" s="218" t="str">
        <f t="shared" si="1"/>
        <v>No value</v>
      </c>
      <c r="G22" s="218">
        <f t="shared" si="2"/>
        <v>753091.02</v>
      </c>
      <c r="H22" s="57" t="str">
        <f t="shared" si="7"/>
        <v>No value</v>
      </c>
      <c r="I22" s="218">
        <f t="shared" si="3"/>
        <v>5.8474982162928055E-2</v>
      </c>
      <c r="J22" s="227">
        <f t="shared" si="4"/>
        <v>1.6143407999999999E-4</v>
      </c>
      <c r="K22" s="41">
        <f t="shared" si="14"/>
        <v>5.6639129690932198E-3</v>
      </c>
      <c r="L22" s="98">
        <f t="shared" si="13"/>
        <v>1.6375785870309068</v>
      </c>
      <c r="M22" s="84">
        <f t="shared" si="8"/>
        <v>386.46854653929398</v>
      </c>
      <c r="N22" s="57">
        <f t="shared" si="5"/>
        <v>0.55784000000000011</v>
      </c>
      <c r="O22" s="208" t="str">
        <f t="shared" si="6"/>
        <v>No value</v>
      </c>
      <c r="P22" s="57" t="str">
        <f t="shared" si="9"/>
        <v>No value</v>
      </c>
      <c r="Q22" s="41">
        <f t="shared" si="10"/>
        <v>5.6639129690932198E-3</v>
      </c>
      <c r="R22" s="41">
        <f t="shared" si="11"/>
        <v>0.55217608703090693</v>
      </c>
      <c r="S22" s="84">
        <f t="shared" si="12"/>
        <v>130.31355653929404</v>
      </c>
    </row>
    <row r="23" spans="3:19" x14ac:dyDescent="0.2">
      <c r="C23" s="8" t="str">
        <v>Chile</v>
      </c>
      <c r="D23" s="56" t="str">
        <v>Latin America &amp; Caribbean</v>
      </c>
      <c r="E23" s="57">
        <f t="shared" si="0"/>
        <v>1.6432424999999999</v>
      </c>
      <c r="F23" s="218" t="str">
        <f t="shared" si="1"/>
        <v>No value</v>
      </c>
      <c r="G23" s="218">
        <f t="shared" si="2"/>
        <v>9123.8000000000011</v>
      </c>
      <c r="H23" s="57" t="str">
        <f t="shared" si="7"/>
        <v>No value</v>
      </c>
      <c r="I23" s="218">
        <f t="shared" si="3"/>
        <v>2.9058616422421572E-2</v>
      </c>
      <c r="J23" s="227">
        <f t="shared" si="4"/>
        <v>3.5352075E-4</v>
      </c>
      <c r="K23" s="41">
        <f t="shared" si="14"/>
        <v>6.1636943229700751E-3</v>
      </c>
      <c r="L23" s="98">
        <f t="shared" si="13"/>
        <v>1.6370788056770298</v>
      </c>
      <c r="M23" s="84">
        <f t="shared" si="8"/>
        <v>386.35059813977904</v>
      </c>
      <c r="N23" s="57">
        <f t="shared" si="5"/>
        <v>0.55784000000000011</v>
      </c>
      <c r="O23" s="208" t="str">
        <f t="shared" si="6"/>
        <v>No value</v>
      </c>
      <c r="P23" s="57" t="str">
        <f t="shared" si="9"/>
        <v>No value</v>
      </c>
      <c r="Q23" s="41">
        <f t="shared" si="10"/>
        <v>6.1636943229700751E-3</v>
      </c>
      <c r="R23" s="41">
        <f t="shared" si="11"/>
        <v>0.55167630567703008</v>
      </c>
      <c r="S23" s="84">
        <f t="shared" si="12"/>
        <v>130.1956081397791</v>
      </c>
    </row>
    <row r="24" spans="3:19" x14ac:dyDescent="0.2">
      <c r="C24" s="8" t="str">
        <v>China</v>
      </c>
      <c r="D24" s="56" t="str">
        <v>East Asia &amp; Pacific</v>
      </c>
      <c r="E24" s="57">
        <f t="shared" si="0"/>
        <v>1.6432424999999999</v>
      </c>
      <c r="F24" s="218" t="str">
        <f t="shared" si="1"/>
        <v>No value</v>
      </c>
      <c r="G24" s="218">
        <f t="shared" si="2"/>
        <v>117892282.5984</v>
      </c>
      <c r="H24" s="57" t="str">
        <f t="shared" si="7"/>
        <v>No value</v>
      </c>
      <c r="I24" s="218">
        <f t="shared" si="3"/>
        <v>0.33453626065075809</v>
      </c>
      <c r="J24" s="227">
        <f t="shared" si="4"/>
        <v>5.8582074E-4</v>
      </c>
      <c r="K24" s="41">
        <f t="shared" si="14"/>
        <v>0.11758696786275599</v>
      </c>
      <c r="L24" s="98">
        <f t="shared" si="13"/>
        <v>1.525655532137244</v>
      </c>
      <c r="M24" s="84">
        <f t="shared" si="8"/>
        <v>360.05470558438958</v>
      </c>
      <c r="N24" s="57">
        <f t="shared" si="5"/>
        <v>0.55784000000000011</v>
      </c>
      <c r="O24" s="208" t="str">
        <f t="shared" si="6"/>
        <v>No value</v>
      </c>
      <c r="P24" s="57" t="str">
        <f t="shared" si="9"/>
        <v>No value</v>
      </c>
      <c r="Q24" s="41">
        <f t="shared" si="10"/>
        <v>0.11758696786275599</v>
      </c>
      <c r="R24" s="41">
        <f t="shared" si="11"/>
        <v>0.44025303213724409</v>
      </c>
      <c r="S24" s="84">
        <f t="shared" si="12"/>
        <v>103.89971558438961</v>
      </c>
    </row>
    <row r="25" spans="3:19" x14ac:dyDescent="0.2">
      <c r="C25" s="8" t="str">
        <v>Colombia</v>
      </c>
      <c r="D25" s="56" t="str">
        <v>Latin America &amp; Caribbean</v>
      </c>
      <c r="E25" s="57">
        <f t="shared" si="0"/>
        <v>1.6432424999999999</v>
      </c>
      <c r="F25" s="218" t="str">
        <f t="shared" si="1"/>
        <v>No value</v>
      </c>
      <c r="G25" s="218">
        <f t="shared" si="2"/>
        <v>607506</v>
      </c>
      <c r="H25" s="57" t="str">
        <f t="shared" si="7"/>
        <v>No value</v>
      </c>
      <c r="I25" s="218">
        <f t="shared" si="3"/>
        <v>7.9045867296149375E-2</v>
      </c>
      <c r="J25" s="227">
        <f t="shared" si="4"/>
        <v>2.1488087E-4</v>
      </c>
      <c r="K25" s="41">
        <f t="shared" si="14"/>
        <v>1.0191266840700675E-2</v>
      </c>
      <c r="L25" s="98">
        <f t="shared" si="13"/>
        <v>1.6330512331592992</v>
      </c>
      <c r="M25" s="84">
        <f t="shared" si="8"/>
        <v>385.40009102559463</v>
      </c>
      <c r="N25" s="57">
        <f t="shared" si="5"/>
        <v>0.55784000000000011</v>
      </c>
      <c r="O25" s="208" t="str">
        <f t="shared" si="6"/>
        <v>No value</v>
      </c>
      <c r="P25" s="57" t="str">
        <f t="shared" si="9"/>
        <v>No value</v>
      </c>
      <c r="Q25" s="41">
        <f t="shared" si="10"/>
        <v>1.0191266840700675E-2</v>
      </c>
      <c r="R25" s="41">
        <f t="shared" si="11"/>
        <v>0.54764873315929941</v>
      </c>
      <c r="S25" s="84">
        <f t="shared" si="12"/>
        <v>129.24510102559466</v>
      </c>
    </row>
    <row r="26" spans="3:19" x14ac:dyDescent="0.2">
      <c r="C26" s="8" t="str">
        <v>Costa Rica</v>
      </c>
      <c r="D26" s="56" t="str">
        <v>Latin America &amp; Caribbean</v>
      </c>
      <c r="E26" s="57">
        <f t="shared" si="0"/>
        <v>1.6432424999999999</v>
      </c>
      <c r="F26" s="218" t="str">
        <f t="shared" si="1"/>
        <v>No value</v>
      </c>
      <c r="G26" s="218">
        <f t="shared" si="2"/>
        <v>73000</v>
      </c>
      <c r="H26" s="57" t="str">
        <f t="shared" si="7"/>
        <v>No value</v>
      </c>
      <c r="I26" s="218">
        <f t="shared" si="3"/>
        <v>1.4887600000000002E-4</v>
      </c>
      <c r="J26" s="227">
        <f t="shared" si="4"/>
        <v>2.6463512000000001E-5</v>
      </c>
      <c r="K26" s="41">
        <f t="shared" si="14"/>
        <v>2.3638690875072005E-6</v>
      </c>
      <c r="L26" s="98">
        <f t="shared" si="13"/>
        <v>1.6432401361309124</v>
      </c>
      <c r="M26" s="84">
        <f t="shared" si="8"/>
        <v>387.8046721268953</v>
      </c>
      <c r="N26" s="57">
        <f t="shared" si="5"/>
        <v>0.55784000000000011</v>
      </c>
      <c r="O26" s="208" t="str">
        <f t="shared" si="6"/>
        <v>No value</v>
      </c>
      <c r="P26" s="57" t="str">
        <f t="shared" si="9"/>
        <v>No value</v>
      </c>
      <c r="Q26" s="41">
        <f t="shared" si="10"/>
        <v>2.3638690875072005E-6</v>
      </c>
      <c r="R26" s="41">
        <f t="shared" si="11"/>
        <v>0.55783763613091264</v>
      </c>
      <c r="S26" s="84">
        <f t="shared" si="12"/>
        <v>131.64968212689539</v>
      </c>
    </row>
    <row r="27" spans="3:19" x14ac:dyDescent="0.2">
      <c r="C27" s="8" t="str">
        <v>Czechia</v>
      </c>
      <c r="D27" s="56" t="str">
        <v>Europe &amp; Central Asia</v>
      </c>
      <c r="E27" s="57">
        <f t="shared" si="0"/>
        <v>1.6432424999999999</v>
      </c>
      <c r="F27" s="218">
        <f t="shared" si="1"/>
        <v>77049</v>
      </c>
      <c r="G27" s="218">
        <f t="shared" si="2"/>
        <v>943202.27560000005</v>
      </c>
      <c r="H27" s="57">
        <f t="shared" si="7"/>
        <v>8.1688734212379585E-2</v>
      </c>
      <c r="I27" s="218">
        <f t="shared" si="3"/>
        <v>0.16870000000000002</v>
      </c>
      <c r="J27" s="227">
        <f t="shared" si="4"/>
        <v>4.8829712000000001E-4</v>
      </c>
      <c r="K27" s="41">
        <f t="shared" si="14"/>
        <v>2.3933024191410253E-2</v>
      </c>
      <c r="L27" s="98">
        <f t="shared" si="13"/>
        <v>1.6193094758085897</v>
      </c>
      <c r="M27" s="84">
        <f t="shared" si="8"/>
        <v>382.15703629082719</v>
      </c>
      <c r="N27" s="57">
        <f t="shared" si="5"/>
        <v>0.55784000000000011</v>
      </c>
      <c r="O27" s="208">
        <f t="shared" si="6"/>
        <v>866153.27560000005</v>
      </c>
      <c r="P27" s="57">
        <f t="shared" si="9"/>
        <v>0.91831126578762046</v>
      </c>
      <c r="Q27" s="41">
        <f t="shared" si="10"/>
        <v>0.26904524780858979</v>
      </c>
      <c r="R27" s="41">
        <f t="shared" si="11"/>
        <v>0.28879475219141032</v>
      </c>
      <c r="S27" s="84">
        <f t="shared" si="12"/>
        <v>68.155561517172842</v>
      </c>
    </row>
    <row r="28" spans="3:19" x14ac:dyDescent="0.2">
      <c r="C28" s="8" t="str">
        <v>Denmark</v>
      </c>
      <c r="D28" s="56" t="str">
        <v>Europe &amp; Central Asia</v>
      </c>
      <c r="E28" s="57">
        <f t="shared" si="0"/>
        <v>1.6432424999999999</v>
      </c>
      <c r="F28" s="218">
        <f t="shared" si="1"/>
        <v>4109</v>
      </c>
      <c r="G28" s="218">
        <f t="shared" si="2"/>
        <v>2582620.4851500001</v>
      </c>
      <c r="H28" s="57">
        <f t="shared" si="7"/>
        <v>1.5910196730904297E-3</v>
      </c>
      <c r="I28" s="218">
        <f t="shared" si="3"/>
        <v>0.4754719</v>
      </c>
      <c r="J28" s="227">
        <f t="shared" si="4"/>
        <v>2.0177701999999999E-4</v>
      </c>
      <c r="K28" s="41">
        <f t="shared" si="14"/>
        <v>1.9261872503853662E-4</v>
      </c>
      <c r="L28" s="98">
        <f t="shared" si="13"/>
        <v>1.6430498812749614</v>
      </c>
      <c r="M28" s="84">
        <f t="shared" si="8"/>
        <v>387.75977198089089</v>
      </c>
      <c r="N28" s="57">
        <f t="shared" si="5"/>
        <v>0.55784000000000011</v>
      </c>
      <c r="O28" s="208">
        <f t="shared" si="6"/>
        <v>2578511.4851500001</v>
      </c>
      <c r="P28" s="57">
        <f t="shared" si="9"/>
        <v>0.99840898032690961</v>
      </c>
      <c r="Q28" s="41">
        <f t="shared" si="10"/>
        <v>0.12087359327496146</v>
      </c>
      <c r="R28" s="41">
        <f t="shared" si="11"/>
        <v>0.43696640672503867</v>
      </c>
      <c r="S28" s="84">
        <f t="shared" si="12"/>
        <v>103.12407198710913</v>
      </c>
    </row>
    <row r="29" spans="3:19" x14ac:dyDescent="0.2">
      <c r="C29" s="8" t="str">
        <v>Dominican Republic</v>
      </c>
      <c r="D29" s="56" t="str">
        <v>Latin America &amp; Caribbean</v>
      </c>
      <c r="E29" s="57">
        <f t="shared" si="0"/>
        <v>1.6432424999999999</v>
      </c>
      <c r="F29" s="218" t="str">
        <f t="shared" si="1"/>
        <v>No value</v>
      </c>
      <c r="G29" s="218">
        <f t="shared" si="2"/>
        <v>203195.5</v>
      </c>
      <c r="H29" s="57" t="str">
        <f t="shared" si="7"/>
        <v>No value</v>
      </c>
      <c r="I29" s="218">
        <f t="shared" si="3"/>
        <v>7.9045867296149375E-2</v>
      </c>
      <c r="J29" s="227">
        <f t="shared" si="4"/>
        <v>5.807799E-4</v>
      </c>
      <c r="K29" s="41">
        <f t="shared" si="14"/>
        <v>2.7544950542202542E-2</v>
      </c>
      <c r="L29" s="98">
        <f t="shared" si="13"/>
        <v>1.6156975494577974</v>
      </c>
      <c r="M29" s="84">
        <f t="shared" si="8"/>
        <v>381.30462167204018</v>
      </c>
      <c r="N29" s="57">
        <f t="shared" si="5"/>
        <v>0.55784000000000011</v>
      </c>
      <c r="O29" s="208" t="str">
        <f t="shared" si="6"/>
        <v>No value</v>
      </c>
      <c r="P29" s="57" t="str">
        <f t="shared" si="9"/>
        <v>No value</v>
      </c>
      <c r="Q29" s="41">
        <f t="shared" si="10"/>
        <v>2.7544950542202542E-2</v>
      </c>
      <c r="R29" s="41">
        <f t="shared" si="11"/>
        <v>0.5302950494577976</v>
      </c>
      <c r="S29" s="84">
        <f t="shared" si="12"/>
        <v>125.14963167204023</v>
      </c>
    </row>
    <row r="30" spans="3:19" x14ac:dyDescent="0.2">
      <c r="C30" s="8" t="str">
        <v>Ecuador</v>
      </c>
      <c r="D30" s="56" t="str">
        <v>Latin America &amp; Caribbean</v>
      </c>
      <c r="E30" s="57">
        <f t="shared" si="0"/>
        <v>1.6432424999999999</v>
      </c>
      <c r="F30" s="218" t="str">
        <f t="shared" si="1"/>
        <v>No value</v>
      </c>
      <c r="G30" s="218">
        <f t="shared" si="2"/>
        <v>264860.55715000001</v>
      </c>
      <c r="H30" s="57" t="str">
        <f t="shared" si="7"/>
        <v>No value</v>
      </c>
      <c r="I30" s="218">
        <f t="shared" si="3"/>
        <v>7.9045867296149375E-2</v>
      </c>
      <c r="J30" s="227">
        <f t="shared" si="4"/>
        <v>1.5068912E-4</v>
      </c>
      <c r="K30" s="41">
        <f t="shared" si="14"/>
        <v>7.1468113094961174E-3</v>
      </c>
      <c r="L30" s="98">
        <f t="shared" si="13"/>
        <v>1.6360956886905038</v>
      </c>
      <c r="M30" s="84">
        <f t="shared" si="8"/>
        <v>386.11858253095892</v>
      </c>
      <c r="N30" s="57">
        <f t="shared" si="5"/>
        <v>0.55784000000000011</v>
      </c>
      <c r="O30" s="208" t="str">
        <f t="shared" si="6"/>
        <v>No value</v>
      </c>
      <c r="P30" s="57" t="str">
        <f t="shared" si="9"/>
        <v>No value</v>
      </c>
      <c r="Q30" s="41">
        <f t="shared" si="10"/>
        <v>7.1468113094961174E-3</v>
      </c>
      <c r="R30" s="41">
        <f t="shared" si="11"/>
        <v>0.55069318869050399</v>
      </c>
      <c r="S30" s="84">
        <f t="shared" si="12"/>
        <v>129.96359253095895</v>
      </c>
    </row>
    <row r="31" spans="3:19" x14ac:dyDescent="0.2">
      <c r="C31" s="8" t="str">
        <v>Egypt, Arab Rep.</v>
      </c>
      <c r="D31" s="56" t="str">
        <v>Middle East &amp; North Africa</v>
      </c>
      <c r="E31" s="57">
        <f t="shared" si="0"/>
        <v>1.6432424999999999</v>
      </c>
      <c r="F31" s="218" t="str">
        <f t="shared" si="1"/>
        <v>No value</v>
      </c>
      <c r="G31" s="218">
        <f t="shared" si="2"/>
        <v>105000</v>
      </c>
      <c r="H31" s="57" t="str">
        <f t="shared" si="7"/>
        <v>No value</v>
      </c>
      <c r="I31" s="218">
        <f t="shared" si="3"/>
        <v>3.2761375746401408E-2</v>
      </c>
      <c r="J31" s="227">
        <f t="shared" si="4"/>
        <v>5.7012695000000001E-4</v>
      </c>
      <c r="K31" s="41">
        <f t="shared" si="14"/>
        <v>1.1206885939259885E-2</v>
      </c>
      <c r="L31" s="98">
        <f t="shared" si="13"/>
        <v>1.6320356140607402</v>
      </c>
      <c r="M31" s="84">
        <f t="shared" si="8"/>
        <v>385.16040491833468</v>
      </c>
      <c r="N31" s="57">
        <f t="shared" si="5"/>
        <v>0.55784000000000011</v>
      </c>
      <c r="O31" s="208" t="str">
        <f t="shared" si="6"/>
        <v>No value</v>
      </c>
      <c r="P31" s="57" t="str">
        <f t="shared" si="9"/>
        <v>No value</v>
      </c>
      <c r="Q31" s="41">
        <f t="shared" si="10"/>
        <v>1.1206885939259885E-2</v>
      </c>
      <c r="R31" s="41">
        <f t="shared" si="11"/>
        <v>0.54663311406074022</v>
      </c>
      <c r="S31" s="84">
        <f t="shared" si="12"/>
        <v>129.00541491833468</v>
      </c>
    </row>
    <row r="32" spans="3:19" x14ac:dyDescent="0.2">
      <c r="C32" s="8" t="str">
        <v>Estonia</v>
      </c>
      <c r="D32" s="56" t="str">
        <v>Europe &amp; Central Asia</v>
      </c>
      <c r="E32" s="57">
        <f t="shared" si="0"/>
        <v>1.6432424999999999</v>
      </c>
      <c r="F32" s="218">
        <f t="shared" si="1"/>
        <v>59</v>
      </c>
      <c r="G32" s="218">
        <f t="shared" si="2"/>
        <v>251462.16994755997</v>
      </c>
      <c r="H32" s="57">
        <f t="shared" si="7"/>
        <v>2.3462773749349211E-4</v>
      </c>
      <c r="I32" s="218">
        <f t="shared" si="3"/>
        <v>0.4837457</v>
      </c>
      <c r="J32" s="227">
        <f t="shared" si="4"/>
        <v>4.8988769999999996E-4</v>
      </c>
      <c r="K32" s="41">
        <f t="shared" si="14"/>
        <v>6.8964745606134368E-5</v>
      </c>
      <c r="L32" s="98">
        <f t="shared" si="13"/>
        <v>1.6431735352543939</v>
      </c>
      <c r="M32" s="84">
        <f t="shared" si="8"/>
        <v>387.78895432003696</v>
      </c>
      <c r="N32" s="57">
        <f t="shared" si="5"/>
        <v>0.55784000000000011</v>
      </c>
      <c r="O32" s="208">
        <f t="shared" si="6"/>
        <v>251403.16994755997</v>
      </c>
      <c r="P32" s="57">
        <f t="shared" si="9"/>
        <v>0.9997653722625065</v>
      </c>
      <c r="Q32" s="41">
        <f t="shared" si="10"/>
        <v>0.29386365525439384</v>
      </c>
      <c r="R32" s="41">
        <f t="shared" si="11"/>
        <v>0.26397634474560627</v>
      </c>
      <c r="S32" s="84">
        <f t="shared" si="12"/>
        <v>62.298417359963082</v>
      </c>
    </row>
    <row r="33" spans="3:19" x14ac:dyDescent="0.2">
      <c r="C33" s="8" t="str">
        <v>Finland</v>
      </c>
      <c r="D33" s="56" t="str">
        <v>Europe &amp; Central Asia</v>
      </c>
      <c r="E33" s="57">
        <f t="shared" si="0"/>
        <v>1.6432424999999999</v>
      </c>
      <c r="F33" s="218">
        <f t="shared" si="1"/>
        <v>42460</v>
      </c>
      <c r="G33" s="218">
        <f t="shared" si="2"/>
        <v>1497259.3218</v>
      </c>
      <c r="H33" s="57">
        <f t="shared" si="7"/>
        <v>2.8358480980405408E-2</v>
      </c>
      <c r="I33" s="218">
        <f t="shared" si="3"/>
        <v>0.55564290000000005</v>
      </c>
      <c r="J33" s="227">
        <f t="shared" si="4"/>
        <v>1.3023511999999998E-4</v>
      </c>
      <c r="K33" s="41">
        <f t="shared" si="14"/>
        <v>2.2159621041004892E-3</v>
      </c>
      <c r="L33" s="98">
        <f t="shared" si="13"/>
        <v>1.6410265378958995</v>
      </c>
      <c r="M33" s="84">
        <f t="shared" si="8"/>
        <v>387.28226294343227</v>
      </c>
      <c r="N33" s="57">
        <f t="shared" si="5"/>
        <v>0.55784000000000011</v>
      </c>
      <c r="O33" s="208">
        <f t="shared" si="6"/>
        <v>1454799.3218</v>
      </c>
      <c r="P33" s="57">
        <f t="shared" si="9"/>
        <v>0.97164151901959461</v>
      </c>
      <c r="Q33" s="41">
        <f t="shared" si="10"/>
        <v>7.5925109895899498E-2</v>
      </c>
      <c r="R33" s="41">
        <f t="shared" si="11"/>
        <v>0.4819148901041006</v>
      </c>
      <c r="S33" s="84">
        <f t="shared" si="12"/>
        <v>113.73191406456775</v>
      </c>
    </row>
    <row r="34" spans="3:19" x14ac:dyDescent="0.2">
      <c r="C34" s="8" t="str">
        <v>France</v>
      </c>
      <c r="D34" s="56" t="str">
        <v>Europe &amp; Central Asia</v>
      </c>
      <c r="E34" s="57">
        <f t="shared" si="0"/>
        <v>1.6432424999999999</v>
      </c>
      <c r="F34" s="218">
        <f t="shared" si="1"/>
        <v>1514417</v>
      </c>
      <c r="G34" s="218">
        <f t="shared" si="2"/>
        <v>12751840.539999999</v>
      </c>
      <c r="H34" s="57">
        <f t="shared" si="7"/>
        <v>0.11876066009840491</v>
      </c>
      <c r="I34" s="218">
        <f t="shared" si="3"/>
        <v>0.31485790000000002</v>
      </c>
      <c r="J34" s="227">
        <f t="shared" si="4"/>
        <v>7.8811130000000011E-5</v>
      </c>
      <c r="K34" s="41">
        <f t="shared" si="14"/>
        <v>5.6157970931407222E-3</v>
      </c>
      <c r="L34" s="98">
        <f t="shared" si="13"/>
        <v>1.6376267029068592</v>
      </c>
      <c r="M34" s="84">
        <f t="shared" si="8"/>
        <v>386.47990188601875</v>
      </c>
      <c r="N34" s="57">
        <f t="shared" si="5"/>
        <v>0.55784000000000011</v>
      </c>
      <c r="O34" s="208">
        <f t="shared" si="6"/>
        <v>11237423.539999999</v>
      </c>
      <c r="P34" s="57">
        <f t="shared" si="9"/>
        <v>0.88123933990159509</v>
      </c>
      <c r="Q34" s="41">
        <f t="shared" si="10"/>
        <v>4.1670880906859289E-2</v>
      </c>
      <c r="R34" s="41">
        <f t="shared" si="11"/>
        <v>0.51616911909314078</v>
      </c>
      <c r="S34" s="84">
        <f t="shared" si="12"/>
        <v>121.81591210598123</v>
      </c>
    </row>
    <row r="35" spans="3:19" x14ac:dyDescent="0.2">
      <c r="C35" s="8" t="str">
        <v>Germany</v>
      </c>
      <c r="D35" s="56" t="str">
        <v>Europe &amp; Central Asia</v>
      </c>
      <c r="E35" s="57">
        <f t="shared" si="0"/>
        <v>1.6432424999999999</v>
      </c>
      <c r="F35" s="218">
        <f t="shared" si="1"/>
        <v>1056183</v>
      </c>
      <c r="G35" s="218">
        <f t="shared" si="2"/>
        <v>16054099.479599999</v>
      </c>
      <c r="H35" s="57">
        <f t="shared" si="7"/>
        <v>6.578899061526905E-2</v>
      </c>
      <c r="I35" s="218">
        <f t="shared" si="3"/>
        <v>0.31573619999999997</v>
      </c>
      <c r="J35" s="227">
        <f t="shared" si="4"/>
        <v>4.2005743000000001E-4</v>
      </c>
      <c r="K35" s="41">
        <f t="shared" si="14"/>
        <v>1.6581092592086424E-2</v>
      </c>
      <c r="L35" s="98">
        <f t="shared" si="13"/>
        <v>1.6266614074079135</v>
      </c>
      <c r="M35" s="84">
        <f t="shared" si="8"/>
        <v>383.89209214826758</v>
      </c>
      <c r="N35" s="57">
        <f t="shared" si="5"/>
        <v>0.55784000000000011</v>
      </c>
      <c r="O35" s="208">
        <f t="shared" si="6"/>
        <v>14997916.479599999</v>
      </c>
      <c r="P35" s="57">
        <f t="shared" si="9"/>
        <v>0.93421100938473089</v>
      </c>
      <c r="Q35" s="41">
        <f t="shared" si="10"/>
        <v>0.23545336540791359</v>
      </c>
      <c r="R35" s="41">
        <f t="shared" si="11"/>
        <v>0.3223866345920865</v>
      </c>
      <c r="S35" s="84">
        <f t="shared" si="12"/>
        <v>76.083245763732407</v>
      </c>
    </row>
    <row r="36" spans="3:19" x14ac:dyDescent="0.2">
      <c r="C36" s="8" t="str">
        <v>Greece</v>
      </c>
      <c r="D36" s="56" t="str">
        <v>Europe &amp; Central Asia</v>
      </c>
      <c r="E36" s="57">
        <f t="shared" si="0"/>
        <v>1.6432424999999999</v>
      </c>
      <c r="F36" s="218">
        <f t="shared" si="1"/>
        <v>6148</v>
      </c>
      <c r="G36" s="218">
        <f t="shared" si="2"/>
        <v>89845.64</v>
      </c>
      <c r="H36" s="57">
        <f t="shared" si="7"/>
        <v>6.8428473546406923E-2</v>
      </c>
      <c r="I36" s="218">
        <f t="shared" si="3"/>
        <v>1.318133E-2</v>
      </c>
      <c r="J36" s="227">
        <f t="shared" si="4"/>
        <v>3.7667119999999999E-4</v>
      </c>
      <c r="K36" s="41">
        <f t="shared" si="14"/>
        <v>1.5465021146936011E-2</v>
      </c>
      <c r="L36" s="98">
        <f t="shared" si="13"/>
        <v>1.6277774788530639</v>
      </c>
      <c r="M36" s="84">
        <f t="shared" si="8"/>
        <v>384.15548500932306</v>
      </c>
      <c r="N36" s="57">
        <f t="shared" si="5"/>
        <v>0.55784000000000011</v>
      </c>
      <c r="O36" s="208">
        <f t="shared" si="6"/>
        <v>83697.64</v>
      </c>
      <c r="P36" s="57">
        <f t="shared" si="9"/>
        <v>0.93157152645359309</v>
      </c>
      <c r="Q36" s="41">
        <f t="shared" si="10"/>
        <v>0.21053769885306398</v>
      </c>
      <c r="R36" s="41">
        <f t="shared" si="11"/>
        <v>0.34730230114693617</v>
      </c>
      <c r="S36" s="84">
        <f t="shared" si="12"/>
        <v>81.963343070676942</v>
      </c>
    </row>
    <row r="37" spans="3:19" x14ac:dyDescent="0.2">
      <c r="C37" s="8" t="str">
        <v>Guatemala</v>
      </c>
      <c r="D37" s="56" t="str">
        <v>Latin America &amp; Caribbean</v>
      </c>
      <c r="E37" s="57">
        <f t="shared" si="0"/>
        <v>1.6432424999999999</v>
      </c>
      <c r="F37" s="218">
        <f t="shared" si="1"/>
        <v>1347</v>
      </c>
      <c r="G37" s="218">
        <f t="shared" si="2"/>
        <v>137837.04855000001</v>
      </c>
      <c r="H37" s="57">
        <f t="shared" si="7"/>
        <v>9.7724089000017986E-3</v>
      </c>
      <c r="I37" s="218">
        <f t="shared" si="3"/>
        <v>7.9045867296149375E-2</v>
      </c>
      <c r="J37" s="227">
        <f t="shared" si="4"/>
        <v>3.2826752000000002E-4</v>
      </c>
      <c r="K37" s="41">
        <f t="shared" si="14"/>
        <v>1.9247786604177112E-3</v>
      </c>
      <c r="L37" s="98">
        <f t="shared" si="13"/>
        <v>1.6413177213395822</v>
      </c>
      <c r="M37" s="84">
        <f t="shared" si="8"/>
        <v>387.35098223614142</v>
      </c>
      <c r="N37" s="57">
        <f t="shared" si="5"/>
        <v>0.55784000000000011</v>
      </c>
      <c r="O37" s="208">
        <f t="shared" si="6"/>
        <v>136490.04855000001</v>
      </c>
      <c r="P37" s="57">
        <f t="shared" si="9"/>
        <v>0.99022759109999825</v>
      </c>
      <c r="Q37" s="41">
        <f t="shared" si="10"/>
        <v>0.1950357333395823</v>
      </c>
      <c r="R37" s="41">
        <f t="shared" si="11"/>
        <v>0.36280426666041782</v>
      </c>
      <c r="S37" s="84">
        <f t="shared" si="12"/>
        <v>85.6218069318586</v>
      </c>
    </row>
    <row r="38" spans="3:19" x14ac:dyDescent="0.2">
      <c r="C38" s="8" t="str">
        <v>Hungary</v>
      </c>
      <c r="D38" s="56" t="str">
        <v>Europe &amp; Central Asia</v>
      </c>
      <c r="E38" s="57">
        <f t="shared" si="0"/>
        <v>1.6432424999999999</v>
      </c>
      <c r="F38" s="218">
        <f t="shared" si="1"/>
        <v>74222</v>
      </c>
      <c r="G38" s="218">
        <f t="shared" si="2"/>
        <v>534629.19334999996</v>
      </c>
      <c r="H38" s="57">
        <f t="shared" si="7"/>
        <v>0.13882893213317268</v>
      </c>
      <c r="I38" s="218">
        <f t="shared" si="3"/>
        <v>0.1358</v>
      </c>
      <c r="J38" s="227">
        <f t="shared" si="4"/>
        <v>2.2874722E-4</v>
      </c>
      <c r="K38" s="41">
        <f t="shared" si="14"/>
        <v>1.9054039368619151E-2</v>
      </c>
      <c r="L38" s="98">
        <f t="shared" si="13"/>
        <v>1.6241884606313808</v>
      </c>
      <c r="M38" s="84">
        <f t="shared" si="8"/>
        <v>383.30847670900584</v>
      </c>
      <c r="N38" s="57">
        <f t="shared" si="5"/>
        <v>0.55784000000000011</v>
      </c>
      <c r="O38" s="208">
        <f t="shared" si="6"/>
        <v>460407.19335000002</v>
      </c>
      <c r="P38" s="57">
        <f t="shared" si="9"/>
        <v>0.86117106786682729</v>
      </c>
      <c r="Q38" s="41">
        <f t="shared" si="10"/>
        <v>0.11819429263138084</v>
      </c>
      <c r="R38" s="41">
        <f t="shared" si="11"/>
        <v>0.4396457073686193</v>
      </c>
      <c r="S38" s="84">
        <f t="shared" si="12"/>
        <v>103.75638693899415</v>
      </c>
    </row>
    <row r="39" spans="3:19" x14ac:dyDescent="0.2">
      <c r="C39" s="8" t="str">
        <v>India</v>
      </c>
      <c r="D39" s="56" t="str">
        <v>South Asia</v>
      </c>
      <c r="E39" s="57">
        <f t="shared" si="0"/>
        <v>1.6432424999999999</v>
      </c>
      <c r="F39" s="218">
        <f t="shared" si="1"/>
        <v>0</v>
      </c>
      <c r="G39" s="218">
        <f t="shared" si="2"/>
        <v>0</v>
      </c>
      <c r="H39" s="57" t="str">
        <f>IFERROR(F39/G39,"No value")</f>
        <v>No value</v>
      </c>
      <c r="I39" s="218">
        <f t="shared" si="3"/>
        <v>0</v>
      </c>
      <c r="J39" s="227">
        <f t="shared" si="4"/>
        <v>7.0513140000000004E-4</v>
      </c>
      <c r="K39" s="41">
        <f t="shared" si="14"/>
        <v>0</v>
      </c>
      <c r="L39" s="98">
        <f t="shared" si="13"/>
        <v>1.6432424999999999</v>
      </c>
      <c r="M39" s="84">
        <f t="shared" si="8"/>
        <v>387.80522999999999</v>
      </c>
      <c r="N39" s="57">
        <f t="shared" si="5"/>
        <v>0.55784000000000011</v>
      </c>
      <c r="O39" s="208">
        <f t="shared" si="6"/>
        <v>0</v>
      </c>
      <c r="P39" s="57" t="str">
        <f t="shared" si="9"/>
        <v>No value</v>
      </c>
      <c r="Q39" s="41">
        <f t="shared" si="10"/>
        <v>0</v>
      </c>
      <c r="R39" s="41">
        <f t="shared" si="11"/>
        <v>0.55784000000000011</v>
      </c>
      <c r="S39" s="84">
        <f t="shared" si="12"/>
        <v>131.65024000000003</v>
      </c>
    </row>
    <row r="40" spans="3:19" x14ac:dyDescent="0.2">
      <c r="C40" s="8" t="str">
        <v>Indonesia</v>
      </c>
      <c r="D40" s="56" t="str">
        <v>East Asia &amp; Pacific</v>
      </c>
      <c r="E40" s="57">
        <f t="shared" si="0"/>
        <v>1.6432424999999999</v>
      </c>
      <c r="F40" s="218" t="str">
        <f t="shared" si="1"/>
        <v>No value</v>
      </c>
      <c r="G40" s="218">
        <f t="shared" si="2"/>
        <v>11084000</v>
      </c>
      <c r="H40" s="57" t="str">
        <f t="shared" si="7"/>
        <v>No value</v>
      </c>
      <c r="I40" s="218">
        <f t="shared" si="3"/>
        <v>0.20247117809547724</v>
      </c>
      <c r="J40" s="227">
        <f t="shared" si="4"/>
        <v>6.7593089999999992E-4</v>
      </c>
      <c r="K40" s="41">
        <f t="shared" si="14"/>
        <v>8.2113915380481725E-2</v>
      </c>
      <c r="L40" s="98">
        <f t="shared" si="13"/>
        <v>1.5611285846195182</v>
      </c>
      <c r="M40" s="84">
        <f t="shared" si="8"/>
        <v>368.42634597020628</v>
      </c>
      <c r="N40" s="57">
        <f t="shared" si="5"/>
        <v>0.55784000000000011</v>
      </c>
      <c r="O40" s="208" t="str">
        <f t="shared" si="6"/>
        <v>No value</v>
      </c>
      <c r="P40" s="57" t="str">
        <f t="shared" si="9"/>
        <v>No value</v>
      </c>
      <c r="Q40" s="41">
        <f t="shared" si="10"/>
        <v>8.2113915380481725E-2</v>
      </c>
      <c r="R40" s="41">
        <f t="shared" si="11"/>
        <v>0.47572608461951837</v>
      </c>
      <c r="S40" s="84">
        <f t="shared" si="12"/>
        <v>112.27135597020634</v>
      </c>
    </row>
    <row r="41" spans="3:19" x14ac:dyDescent="0.2">
      <c r="C41" s="8" t="str">
        <v>Ireland</v>
      </c>
      <c r="D41" s="56" t="str">
        <v>Europe &amp; Central Asia</v>
      </c>
      <c r="E41" s="57">
        <f t="shared" si="0"/>
        <v>1.6432424999999999</v>
      </c>
      <c r="F41" s="218">
        <f t="shared" si="1"/>
        <v>7488</v>
      </c>
      <c r="G41" s="218">
        <f t="shared" si="2"/>
        <v>494811.35</v>
      </c>
      <c r="H41" s="57">
        <f t="shared" si="7"/>
        <v>1.5133040096998585E-2</v>
      </c>
      <c r="I41" s="218">
        <f t="shared" si="3"/>
        <v>0.46512779999999998</v>
      </c>
      <c r="J41" s="227">
        <f t="shared" si="4"/>
        <v>3.3323404000000002E-4</v>
      </c>
      <c r="K41" s="41">
        <f t="shared" si="14"/>
        <v>3.0257064534028981E-3</v>
      </c>
      <c r="L41" s="98">
        <f t="shared" si="13"/>
        <v>1.640216793546597</v>
      </c>
      <c r="M41" s="84">
        <f t="shared" si="8"/>
        <v>387.09116327699689</v>
      </c>
      <c r="N41" s="57">
        <f t="shared" si="5"/>
        <v>0.55784000000000011</v>
      </c>
      <c r="O41" s="208">
        <f t="shared" si="6"/>
        <v>487323.35</v>
      </c>
      <c r="P41" s="57">
        <f t="shared" si="9"/>
        <v>0.98486695990300144</v>
      </c>
      <c r="Q41" s="41">
        <f t="shared" si="10"/>
        <v>0.19691471754659712</v>
      </c>
      <c r="R41" s="41">
        <f t="shared" si="11"/>
        <v>0.360925282453403</v>
      </c>
      <c r="S41" s="84">
        <f t="shared" si="12"/>
        <v>85.178366659003103</v>
      </c>
    </row>
    <row r="42" spans="3:19" x14ac:dyDescent="0.2">
      <c r="C42" s="8" t="str">
        <v>Israel</v>
      </c>
      <c r="D42" s="56" t="str">
        <v>Middle East &amp; North Africa</v>
      </c>
      <c r="E42" s="57">
        <f t="shared" si="0"/>
        <v>1.6432424999999999</v>
      </c>
      <c r="F42" s="218" t="str">
        <f t="shared" si="1"/>
        <v>No value</v>
      </c>
      <c r="G42" s="218">
        <f t="shared" si="2"/>
        <v>81000</v>
      </c>
      <c r="H42" s="57" t="str">
        <f t="shared" si="7"/>
        <v>No value</v>
      </c>
      <c r="I42" s="218">
        <f t="shared" si="3"/>
        <v>1.628226E-2</v>
      </c>
      <c r="J42" s="227">
        <f t="shared" si="4"/>
        <v>5.8292710000000005E-4</v>
      </c>
      <c r="K42" s="41">
        <f t="shared" si="14"/>
        <v>5.6948223619476008E-3</v>
      </c>
      <c r="L42" s="98">
        <f t="shared" si="13"/>
        <v>1.6375476776380524</v>
      </c>
      <c r="M42" s="84">
        <f t="shared" si="8"/>
        <v>386.46125192258035</v>
      </c>
      <c r="N42" s="57">
        <f t="shared" si="5"/>
        <v>0.55784000000000011</v>
      </c>
      <c r="O42" s="208" t="str">
        <f t="shared" si="6"/>
        <v>No value</v>
      </c>
      <c r="P42" s="57" t="str">
        <f t="shared" si="9"/>
        <v>No value</v>
      </c>
      <c r="Q42" s="41">
        <f t="shared" si="10"/>
        <v>5.6948223619476008E-3</v>
      </c>
      <c r="R42" s="41">
        <f t="shared" si="11"/>
        <v>0.55214517763805249</v>
      </c>
      <c r="S42" s="84">
        <f t="shared" si="12"/>
        <v>130.30626192258038</v>
      </c>
    </row>
    <row r="43" spans="3:19" x14ac:dyDescent="0.2">
      <c r="C43" s="8" t="str">
        <v>Italy</v>
      </c>
      <c r="D43" s="56" t="str">
        <v>Europe &amp; Central Asia</v>
      </c>
      <c r="E43" s="57">
        <f t="shared" si="0"/>
        <v>1.6432424999999999</v>
      </c>
      <c r="F43" s="218">
        <f t="shared" si="1"/>
        <v>374739</v>
      </c>
      <c r="G43" s="218">
        <f t="shared" si="2"/>
        <v>5716796</v>
      </c>
      <c r="H43" s="57">
        <f t="shared" si="7"/>
        <v>6.5550528652762841E-2</v>
      </c>
      <c r="I43" s="218">
        <f t="shared" si="3"/>
        <v>0.20488629999999999</v>
      </c>
      <c r="J43" s="227">
        <f t="shared" si="4"/>
        <v>3.7844693000000003E-4</v>
      </c>
      <c r="K43" s="41">
        <f t="shared" si="14"/>
        <v>1.488443779710908E-2</v>
      </c>
      <c r="L43" s="98">
        <f t="shared" si="13"/>
        <v>1.6283580622028908</v>
      </c>
      <c r="M43" s="84">
        <f t="shared" si="8"/>
        <v>384.2925026798822</v>
      </c>
      <c r="N43" s="57">
        <f t="shared" si="5"/>
        <v>0.55784000000000011</v>
      </c>
      <c r="O43" s="208">
        <f t="shared" si="6"/>
        <v>5342057</v>
      </c>
      <c r="P43" s="57">
        <f t="shared" si="9"/>
        <v>0.9344494713472371</v>
      </c>
      <c r="Q43" s="41">
        <f t="shared" si="10"/>
        <v>0.21218372020289092</v>
      </c>
      <c r="R43" s="41">
        <f t="shared" si="11"/>
        <v>0.34565627979710922</v>
      </c>
      <c r="S43" s="84">
        <f t="shared" si="12"/>
        <v>81.57488203211777</v>
      </c>
    </row>
    <row r="44" spans="3:19" x14ac:dyDescent="0.2">
      <c r="C44" s="8" t="str">
        <v>Jamaica</v>
      </c>
      <c r="D44" s="56" t="str">
        <v>Latin America &amp; Caribbean</v>
      </c>
      <c r="E44" s="57">
        <f t="shared" si="0"/>
        <v>1.6432424999999999</v>
      </c>
      <c r="F44" s="218">
        <f t="shared" si="1"/>
        <v>0</v>
      </c>
      <c r="G44" s="218">
        <f t="shared" si="2"/>
        <v>0</v>
      </c>
      <c r="H44" s="57" t="str">
        <f t="shared" si="7"/>
        <v>No value</v>
      </c>
      <c r="I44" s="218">
        <f t="shared" si="3"/>
        <v>0</v>
      </c>
      <c r="J44" s="227">
        <f t="shared" si="4"/>
        <v>5.5555553999999991E-4</v>
      </c>
      <c r="K44" s="41">
        <f t="shared" si="14"/>
        <v>0</v>
      </c>
      <c r="L44" s="98">
        <f t="shared" si="13"/>
        <v>1.6432424999999999</v>
      </c>
      <c r="M44" s="84">
        <f t="shared" si="8"/>
        <v>387.80522999999999</v>
      </c>
      <c r="N44" s="57">
        <f t="shared" si="5"/>
        <v>0.55784000000000011</v>
      </c>
      <c r="O44" s="208">
        <f t="shared" si="6"/>
        <v>0</v>
      </c>
      <c r="P44" s="57" t="str">
        <f t="shared" si="9"/>
        <v>No value</v>
      </c>
      <c r="Q44" s="41">
        <f t="shared" si="10"/>
        <v>0</v>
      </c>
      <c r="R44" s="41">
        <f t="shared" si="11"/>
        <v>0.55784000000000011</v>
      </c>
      <c r="S44" s="84">
        <f t="shared" si="12"/>
        <v>131.65024000000003</v>
      </c>
    </row>
    <row r="45" spans="3:19" x14ac:dyDescent="0.2">
      <c r="C45" s="8" t="str">
        <v>Japan</v>
      </c>
      <c r="D45" s="56" t="str">
        <v>East Asia &amp; Pacific</v>
      </c>
      <c r="E45" s="57">
        <f t="shared" si="0"/>
        <v>1.6432424999999999</v>
      </c>
      <c r="F45" s="218" t="str">
        <f t="shared" si="1"/>
        <v>No value</v>
      </c>
      <c r="G45" s="218">
        <f t="shared" si="2"/>
        <v>34261440</v>
      </c>
      <c r="H45" s="57" t="str">
        <f t="shared" si="7"/>
        <v>No value</v>
      </c>
      <c r="I45" s="218">
        <f t="shared" si="3"/>
        <v>0.74850309999999998</v>
      </c>
      <c r="J45" s="227">
        <f t="shared" si="4"/>
        <v>5.1280535999999994E-4</v>
      </c>
      <c r="K45" s="41">
        <f t="shared" si="14"/>
        <v>0.23030184099396955</v>
      </c>
      <c r="L45" s="98">
        <f t="shared" si="13"/>
        <v>1.4129406590060305</v>
      </c>
      <c r="M45" s="84">
        <f t="shared" si="8"/>
        <v>333.45399552542318</v>
      </c>
      <c r="N45" s="57">
        <f t="shared" si="5"/>
        <v>0.55784000000000011</v>
      </c>
      <c r="O45" s="208" t="str">
        <f t="shared" si="6"/>
        <v>No value</v>
      </c>
      <c r="P45" s="57" t="str">
        <f t="shared" si="9"/>
        <v>No value</v>
      </c>
      <c r="Q45" s="41">
        <f t="shared" si="10"/>
        <v>0.23030184099396955</v>
      </c>
      <c r="R45" s="41">
        <f t="shared" si="11"/>
        <v>0.32753815900603056</v>
      </c>
      <c r="S45" s="84">
        <f t="shared" si="12"/>
        <v>77.299005525423212</v>
      </c>
    </row>
    <row r="46" spans="3:19" x14ac:dyDescent="0.2">
      <c r="C46" s="8" t="str">
        <v>Jordan</v>
      </c>
      <c r="D46" s="56" t="str">
        <v>Middle East &amp; North Africa</v>
      </c>
      <c r="E46" s="57">
        <f t="shared" ref="E46:E75" si="15">$F$4*$F$5*$F$6*$J$5</f>
        <v>1.6432424999999999</v>
      </c>
      <c r="F46" s="218">
        <f t="shared" ref="F46:F75" si="16">IF(INDEX(Input_HazIncin_ER,MATCH(C46,Input_countries,0))="","No value",INDEX(Input_HazIncin_ER,MATCH(C46,Input_countries,0)))</f>
        <v>10.1</v>
      </c>
      <c r="G46" s="218">
        <f t="shared" ref="G46:G75" si="17">INDEX(Input_IncinerationWasteTonnes,MATCH(C46,Input_countries,0))</f>
        <v>12649.985000000001</v>
      </c>
      <c r="H46" s="57">
        <f t="shared" si="7"/>
        <v>7.9841991907500282E-4</v>
      </c>
      <c r="I46" s="218">
        <f t="shared" ref="I46:I75" si="18">IFERROR(INDEX(Input_IncinerationER,MATCH(C46,Input_countries,0)),"No value")</f>
        <v>3.2761375746401408E-2</v>
      </c>
      <c r="J46" s="227">
        <f t="shared" ref="J46:J75" si="19">INDEX(Input_CO2grid,MATCH(C46,Input_countries,0))</f>
        <v>5.4092364999999991E-4</v>
      </c>
      <c r="K46" s="41">
        <f t="shared" ref="K46:K75" si="20">IFERROR(IF(H46="No value",I46,H46)*J46*$J$6,0)</f>
        <v>2.5913053011525301E-4</v>
      </c>
      <c r="L46" s="98">
        <f t="shared" ref="L46:L75" si="21">E46-K46</f>
        <v>1.6429833694698848</v>
      </c>
      <c r="M46" s="84">
        <f t="shared" ref="M46:M75" si="22">L46*$J$4</f>
        <v>387.74407519489279</v>
      </c>
      <c r="N46" s="57">
        <f t="shared" ref="N46:N75" si="23">$O$4*$O$5*$O$6*$J$5</f>
        <v>0.55784000000000011</v>
      </c>
      <c r="O46" s="208">
        <f t="shared" ref="O46:O75" si="24">IF(INDEX(Input_NonHaz_IncinER,MATCH(C46,Input_countries,0))="","No value",INDEX(Input_NonHaz_IncinER,MATCH(C46,Input_countries,0)))</f>
        <v>12639.885</v>
      </c>
      <c r="P46" s="57">
        <f t="shared" si="9"/>
        <v>0.99920158008092497</v>
      </c>
      <c r="Q46" s="41">
        <f t="shared" ref="Q46:Q75" si="25">IFERROR(IF(P46="No value",I46,P46)*J46*$J$6,0)</f>
        <v>0.32429505946988468</v>
      </c>
      <c r="R46" s="41">
        <f t="shared" si="11"/>
        <v>0.23354494053011543</v>
      </c>
      <c r="S46" s="84">
        <f t="shared" si="12"/>
        <v>55.11660596510724</v>
      </c>
    </row>
    <row r="47" spans="3:19" x14ac:dyDescent="0.2">
      <c r="C47" s="8" t="str">
        <v>Korea, Rep.</v>
      </c>
      <c r="D47" s="56" t="str">
        <v>East Asia &amp; Pacific</v>
      </c>
      <c r="E47" s="57">
        <f t="shared" si="15"/>
        <v>1.6432424999999999</v>
      </c>
      <c r="F47" s="218" t="str">
        <f t="shared" si="16"/>
        <v>No value</v>
      </c>
      <c r="G47" s="218">
        <f t="shared" si="17"/>
        <v>5113194</v>
      </c>
      <c r="H47" s="57" t="str">
        <f t="shared" si="7"/>
        <v>No value</v>
      </c>
      <c r="I47" s="218">
        <f t="shared" si="18"/>
        <v>0.28475471862836249</v>
      </c>
      <c r="J47" s="227">
        <f t="shared" si="19"/>
        <v>4.4164829999999999E-4</v>
      </c>
      <c r="K47" s="41">
        <f t="shared" si="20"/>
        <v>7.545686243951677E-2</v>
      </c>
      <c r="L47" s="98">
        <f t="shared" si="21"/>
        <v>1.5677856375604833</v>
      </c>
      <c r="M47" s="84">
        <f t="shared" si="22"/>
        <v>369.99741046427403</v>
      </c>
      <c r="N47" s="57">
        <f t="shared" si="23"/>
        <v>0.55784000000000011</v>
      </c>
      <c r="O47" s="208" t="str">
        <f t="shared" si="24"/>
        <v>No value</v>
      </c>
      <c r="P47" s="57" t="str">
        <f t="shared" si="9"/>
        <v>No value</v>
      </c>
      <c r="Q47" s="41">
        <f t="shared" si="25"/>
        <v>7.545686243951677E-2</v>
      </c>
      <c r="R47" s="41">
        <f t="shared" si="11"/>
        <v>0.48238313756048334</v>
      </c>
      <c r="S47" s="84">
        <f t="shared" si="12"/>
        <v>113.84242046427407</v>
      </c>
    </row>
    <row r="48" spans="3:19" x14ac:dyDescent="0.2">
      <c r="C48" s="8" t="str">
        <v>Latvia</v>
      </c>
      <c r="D48" s="56" t="str">
        <v>Europe &amp; Central Asia</v>
      </c>
      <c r="E48" s="57">
        <f t="shared" si="15"/>
        <v>1.6432424999999999</v>
      </c>
      <c r="F48" s="218">
        <f t="shared" si="16"/>
        <v>9</v>
      </c>
      <c r="G48" s="218">
        <f t="shared" si="17"/>
        <v>28550.288750000003</v>
      </c>
      <c r="H48" s="57">
        <f t="shared" si="7"/>
        <v>3.1523323910340482E-4</v>
      </c>
      <c r="I48" s="218">
        <f t="shared" si="18"/>
        <v>3.2799999999999996E-2</v>
      </c>
      <c r="J48" s="227">
        <f t="shared" si="19"/>
        <v>1.3627257E-4</v>
      </c>
      <c r="K48" s="41">
        <f t="shared" si="20"/>
        <v>2.5774586185227282E-5</v>
      </c>
      <c r="L48" s="98">
        <f t="shared" si="21"/>
        <v>1.6432167254138148</v>
      </c>
      <c r="M48" s="84">
        <f t="shared" si="22"/>
        <v>387.79914719766032</v>
      </c>
      <c r="N48" s="57">
        <f t="shared" si="23"/>
        <v>0.55784000000000011</v>
      </c>
      <c r="O48" s="208">
        <f t="shared" si="24"/>
        <v>28541.288750000003</v>
      </c>
      <c r="P48" s="57">
        <f t="shared" si="9"/>
        <v>0.99968476676089657</v>
      </c>
      <c r="Q48" s="41">
        <f t="shared" si="25"/>
        <v>8.1737767413814763E-2</v>
      </c>
      <c r="R48" s="41">
        <f t="shared" si="11"/>
        <v>0.47610223258618534</v>
      </c>
      <c r="S48" s="84">
        <f t="shared" si="12"/>
        <v>112.36012689033974</v>
      </c>
    </row>
    <row r="49" spans="3:19" x14ac:dyDescent="0.2">
      <c r="C49" s="8" t="str">
        <v>Lithuania</v>
      </c>
      <c r="D49" s="56" t="str">
        <v>Europe &amp; Central Asia</v>
      </c>
      <c r="E49" s="57">
        <f t="shared" si="15"/>
        <v>1.6432424999999999</v>
      </c>
      <c r="F49" s="218">
        <f t="shared" si="16"/>
        <v>617</v>
      </c>
      <c r="G49" s="218">
        <f t="shared" si="17"/>
        <v>151796.049275</v>
      </c>
      <c r="H49" s="57">
        <f t="shared" si="7"/>
        <v>4.0646644161483891E-3</v>
      </c>
      <c r="I49" s="218">
        <f t="shared" si="18"/>
        <v>0.16776469999999999</v>
      </c>
      <c r="J49" s="227">
        <f t="shared" si="19"/>
        <v>1.7718445999999999E-4</v>
      </c>
      <c r="K49" s="41">
        <f t="shared" si="20"/>
        <v>4.3211722179388055E-4</v>
      </c>
      <c r="L49" s="98">
        <f t="shared" si="21"/>
        <v>1.6428103827782061</v>
      </c>
      <c r="M49" s="84">
        <f t="shared" si="22"/>
        <v>387.70325033565666</v>
      </c>
      <c r="N49" s="57">
        <f t="shared" si="23"/>
        <v>0.55784000000000011</v>
      </c>
      <c r="O49" s="208">
        <f t="shared" si="24"/>
        <v>151179.049275</v>
      </c>
      <c r="P49" s="57">
        <f t="shared" si="9"/>
        <v>0.99593533558385161</v>
      </c>
      <c r="Q49" s="41">
        <f t="shared" si="25"/>
        <v>0.10587855877820612</v>
      </c>
      <c r="R49" s="41">
        <f t="shared" si="11"/>
        <v>0.45196144122179399</v>
      </c>
      <c r="S49" s="84">
        <f t="shared" si="12"/>
        <v>106.66290012834338</v>
      </c>
    </row>
    <row r="50" spans="3:19" x14ac:dyDescent="0.2">
      <c r="C50" s="8" t="str">
        <v>Malaysia</v>
      </c>
      <c r="D50" s="56" t="str">
        <v>East Asia &amp; Pacific</v>
      </c>
      <c r="E50" s="57">
        <f t="shared" si="15"/>
        <v>1.6432424999999999</v>
      </c>
      <c r="F50" s="218">
        <f t="shared" si="16"/>
        <v>64177.599999999999</v>
      </c>
      <c r="G50" s="218">
        <f t="shared" si="17"/>
        <v>2207056.4500000002</v>
      </c>
      <c r="H50" s="57">
        <f t="shared" si="7"/>
        <v>2.9078368158639529E-2</v>
      </c>
      <c r="I50" s="218">
        <f t="shared" si="18"/>
        <v>0.20247117809547724</v>
      </c>
      <c r="J50" s="227">
        <f t="shared" si="19"/>
        <v>6.0583136000000001E-4</v>
      </c>
      <c r="K50" s="41">
        <f t="shared" si="20"/>
        <v>1.056995239687757E-2</v>
      </c>
      <c r="L50" s="98">
        <f t="shared" si="21"/>
        <v>1.6326725476031223</v>
      </c>
      <c r="M50" s="84">
        <f t="shared" si="22"/>
        <v>385.31072123433688</v>
      </c>
      <c r="N50" s="57">
        <f t="shared" si="23"/>
        <v>0.55784000000000011</v>
      </c>
      <c r="O50" s="208">
        <f t="shared" si="24"/>
        <v>2142878.85</v>
      </c>
      <c r="P50" s="57">
        <f t="shared" si="9"/>
        <v>0.97092163184136049</v>
      </c>
      <c r="Q50" s="41">
        <f t="shared" si="25"/>
        <v>0.35292886360312242</v>
      </c>
      <c r="R50" s="41">
        <f t="shared" si="11"/>
        <v>0.20491113639687769</v>
      </c>
      <c r="S50" s="84">
        <f t="shared" si="12"/>
        <v>48.359028189663135</v>
      </c>
    </row>
    <row r="51" spans="3:19" x14ac:dyDescent="0.2">
      <c r="C51" s="8" t="str">
        <v>Mauritius</v>
      </c>
      <c r="D51" s="56" t="str">
        <v>Sub-Saharan Africa</v>
      </c>
      <c r="E51" s="57">
        <f t="shared" si="15"/>
        <v>1.6432424999999999</v>
      </c>
      <c r="F51" s="218">
        <f t="shared" si="16"/>
        <v>0</v>
      </c>
      <c r="G51" s="218">
        <f t="shared" si="17"/>
        <v>0</v>
      </c>
      <c r="H51" s="57" t="str">
        <f t="shared" si="7"/>
        <v>No value</v>
      </c>
      <c r="I51" s="218">
        <f t="shared" si="18"/>
        <v>0</v>
      </c>
      <c r="J51" s="227">
        <f t="shared" si="19"/>
        <v>6.3247864000000006E-4</v>
      </c>
      <c r="K51" s="41">
        <f t="shared" si="20"/>
        <v>0</v>
      </c>
      <c r="L51" s="98">
        <f t="shared" si="21"/>
        <v>1.6432424999999999</v>
      </c>
      <c r="M51" s="84">
        <f t="shared" si="22"/>
        <v>387.80522999999999</v>
      </c>
      <c r="N51" s="57">
        <f t="shared" si="23"/>
        <v>0.55784000000000011</v>
      </c>
      <c r="O51" s="208">
        <f t="shared" si="24"/>
        <v>0</v>
      </c>
      <c r="P51" s="57" t="str">
        <f t="shared" si="9"/>
        <v>No value</v>
      </c>
      <c r="Q51" s="41">
        <f t="shared" si="25"/>
        <v>0</v>
      </c>
      <c r="R51" s="41">
        <f t="shared" si="11"/>
        <v>0.55784000000000011</v>
      </c>
      <c r="S51" s="84">
        <f t="shared" si="12"/>
        <v>131.65024000000003</v>
      </c>
    </row>
    <row r="52" spans="3:19" x14ac:dyDescent="0.2">
      <c r="C52" s="8" t="str">
        <v>Mexico</v>
      </c>
      <c r="D52" s="56" t="str">
        <v>Latin America &amp; Caribbean</v>
      </c>
      <c r="E52" s="57">
        <f t="shared" si="15"/>
        <v>1.6432424999999999</v>
      </c>
      <c r="F52" s="218" t="str">
        <f t="shared" si="16"/>
        <v>No value</v>
      </c>
      <c r="G52" s="218">
        <f t="shared" si="17"/>
        <v>2655000</v>
      </c>
      <c r="H52" s="57" t="str">
        <f t="shared" si="7"/>
        <v>No value</v>
      </c>
      <c r="I52" s="218">
        <f t="shared" si="18"/>
        <v>7.9045867296149375E-2</v>
      </c>
      <c r="J52" s="227">
        <f t="shared" si="19"/>
        <v>4.753588E-4</v>
      </c>
      <c r="K52" s="41">
        <f t="shared" si="20"/>
        <v>2.2545089173714086E-2</v>
      </c>
      <c r="L52" s="98">
        <f t="shared" si="21"/>
        <v>1.6206974108262859</v>
      </c>
      <c r="M52" s="84">
        <f t="shared" si="22"/>
        <v>382.48458895500346</v>
      </c>
      <c r="N52" s="57">
        <f t="shared" si="23"/>
        <v>0.55784000000000011</v>
      </c>
      <c r="O52" s="208" t="str">
        <f t="shared" si="24"/>
        <v>No value</v>
      </c>
      <c r="P52" s="57" t="str">
        <f t="shared" si="9"/>
        <v>No value</v>
      </c>
      <c r="Q52" s="41">
        <f t="shared" si="25"/>
        <v>2.2545089173714086E-2</v>
      </c>
      <c r="R52" s="41">
        <f t="shared" si="11"/>
        <v>0.535294910826286</v>
      </c>
      <c r="S52" s="84">
        <f t="shared" si="12"/>
        <v>126.32959895500349</v>
      </c>
    </row>
    <row r="53" spans="3:19" x14ac:dyDescent="0.2">
      <c r="C53" s="8" t="str">
        <v>Netherlands</v>
      </c>
      <c r="D53" s="56" t="str">
        <v>Europe &amp; Central Asia</v>
      </c>
      <c r="E53" s="57">
        <f t="shared" si="15"/>
        <v>1.6432424999999999</v>
      </c>
      <c r="F53" s="218">
        <f t="shared" si="16"/>
        <v>330102</v>
      </c>
      <c r="G53" s="218">
        <f t="shared" si="17"/>
        <v>4170882.13472</v>
      </c>
      <c r="H53" s="57">
        <f t="shared" si="7"/>
        <v>7.9144408625721197E-2</v>
      </c>
      <c r="I53" s="218">
        <f t="shared" si="18"/>
        <v>0.40620030000000001</v>
      </c>
      <c r="J53" s="227">
        <f t="shared" si="19"/>
        <v>3.2499166999999999E-4</v>
      </c>
      <c r="K53" s="41">
        <f t="shared" si="20"/>
        <v>1.5432764118261321E-2</v>
      </c>
      <c r="L53" s="98">
        <f t="shared" si="21"/>
        <v>1.6278097358817387</v>
      </c>
      <c r="M53" s="84">
        <f t="shared" si="22"/>
        <v>384.16309766809036</v>
      </c>
      <c r="N53" s="57">
        <f t="shared" si="23"/>
        <v>0.55784000000000011</v>
      </c>
      <c r="O53" s="208">
        <f t="shared" si="24"/>
        <v>3840780.13472</v>
      </c>
      <c r="P53" s="57">
        <f t="shared" si="9"/>
        <v>0.92085559137427886</v>
      </c>
      <c r="Q53" s="41">
        <f t="shared" si="25"/>
        <v>0.17956223788173867</v>
      </c>
      <c r="R53" s="41">
        <f t="shared" si="11"/>
        <v>0.37827776211826147</v>
      </c>
      <c r="S53" s="84">
        <f t="shared" si="12"/>
        <v>89.273551859909702</v>
      </c>
    </row>
    <row r="54" spans="3:19" x14ac:dyDescent="0.2">
      <c r="C54" s="8" t="str">
        <v>New Zealand</v>
      </c>
      <c r="D54" s="56" t="str">
        <v>East Asia &amp; Pacific</v>
      </c>
      <c r="E54" s="57">
        <f t="shared" si="15"/>
        <v>1.6432424999999999</v>
      </c>
      <c r="F54" s="218" t="str">
        <f t="shared" si="16"/>
        <v>No value</v>
      </c>
      <c r="G54" s="218">
        <f t="shared" si="17"/>
        <v>0</v>
      </c>
      <c r="H54" s="57" t="str">
        <f t="shared" si="7"/>
        <v>No value</v>
      </c>
      <c r="I54" s="218">
        <f t="shared" si="18"/>
        <v>0</v>
      </c>
      <c r="J54" s="227">
        <f t="shared" si="19"/>
        <v>1.1088481000000001E-4</v>
      </c>
      <c r="K54" s="41">
        <f t="shared" si="20"/>
        <v>0</v>
      </c>
      <c r="L54" s="98">
        <f t="shared" si="21"/>
        <v>1.6432424999999999</v>
      </c>
      <c r="M54" s="84">
        <f t="shared" si="22"/>
        <v>387.80522999999999</v>
      </c>
      <c r="N54" s="57">
        <f t="shared" si="23"/>
        <v>0.55784000000000011</v>
      </c>
      <c r="O54" s="208" t="str">
        <f t="shared" si="24"/>
        <v>No value</v>
      </c>
      <c r="P54" s="57" t="str">
        <f t="shared" si="9"/>
        <v>No value</v>
      </c>
      <c r="Q54" s="41">
        <f t="shared" si="25"/>
        <v>0</v>
      </c>
      <c r="R54" s="41">
        <f t="shared" si="11"/>
        <v>0.55784000000000011</v>
      </c>
      <c r="S54" s="84">
        <f t="shared" si="12"/>
        <v>131.65024000000003</v>
      </c>
    </row>
    <row r="55" spans="3:19" x14ac:dyDescent="0.2">
      <c r="C55" s="8" t="str">
        <v>Norway</v>
      </c>
      <c r="D55" s="56" t="str">
        <v>Europe &amp; Central Asia</v>
      </c>
      <c r="E55" s="57">
        <f t="shared" si="15"/>
        <v>1.6432424999999999</v>
      </c>
      <c r="F55" s="218">
        <f t="shared" si="16"/>
        <v>56637</v>
      </c>
      <c r="G55" s="218">
        <f t="shared" si="17"/>
        <v>2172507.8553749998</v>
      </c>
      <c r="H55" s="57">
        <f t="shared" si="7"/>
        <v>2.6069871213526087E-2</v>
      </c>
      <c r="I55" s="218">
        <f t="shared" si="18"/>
        <v>0.49461509999999997</v>
      </c>
      <c r="J55" s="227">
        <f t="shared" si="19"/>
        <v>2.9484031999999998E-5</v>
      </c>
      <c r="K55" s="41">
        <f t="shared" si="20"/>
        <v>4.6118695025728913E-4</v>
      </c>
      <c r="L55" s="98">
        <f t="shared" si="21"/>
        <v>1.6427813130497426</v>
      </c>
      <c r="M55" s="84">
        <f t="shared" si="22"/>
        <v>387.69638987973929</v>
      </c>
      <c r="N55" s="57">
        <f t="shared" si="23"/>
        <v>0.55784000000000011</v>
      </c>
      <c r="O55" s="208">
        <f t="shared" si="24"/>
        <v>2115870.8553749998</v>
      </c>
      <c r="P55" s="57">
        <f t="shared" si="9"/>
        <v>0.97393012878647389</v>
      </c>
      <c r="Q55" s="41">
        <f t="shared" si="25"/>
        <v>1.722923224974271E-2</v>
      </c>
      <c r="R55" s="41">
        <f t="shared" si="11"/>
        <v>0.5406107677502574</v>
      </c>
      <c r="S55" s="84">
        <f t="shared" si="12"/>
        <v>127.58414118906074</v>
      </c>
    </row>
    <row r="56" spans="3:19" x14ac:dyDescent="0.2">
      <c r="C56" s="8" t="str">
        <v>Panama</v>
      </c>
      <c r="D56" s="56" t="str">
        <v>Latin America &amp; Caribbean</v>
      </c>
      <c r="E56" s="57">
        <f t="shared" si="15"/>
        <v>1.6432424999999999</v>
      </c>
      <c r="F56" s="218" t="str">
        <f t="shared" si="16"/>
        <v>No value</v>
      </c>
      <c r="G56" s="218">
        <f t="shared" si="17"/>
        <v>161948.84365000002</v>
      </c>
      <c r="H56" s="57" t="str">
        <f t="shared" si="7"/>
        <v>No value</v>
      </c>
      <c r="I56" s="218">
        <f t="shared" si="18"/>
        <v>0.14075852269581329</v>
      </c>
      <c r="J56" s="227">
        <f t="shared" si="19"/>
        <v>1.6167665000000001E-4</v>
      </c>
      <c r="K56" s="41">
        <f t="shared" si="20"/>
        <v>1.3654419845044837E-2</v>
      </c>
      <c r="L56" s="98">
        <f t="shared" si="21"/>
        <v>1.6295880801549552</v>
      </c>
      <c r="M56" s="84">
        <f t="shared" si="22"/>
        <v>384.58278691656943</v>
      </c>
      <c r="N56" s="57">
        <f t="shared" si="23"/>
        <v>0.55784000000000011</v>
      </c>
      <c r="O56" s="208" t="str">
        <f t="shared" si="24"/>
        <v>No value</v>
      </c>
      <c r="P56" s="57" t="str">
        <f t="shared" si="9"/>
        <v>No value</v>
      </c>
      <c r="Q56" s="41">
        <f t="shared" si="25"/>
        <v>1.3654419845044837E-2</v>
      </c>
      <c r="R56" s="41">
        <f t="shared" si="11"/>
        <v>0.54418558015495533</v>
      </c>
      <c r="S56" s="84">
        <f t="shared" si="12"/>
        <v>128.42779691656946</v>
      </c>
    </row>
    <row r="57" spans="3:19" x14ac:dyDescent="0.2">
      <c r="C57" s="8" t="str">
        <v>Peru</v>
      </c>
      <c r="D57" s="56" t="str">
        <v>Latin America &amp; Caribbean</v>
      </c>
      <c r="E57" s="57">
        <f t="shared" si="15"/>
        <v>1.6432424999999999</v>
      </c>
      <c r="F57" s="218">
        <f t="shared" si="16"/>
        <v>357.3</v>
      </c>
      <c r="G57" s="218">
        <f t="shared" si="17"/>
        <v>417835.55650000001</v>
      </c>
      <c r="H57" s="57">
        <f>IFERROR(F57/G57,"No value")</f>
        <v>8.5512109834051425E-4</v>
      </c>
      <c r="I57" s="218">
        <f t="shared" si="18"/>
        <v>7.9045867296149375E-2</v>
      </c>
      <c r="J57" s="227">
        <f t="shared" si="19"/>
        <v>2.5173491000000004E-4</v>
      </c>
      <c r="K57" s="41">
        <f t="shared" si="20"/>
        <v>1.2915829963791031E-4</v>
      </c>
      <c r="L57" s="98">
        <f t="shared" si="21"/>
        <v>1.6431133417003621</v>
      </c>
      <c r="M57" s="84">
        <f t="shared" si="22"/>
        <v>387.77474864128544</v>
      </c>
      <c r="N57" s="57">
        <f t="shared" si="23"/>
        <v>0.55784000000000011</v>
      </c>
      <c r="O57" s="208">
        <f t="shared" si="24"/>
        <v>417478.25650000002</v>
      </c>
      <c r="P57" s="57">
        <f t="shared" si="9"/>
        <v>0.99914487890165948</v>
      </c>
      <c r="Q57" s="41">
        <f t="shared" si="25"/>
        <v>0.15091178770036212</v>
      </c>
      <c r="R57" s="41">
        <f t="shared" si="11"/>
        <v>0.40692821229963799</v>
      </c>
      <c r="S57" s="84">
        <f t="shared" si="12"/>
        <v>96.035058102714572</v>
      </c>
    </row>
    <row r="58" spans="3:19" x14ac:dyDescent="0.2">
      <c r="C58" s="8" t="str">
        <v>Philippines</v>
      </c>
      <c r="D58" s="56" t="str">
        <v>East Asia &amp; Pacific</v>
      </c>
      <c r="E58" s="57">
        <f t="shared" si="15"/>
        <v>1.6432424999999999</v>
      </c>
      <c r="F58" s="218" t="str">
        <f t="shared" si="16"/>
        <v>No value</v>
      </c>
      <c r="G58" s="218">
        <f t="shared" si="17"/>
        <v>1828990.3625</v>
      </c>
      <c r="H58" s="57" t="str">
        <f t="shared" si="7"/>
        <v>No value</v>
      </c>
      <c r="I58" s="218">
        <f t="shared" si="18"/>
        <v>0.15618668654572929</v>
      </c>
      <c r="J58" s="227">
        <f t="shared" si="19"/>
        <v>6.0109720000000005E-4</v>
      </c>
      <c r="K58" s="41">
        <f t="shared" si="20"/>
        <v>5.6330027975949333E-2</v>
      </c>
      <c r="L58" s="98">
        <f t="shared" si="21"/>
        <v>1.5869124720240506</v>
      </c>
      <c r="M58" s="84">
        <f t="shared" si="22"/>
        <v>374.51134339767594</v>
      </c>
      <c r="N58" s="57">
        <f t="shared" si="23"/>
        <v>0.55784000000000011</v>
      </c>
      <c r="O58" s="208" t="str">
        <f t="shared" si="24"/>
        <v>No value</v>
      </c>
      <c r="P58" s="57" t="str">
        <f t="shared" si="9"/>
        <v>No value</v>
      </c>
      <c r="Q58" s="41">
        <f t="shared" si="25"/>
        <v>5.6330027975949333E-2</v>
      </c>
      <c r="R58" s="41">
        <f t="shared" si="11"/>
        <v>0.50150997202405079</v>
      </c>
      <c r="S58" s="84">
        <f t="shared" si="12"/>
        <v>118.35635339767599</v>
      </c>
    </row>
    <row r="59" spans="3:19" x14ac:dyDescent="0.2">
      <c r="C59" s="8" t="str">
        <v>Poland</v>
      </c>
      <c r="D59" s="56" t="str">
        <v>Europe &amp; Central Asia</v>
      </c>
      <c r="E59" s="57">
        <f t="shared" si="15"/>
        <v>1.6432424999999999</v>
      </c>
      <c r="F59" s="218">
        <f t="shared" si="16"/>
        <v>155729</v>
      </c>
      <c r="G59" s="218">
        <f t="shared" si="17"/>
        <v>1689187.4012</v>
      </c>
      <c r="H59" s="57">
        <f t="shared" si="7"/>
        <v>9.2191665583919225E-2</v>
      </c>
      <c r="I59" s="218">
        <f t="shared" si="18"/>
        <v>0.2149973</v>
      </c>
      <c r="J59" s="227">
        <f t="shared" si="19"/>
        <v>7.3318395999999995E-4</v>
      </c>
      <c r="K59" s="41">
        <f t="shared" si="20"/>
        <v>4.0556070271088158E-2</v>
      </c>
      <c r="L59" s="98">
        <f t="shared" si="21"/>
        <v>1.6026864297289118</v>
      </c>
      <c r="M59" s="84">
        <f t="shared" si="22"/>
        <v>378.23399741602321</v>
      </c>
      <c r="N59" s="57">
        <f t="shared" si="23"/>
        <v>0.55784000000000011</v>
      </c>
      <c r="O59" s="208">
        <f t="shared" si="24"/>
        <v>1533458.4012</v>
      </c>
      <c r="P59" s="57">
        <f t="shared" si="9"/>
        <v>0.90780833441608078</v>
      </c>
      <c r="Q59" s="41">
        <f t="shared" si="25"/>
        <v>0.39935430572891184</v>
      </c>
      <c r="R59" s="41">
        <f t="shared" si="11"/>
        <v>0.15848569427108827</v>
      </c>
      <c r="S59" s="84">
        <f t="shared" si="12"/>
        <v>37.402623847976834</v>
      </c>
    </row>
    <row r="60" spans="3:19" x14ac:dyDescent="0.2">
      <c r="C60" s="8" t="str">
        <v>Portugal</v>
      </c>
      <c r="D60" s="56" t="str">
        <v>Europe &amp; Central Asia</v>
      </c>
      <c r="E60" s="57">
        <f t="shared" si="15"/>
        <v>1.6432424999999999</v>
      </c>
      <c r="F60" s="218">
        <f t="shared" si="16"/>
        <v>17464</v>
      </c>
      <c r="G60" s="218">
        <f t="shared" si="17"/>
        <v>1089466.0348</v>
      </c>
      <c r="H60" s="57">
        <f t="shared" si="7"/>
        <v>1.602987100300559E-2</v>
      </c>
      <c r="I60" s="218">
        <f t="shared" si="18"/>
        <v>0.19813990000000001</v>
      </c>
      <c r="J60" s="227">
        <f t="shared" si="19"/>
        <v>2.2519409999999999E-4</v>
      </c>
      <c r="K60" s="41">
        <f t="shared" si="20"/>
        <v>2.1658994241827646E-3</v>
      </c>
      <c r="L60" s="98">
        <f t="shared" si="21"/>
        <v>1.6410766005758173</v>
      </c>
      <c r="M60" s="84">
        <f t="shared" si="22"/>
        <v>387.29407773589287</v>
      </c>
      <c r="N60" s="57">
        <f t="shared" si="23"/>
        <v>0.55784000000000011</v>
      </c>
      <c r="O60" s="208">
        <f t="shared" si="24"/>
        <v>1072002.0348</v>
      </c>
      <c r="P60" s="57">
        <f t="shared" si="9"/>
        <v>0.98397012899699443</v>
      </c>
      <c r="Q60" s="41">
        <f t="shared" si="25"/>
        <v>0.13295056057581722</v>
      </c>
      <c r="R60" s="41">
        <f t="shared" si="11"/>
        <v>0.42488943942418289</v>
      </c>
      <c r="S60" s="84">
        <f t="shared" si="12"/>
        <v>100.27390770410716</v>
      </c>
    </row>
    <row r="61" spans="3:19" x14ac:dyDescent="0.2">
      <c r="C61" s="8" t="str">
        <v>Romania</v>
      </c>
      <c r="D61" s="56" t="str">
        <v>Europe &amp; Central Asia</v>
      </c>
      <c r="E61" s="57">
        <f t="shared" si="15"/>
        <v>1.6432424999999999</v>
      </c>
      <c r="F61" s="218">
        <f t="shared" si="16"/>
        <v>26472</v>
      </c>
      <c r="G61" s="218">
        <f t="shared" si="17"/>
        <v>128450.03025</v>
      </c>
      <c r="H61" s="57">
        <f t="shared" si="7"/>
        <v>0.20608792343978449</v>
      </c>
      <c r="I61" s="218">
        <f t="shared" si="18"/>
        <v>5.1995153345963344E-2</v>
      </c>
      <c r="J61" s="227">
        <f t="shared" si="19"/>
        <v>2.9793457000000002E-4</v>
      </c>
      <c r="K61" s="41">
        <f t="shared" si="20"/>
        <v>3.6840430111335074E-2</v>
      </c>
      <c r="L61" s="98">
        <f t="shared" si="21"/>
        <v>1.606402069888665</v>
      </c>
      <c r="M61" s="84">
        <f t="shared" si="22"/>
        <v>379.11088849372493</v>
      </c>
      <c r="N61" s="57">
        <f t="shared" si="23"/>
        <v>0.55784000000000011</v>
      </c>
      <c r="O61" s="208">
        <f t="shared" si="24"/>
        <v>101978.03025</v>
      </c>
      <c r="P61" s="57">
        <f t="shared" si="9"/>
        <v>0.79391207656021545</v>
      </c>
      <c r="Q61" s="41">
        <f t="shared" si="25"/>
        <v>0.14192031188866494</v>
      </c>
      <c r="R61" s="41">
        <f t="shared" si="11"/>
        <v>0.41591968811133517</v>
      </c>
      <c r="S61" s="84">
        <f t="shared" si="12"/>
        <v>98.157046394275099</v>
      </c>
    </row>
    <row r="62" spans="3:19" x14ac:dyDescent="0.2">
      <c r="C62" s="8" t="str">
        <v>Russian Federation</v>
      </c>
      <c r="D62" s="56" t="str">
        <v>Europe &amp; Central Asia</v>
      </c>
      <c r="E62" s="57">
        <f t="shared" si="15"/>
        <v>1.6432424999999999</v>
      </c>
      <c r="F62" s="218" t="str">
        <f t="shared" si="16"/>
        <v>No value</v>
      </c>
      <c r="G62" s="218">
        <f t="shared" si="17"/>
        <v>8340000.0000000019</v>
      </c>
      <c r="H62" s="57" t="str">
        <f t="shared" si="7"/>
        <v>No value</v>
      </c>
      <c r="I62" s="218">
        <f t="shared" si="18"/>
        <v>0.17058630613898421</v>
      </c>
      <c r="J62" s="227">
        <f t="shared" si="19"/>
        <v>4.362778E-4</v>
      </c>
      <c r="K62" s="41">
        <f t="shared" si="20"/>
        <v>4.4653811011465511E-2</v>
      </c>
      <c r="L62" s="98">
        <f t="shared" si="21"/>
        <v>1.5985886889885343</v>
      </c>
      <c r="M62" s="84">
        <f t="shared" si="22"/>
        <v>377.26693060129412</v>
      </c>
      <c r="N62" s="57">
        <f t="shared" si="23"/>
        <v>0.55784000000000011</v>
      </c>
      <c r="O62" s="208" t="str">
        <f t="shared" si="24"/>
        <v>No value</v>
      </c>
      <c r="P62" s="57" t="str">
        <f t="shared" si="9"/>
        <v>No value</v>
      </c>
      <c r="Q62" s="41">
        <f t="shared" si="25"/>
        <v>4.4653811011465511E-2</v>
      </c>
      <c r="R62" s="41">
        <f t="shared" si="11"/>
        <v>0.51318618898853463</v>
      </c>
      <c r="S62" s="84">
        <f t="shared" si="12"/>
        <v>121.11194060129418</v>
      </c>
    </row>
    <row r="63" spans="3:19" x14ac:dyDescent="0.2">
      <c r="C63" s="8" t="str">
        <v>Slovak Republic</v>
      </c>
      <c r="D63" s="56" t="str">
        <v>Europe &amp; Central Asia</v>
      </c>
      <c r="E63" s="57">
        <f t="shared" si="15"/>
        <v>1.6432424999999999</v>
      </c>
      <c r="F63" s="218">
        <f t="shared" si="16"/>
        <v>14451</v>
      </c>
      <c r="G63" s="218">
        <f t="shared" si="17"/>
        <v>245919.24472500003</v>
      </c>
      <c r="H63" s="57">
        <f t="shared" si="7"/>
        <v>5.8763192836574774E-2</v>
      </c>
      <c r="I63" s="218">
        <f t="shared" si="18"/>
        <v>5.4669080000000002E-2</v>
      </c>
      <c r="J63" s="227">
        <f t="shared" si="19"/>
        <v>1.4204973000000001E-4</v>
      </c>
      <c r="K63" s="41">
        <f t="shared" si="20"/>
        <v>5.0083774058240285E-3</v>
      </c>
      <c r="L63" s="98">
        <f t="shared" si="21"/>
        <v>1.6382341225941759</v>
      </c>
      <c r="M63" s="84">
        <f t="shared" si="22"/>
        <v>386.62325293222551</v>
      </c>
      <c r="N63" s="57">
        <f t="shared" si="23"/>
        <v>0.55784000000000011</v>
      </c>
      <c r="O63" s="208">
        <f t="shared" si="24"/>
        <v>231468.24472500003</v>
      </c>
      <c r="P63" s="57">
        <f t="shared" si="9"/>
        <v>0.94123680716342517</v>
      </c>
      <c r="Q63" s="41">
        <f t="shared" si="25"/>
        <v>8.0221460594175981E-2</v>
      </c>
      <c r="R63" s="41">
        <f t="shared" si="11"/>
        <v>0.47761853940582411</v>
      </c>
      <c r="S63" s="84">
        <f t="shared" si="12"/>
        <v>112.71797529977449</v>
      </c>
    </row>
    <row r="64" spans="3:19" x14ac:dyDescent="0.2">
      <c r="C64" s="8" t="str">
        <v>Slovenia</v>
      </c>
      <c r="D64" s="56" t="str">
        <v>Europe &amp; Central Asia</v>
      </c>
      <c r="E64" s="57">
        <f t="shared" si="15"/>
        <v>1.6432424999999999</v>
      </c>
      <c r="F64" s="218">
        <f t="shared" si="16"/>
        <v>9887</v>
      </c>
      <c r="G64" s="218">
        <f t="shared" si="17"/>
        <v>179526.60234999997</v>
      </c>
      <c r="H64" s="57">
        <f t="shared" si="7"/>
        <v>5.5072618044230491E-2</v>
      </c>
      <c r="I64" s="218">
        <f t="shared" si="18"/>
        <v>0.15706980000000001</v>
      </c>
      <c r="J64" s="227">
        <f t="shared" si="19"/>
        <v>2.5748505000000002E-4</v>
      </c>
      <c r="K64" s="41">
        <f t="shared" si="20"/>
        <v>8.5082254864497549E-3</v>
      </c>
      <c r="L64" s="98">
        <f t="shared" si="21"/>
        <v>1.6347342745135502</v>
      </c>
      <c r="M64" s="84">
        <f t="shared" si="22"/>
        <v>385.79728878519785</v>
      </c>
      <c r="N64" s="57">
        <f t="shared" si="23"/>
        <v>0.55784000000000011</v>
      </c>
      <c r="O64" s="208">
        <f t="shared" si="24"/>
        <v>169639.60234999997</v>
      </c>
      <c r="P64" s="57">
        <f t="shared" si="9"/>
        <v>0.94492738195576953</v>
      </c>
      <c r="Q64" s="41">
        <f t="shared" si="25"/>
        <v>0.14598280451355028</v>
      </c>
      <c r="R64" s="41">
        <f t="shared" si="11"/>
        <v>0.41185719548644983</v>
      </c>
      <c r="S64" s="84">
        <f t="shared" si="12"/>
        <v>97.198298134802158</v>
      </c>
    </row>
    <row r="65" spans="3:19" x14ac:dyDescent="0.2">
      <c r="C65" s="8" t="str">
        <v>South Africa</v>
      </c>
      <c r="D65" s="56" t="str">
        <v>Sub-Saharan Africa</v>
      </c>
      <c r="E65" s="57">
        <f t="shared" si="15"/>
        <v>1.6432424999999999</v>
      </c>
      <c r="F65" s="218">
        <f t="shared" si="16"/>
        <v>0</v>
      </c>
      <c r="G65" s="218">
        <f t="shared" si="17"/>
        <v>0</v>
      </c>
      <c r="H65" s="57" t="str">
        <f t="shared" si="7"/>
        <v>No value</v>
      </c>
      <c r="I65" s="218">
        <f t="shared" si="18"/>
        <v>0</v>
      </c>
      <c r="J65" s="227">
        <f t="shared" si="19"/>
        <v>7.2967194000000003E-4</v>
      </c>
      <c r="K65" s="41">
        <f t="shared" si="20"/>
        <v>0</v>
      </c>
      <c r="L65" s="98">
        <f t="shared" si="21"/>
        <v>1.6432424999999999</v>
      </c>
      <c r="M65" s="84">
        <f t="shared" si="22"/>
        <v>387.80522999999999</v>
      </c>
      <c r="N65" s="57">
        <f t="shared" si="23"/>
        <v>0.55784000000000011</v>
      </c>
      <c r="O65" s="208">
        <f t="shared" si="24"/>
        <v>0</v>
      </c>
      <c r="P65" s="57" t="str">
        <f t="shared" si="9"/>
        <v>No value</v>
      </c>
      <c r="Q65" s="41">
        <f t="shared" si="25"/>
        <v>0</v>
      </c>
      <c r="R65" s="41">
        <f t="shared" si="11"/>
        <v>0.55784000000000011</v>
      </c>
      <c r="S65" s="84">
        <f t="shared" si="12"/>
        <v>131.65024000000003</v>
      </c>
    </row>
    <row r="66" spans="3:19" x14ac:dyDescent="0.2">
      <c r="C66" s="8" t="str">
        <v>Spain</v>
      </c>
      <c r="D66" s="56" t="str">
        <v>Europe &amp; Central Asia</v>
      </c>
      <c r="E66" s="57">
        <f t="shared" si="15"/>
        <v>1.6432424999999999</v>
      </c>
      <c r="F66" s="218">
        <f t="shared" si="16"/>
        <v>636</v>
      </c>
      <c r="G66" s="218">
        <f t="shared" si="17"/>
        <v>2603873.2776000001</v>
      </c>
      <c r="H66" s="57">
        <f t="shared" si="7"/>
        <v>2.4425151771832905E-4</v>
      </c>
      <c r="I66" s="218">
        <f t="shared" si="18"/>
        <v>0.10984099999999999</v>
      </c>
      <c r="J66" s="227">
        <f t="shared" si="19"/>
        <v>2.1776645000000001E-4</v>
      </c>
      <c r="K66" s="41">
        <f t="shared" si="20"/>
        <v>3.1913871552379574E-5</v>
      </c>
      <c r="L66" s="98">
        <f t="shared" si="21"/>
        <v>1.6432105861284476</v>
      </c>
      <c r="M66" s="84">
        <f t="shared" si="22"/>
        <v>387.79769832631365</v>
      </c>
      <c r="N66" s="57">
        <f t="shared" si="23"/>
        <v>0.55784000000000011</v>
      </c>
      <c r="O66" s="208">
        <f t="shared" si="24"/>
        <v>2603237.2776000001</v>
      </c>
      <c r="P66" s="57">
        <f t="shared" si="9"/>
        <v>0.99975574848228166</v>
      </c>
      <c r="Q66" s="41">
        <f t="shared" si="25"/>
        <v>0.13062795612844763</v>
      </c>
      <c r="R66" s="41">
        <f t="shared" si="11"/>
        <v>0.42721204387155248</v>
      </c>
      <c r="S66" s="84">
        <f t="shared" si="12"/>
        <v>100.82204235368638</v>
      </c>
    </row>
    <row r="67" spans="3:19" x14ac:dyDescent="0.2">
      <c r="C67" s="8" t="str">
        <v>Sri Lanka</v>
      </c>
      <c r="D67" s="56" t="str">
        <v>South Asia</v>
      </c>
      <c r="E67" s="57">
        <f t="shared" si="15"/>
        <v>1.6432424999999999</v>
      </c>
      <c r="F67" s="218" t="str">
        <f t="shared" si="16"/>
        <v>No value</v>
      </c>
      <c r="G67" s="218">
        <f t="shared" si="17"/>
        <v>0</v>
      </c>
      <c r="H67" s="57" t="str">
        <f t="shared" si="7"/>
        <v>No value</v>
      </c>
      <c r="I67" s="218">
        <f t="shared" si="18"/>
        <v>0</v>
      </c>
      <c r="J67" s="227">
        <f t="shared" si="19"/>
        <v>5.0978134E-4</v>
      </c>
      <c r="K67" s="41">
        <f t="shared" si="20"/>
        <v>0</v>
      </c>
      <c r="L67" s="98">
        <f t="shared" si="21"/>
        <v>1.6432424999999999</v>
      </c>
      <c r="M67" s="84">
        <f t="shared" si="22"/>
        <v>387.80522999999999</v>
      </c>
      <c r="N67" s="57">
        <f t="shared" si="23"/>
        <v>0.55784000000000011</v>
      </c>
      <c r="O67" s="208" t="str">
        <f t="shared" si="24"/>
        <v>No value</v>
      </c>
      <c r="P67" s="57" t="str">
        <f t="shared" si="9"/>
        <v>No value</v>
      </c>
      <c r="Q67" s="41">
        <f t="shared" si="25"/>
        <v>0</v>
      </c>
      <c r="R67" s="41">
        <f t="shared" si="11"/>
        <v>0.55784000000000011</v>
      </c>
      <c r="S67" s="84">
        <f t="shared" si="12"/>
        <v>131.65024000000003</v>
      </c>
    </row>
    <row r="68" spans="3:19" x14ac:dyDescent="0.2">
      <c r="C68" s="8" t="str">
        <v>Sweden</v>
      </c>
      <c r="D68" s="56" t="str">
        <v>Europe &amp; Central Asia</v>
      </c>
      <c r="E68" s="57">
        <f t="shared" si="15"/>
        <v>1.6432424999999999</v>
      </c>
      <c r="F68" s="218">
        <f t="shared" si="16"/>
        <v>210477</v>
      </c>
      <c r="G68" s="218">
        <f t="shared" si="17"/>
        <v>2364502.2719999999</v>
      </c>
      <c r="H68" s="57">
        <f t="shared" si="7"/>
        <v>8.9015351134329554E-2</v>
      </c>
      <c r="I68" s="218">
        <f t="shared" si="18"/>
        <v>0.52628600000000003</v>
      </c>
      <c r="J68" s="227">
        <f t="shared" si="19"/>
        <v>4.1067406000000002E-5</v>
      </c>
      <c r="K68" s="41">
        <f t="shared" si="20"/>
        <v>2.1933777391596435E-3</v>
      </c>
      <c r="L68" s="98">
        <f t="shared" si="21"/>
        <v>1.6410491222608403</v>
      </c>
      <c r="M68" s="84">
        <f t="shared" si="22"/>
        <v>387.28759285355829</v>
      </c>
      <c r="N68" s="57">
        <f t="shared" si="23"/>
        <v>0.55784000000000011</v>
      </c>
      <c r="O68" s="208">
        <f t="shared" si="24"/>
        <v>2154025.2719999999</v>
      </c>
      <c r="P68" s="57">
        <f t="shared" si="9"/>
        <v>0.91098464886567043</v>
      </c>
      <c r="Q68" s="41">
        <f t="shared" si="25"/>
        <v>2.2447065860840356E-2</v>
      </c>
      <c r="R68" s="41">
        <f t="shared" si="11"/>
        <v>0.53539293413915978</v>
      </c>
      <c r="S68" s="84">
        <f t="shared" si="12"/>
        <v>126.35273245684171</v>
      </c>
    </row>
    <row r="69" spans="3:19" x14ac:dyDescent="0.2">
      <c r="C69" s="8" t="str">
        <v>Thailand</v>
      </c>
      <c r="D69" s="56" t="str">
        <v>East Asia &amp; Pacific</v>
      </c>
      <c r="E69" s="57">
        <f t="shared" si="15"/>
        <v>1.6432424999999999</v>
      </c>
      <c r="F69" s="218">
        <f t="shared" si="16"/>
        <v>7133</v>
      </c>
      <c r="G69" s="218">
        <f t="shared" si="17"/>
        <v>107413.46400000001</v>
      </c>
      <c r="H69" s="57">
        <f t="shared" si="7"/>
        <v>6.640694503623866E-2</v>
      </c>
      <c r="I69" s="218">
        <f t="shared" si="18"/>
        <v>3.1732831489740342E-2</v>
      </c>
      <c r="J69" s="227">
        <f t="shared" si="19"/>
        <v>5.6074290000000001E-4</v>
      </c>
      <c r="K69" s="41">
        <f t="shared" si="20"/>
        <v>2.234233376385664E-2</v>
      </c>
      <c r="L69" s="98">
        <f t="shared" si="21"/>
        <v>1.6209001662361433</v>
      </c>
      <c r="M69" s="84">
        <f t="shared" si="22"/>
        <v>382.53243923172982</v>
      </c>
      <c r="N69" s="57">
        <f t="shared" si="23"/>
        <v>0.55784000000000011</v>
      </c>
      <c r="O69" s="208">
        <f t="shared" si="24"/>
        <v>100280.46400000001</v>
      </c>
      <c r="P69" s="57">
        <f t="shared" si="9"/>
        <v>0.93359305496376133</v>
      </c>
      <c r="Q69" s="41">
        <f t="shared" si="25"/>
        <v>0.31410340623614336</v>
      </c>
      <c r="R69" s="41">
        <f t="shared" si="11"/>
        <v>0.24373659376385676</v>
      </c>
      <c r="S69" s="84">
        <f t="shared" si="12"/>
        <v>57.521836128270195</v>
      </c>
    </row>
    <row r="70" spans="3:19" x14ac:dyDescent="0.2">
      <c r="C70" s="8" t="str">
        <v>Ukraine</v>
      </c>
      <c r="D70" s="56" t="str">
        <v>Europe &amp; Central Asia</v>
      </c>
      <c r="E70" s="57">
        <f t="shared" si="15"/>
        <v>1.6432424999999999</v>
      </c>
      <c r="F70" s="218">
        <f t="shared" si="16"/>
        <v>10626</v>
      </c>
      <c r="G70" s="218">
        <f t="shared" si="17"/>
        <v>416107.28249999997</v>
      </c>
      <c r="H70" s="57">
        <f t="shared" si="7"/>
        <v>2.553668355948565E-2</v>
      </c>
      <c r="I70" s="218">
        <f t="shared" si="18"/>
        <v>5.5697912669943173E-2</v>
      </c>
      <c r="J70" s="227">
        <f t="shared" si="19"/>
        <v>2.5969302E-4</v>
      </c>
      <c r="K70" s="41">
        <f t="shared" si="20"/>
        <v>3.9790190846083068E-3</v>
      </c>
      <c r="L70" s="98">
        <f t="shared" si="21"/>
        <v>1.6392634809153916</v>
      </c>
      <c r="M70" s="84">
        <f t="shared" si="22"/>
        <v>386.86618149603243</v>
      </c>
      <c r="N70" s="57">
        <f t="shared" si="23"/>
        <v>0.55784000000000011</v>
      </c>
      <c r="O70" s="208">
        <f t="shared" si="24"/>
        <v>405481.28249999997</v>
      </c>
      <c r="P70" s="57">
        <f t="shared" si="9"/>
        <v>0.97446331644051432</v>
      </c>
      <c r="Q70" s="41">
        <f t="shared" si="25"/>
        <v>0.15183679291539168</v>
      </c>
      <c r="R70" s="41">
        <f t="shared" si="11"/>
        <v>0.40600320708460846</v>
      </c>
      <c r="S70" s="84">
        <f t="shared" si="12"/>
        <v>95.816756871967598</v>
      </c>
    </row>
    <row r="71" spans="3:19" x14ac:dyDescent="0.2">
      <c r="C71" s="8" t="str">
        <v>United Kingdom</v>
      </c>
      <c r="D71" s="56" t="str">
        <v>Europe &amp; Central Asia</v>
      </c>
      <c r="E71" s="57">
        <f t="shared" si="15"/>
        <v>1.6432424999999999</v>
      </c>
      <c r="F71" s="218">
        <f t="shared" si="16"/>
        <v>300070</v>
      </c>
      <c r="G71" s="218">
        <f t="shared" si="17"/>
        <v>9655983.7319999989</v>
      </c>
      <c r="H71" s="57">
        <f t="shared" si="7"/>
        <v>3.107606726858558E-2</v>
      </c>
      <c r="I71" s="218">
        <f t="shared" si="18"/>
        <v>0.40126430000000002</v>
      </c>
      <c r="J71" s="227">
        <f t="shared" si="19"/>
        <v>2.5584961E-4</v>
      </c>
      <c r="K71" s="41">
        <f t="shared" si="20"/>
        <v>4.7704798146008323E-3</v>
      </c>
      <c r="L71" s="98">
        <f t="shared" si="21"/>
        <v>1.6384720201853991</v>
      </c>
      <c r="M71" s="84">
        <f t="shared" si="22"/>
        <v>386.6793967637542</v>
      </c>
      <c r="N71" s="57">
        <f t="shared" si="23"/>
        <v>0.55784000000000011</v>
      </c>
      <c r="O71" s="208">
        <f t="shared" si="24"/>
        <v>9355913.7319999989</v>
      </c>
      <c r="P71" s="57">
        <f t="shared" si="9"/>
        <v>0.96892393273141442</v>
      </c>
      <c r="Q71" s="41">
        <f t="shared" si="25"/>
        <v>0.14873928618539917</v>
      </c>
      <c r="R71" s="41">
        <f t="shared" si="11"/>
        <v>0.40910071381460095</v>
      </c>
      <c r="S71" s="84">
        <f t="shared" si="12"/>
        <v>96.54776846024582</v>
      </c>
    </row>
    <row r="72" spans="3:19" x14ac:dyDescent="0.2">
      <c r="C72" s="8" t="str">
        <v>United States</v>
      </c>
      <c r="D72" s="56" t="str">
        <v>North America</v>
      </c>
      <c r="E72" s="57">
        <f t="shared" si="15"/>
        <v>1.6432424999999999</v>
      </c>
      <c r="F72" s="218" t="str">
        <f t="shared" si="16"/>
        <v>No value</v>
      </c>
      <c r="G72" s="218">
        <f t="shared" si="17"/>
        <v>33948739.583999999</v>
      </c>
      <c r="H72" s="57" t="str">
        <f t="shared" si="7"/>
        <v>No value</v>
      </c>
      <c r="I72" s="218">
        <f t="shared" si="18"/>
        <v>0.15927231931571248</v>
      </c>
      <c r="J72" s="227">
        <f t="shared" si="19"/>
        <v>3.8597963999999999E-4</v>
      </c>
      <c r="K72" s="41">
        <f t="shared" si="20"/>
        <v>3.6885523482866243E-2</v>
      </c>
      <c r="L72" s="98">
        <f t="shared" si="21"/>
        <v>1.6063569765171337</v>
      </c>
      <c r="M72" s="84">
        <f t="shared" si="22"/>
        <v>379.10024645804356</v>
      </c>
      <c r="N72" s="57">
        <f t="shared" si="23"/>
        <v>0.55784000000000011</v>
      </c>
      <c r="O72" s="208" t="str">
        <f t="shared" si="24"/>
        <v>No value</v>
      </c>
      <c r="P72" s="57" t="str">
        <f t="shared" si="9"/>
        <v>No value</v>
      </c>
      <c r="Q72" s="41">
        <f t="shared" si="25"/>
        <v>3.6885523482866243E-2</v>
      </c>
      <c r="R72" s="41">
        <f t="shared" si="11"/>
        <v>0.52095447651713389</v>
      </c>
      <c r="S72" s="84">
        <f t="shared" si="12"/>
        <v>122.9452564580436</v>
      </c>
    </row>
    <row r="73" spans="3:19" x14ac:dyDescent="0.2">
      <c r="C73" s="8" t="str">
        <v>Uruguay</v>
      </c>
      <c r="D73" s="56" t="str">
        <v>Latin America &amp; Caribbean</v>
      </c>
      <c r="E73" s="57">
        <f t="shared" si="15"/>
        <v>1.6432424999999999</v>
      </c>
      <c r="F73" s="218" t="str">
        <f t="shared" si="16"/>
        <v>No value</v>
      </c>
      <c r="G73" s="218">
        <f t="shared" si="17"/>
        <v>138615.34599</v>
      </c>
      <c r="H73" s="57" t="str">
        <f t="shared" si="7"/>
        <v>No value</v>
      </c>
      <c r="I73" s="218">
        <f t="shared" si="18"/>
        <v>0.14075852269581329</v>
      </c>
      <c r="J73" s="227">
        <f t="shared" si="19"/>
        <v>1.12648224E-4</v>
      </c>
      <c r="K73" s="41">
        <f t="shared" si="20"/>
        <v>9.5137185567282356E-3</v>
      </c>
      <c r="L73" s="98">
        <f t="shared" si="21"/>
        <v>1.6337287814432717</v>
      </c>
      <c r="M73" s="84">
        <f t="shared" si="22"/>
        <v>385.5599924206121</v>
      </c>
      <c r="N73" s="57">
        <f t="shared" si="23"/>
        <v>0.55784000000000011</v>
      </c>
      <c r="O73" s="208" t="str">
        <f t="shared" si="24"/>
        <v>No value</v>
      </c>
      <c r="P73" s="57" t="str">
        <f t="shared" si="9"/>
        <v>No value</v>
      </c>
      <c r="Q73" s="41">
        <f t="shared" si="25"/>
        <v>9.5137185567282356E-3</v>
      </c>
      <c r="R73" s="41">
        <f t="shared" si="11"/>
        <v>0.54832628144327189</v>
      </c>
      <c r="S73" s="84">
        <f t="shared" si="12"/>
        <v>129.40500242061216</v>
      </c>
    </row>
    <row r="74" spans="3:19" x14ac:dyDescent="0.2">
      <c r="C74" s="8" t="str">
        <v>Venezuela, RB</v>
      </c>
      <c r="D74" s="56" t="str">
        <v>Latin America &amp; Caribbean</v>
      </c>
      <c r="E74" s="57">
        <f t="shared" si="15"/>
        <v>1.6432424999999999</v>
      </c>
      <c r="F74" s="218" t="str">
        <f t="shared" si="16"/>
        <v>No value</v>
      </c>
      <c r="G74" s="218">
        <f t="shared" si="17"/>
        <v>488954.65700000006</v>
      </c>
      <c r="H74" s="57" t="str">
        <f t="shared" si="7"/>
        <v>No value</v>
      </c>
      <c r="I74" s="218">
        <f t="shared" si="18"/>
        <v>7.9045867296149375E-2</v>
      </c>
      <c r="J74" s="227">
        <f t="shared" si="19"/>
        <v>1.8580202E-4</v>
      </c>
      <c r="K74" s="41">
        <f t="shared" si="20"/>
        <v>8.8121290897658945E-3</v>
      </c>
      <c r="L74" s="98">
        <f t="shared" si="21"/>
        <v>1.6344303709102341</v>
      </c>
      <c r="M74" s="84">
        <f t="shared" si="22"/>
        <v>385.72556753481524</v>
      </c>
      <c r="N74" s="57">
        <f t="shared" si="23"/>
        <v>0.55784000000000011</v>
      </c>
      <c r="O74" s="208" t="str">
        <f t="shared" si="24"/>
        <v>No value</v>
      </c>
      <c r="P74" s="57" t="str">
        <f t="shared" si="9"/>
        <v>No value</v>
      </c>
      <c r="Q74" s="41">
        <f t="shared" si="25"/>
        <v>8.8121290897658945E-3</v>
      </c>
      <c r="R74" s="41">
        <f t="shared" si="11"/>
        <v>0.54902787091023419</v>
      </c>
      <c r="S74" s="84">
        <f t="shared" si="12"/>
        <v>129.57057753481527</v>
      </c>
    </row>
    <row r="75" spans="3:19" x14ac:dyDescent="0.2">
      <c r="C75" s="8" t="str">
        <v>Viet Nam</v>
      </c>
      <c r="D75" s="56" t="str">
        <v>East Asia &amp; Pacific</v>
      </c>
      <c r="E75" s="57">
        <f t="shared" si="15"/>
        <v>1.6432424999999999</v>
      </c>
      <c r="F75" s="218" t="str">
        <f t="shared" si="16"/>
        <v>No value</v>
      </c>
      <c r="G75" s="218">
        <f t="shared" si="17"/>
        <v>1196287.5</v>
      </c>
      <c r="H75" s="57" t="str">
        <f t="shared" si="7"/>
        <v>No value</v>
      </c>
      <c r="I75" s="218">
        <f t="shared" si="18"/>
        <v>0.15618668654572929</v>
      </c>
      <c r="J75" s="227">
        <f t="shared" si="19"/>
        <v>4.0980071999999998E-4</v>
      </c>
      <c r="K75" s="41">
        <f t="shared" si="20"/>
        <v>3.8403249960512503E-2</v>
      </c>
      <c r="L75" s="98">
        <f t="shared" si="21"/>
        <v>1.6048392500394875</v>
      </c>
      <c r="M75" s="84">
        <f t="shared" si="22"/>
        <v>378.74206300931905</v>
      </c>
      <c r="N75" s="57">
        <f t="shared" si="23"/>
        <v>0.55784000000000011</v>
      </c>
      <c r="O75" s="208" t="str">
        <f t="shared" si="24"/>
        <v>No value</v>
      </c>
      <c r="P75" s="57" t="str">
        <f t="shared" si="9"/>
        <v>No value</v>
      </c>
      <c r="Q75" s="41">
        <f t="shared" si="25"/>
        <v>3.8403249960512503E-2</v>
      </c>
      <c r="R75" s="41">
        <f t="shared" si="11"/>
        <v>0.51943675003948764</v>
      </c>
      <c r="S75" s="84">
        <f t="shared" si="12"/>
        <v>122.58707300931908</v>
      </c>
    </row>
  </sheetData>
  <autoFilter ref="E13:M75" xr:uid="{C87041F4-4974-42CF-878E-87867109B77C}"/>
  <mergeCells count="3">
    <mergeCell ref="E8:M8"/>
    <mergeCell ref="N8:S8"/>
    <mergeCell ref="B5:C7"/>
  </mergeCells>
  <hyperlinks>
    <hyperlink ref="D10" r:id="rId1" xr:uid="{652CA9E9-F6B9-44EB-8D3D-DD6351E91BD8}"/>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4A71D-293E-47C6-AAF6-C697A703B9A9}">
  <sheetPr codeName="Sheet5">
    <tabColor theme="7" tint="0.79998168889431442"/>
  </sheetPr>
  <dimension ref="B2:BR75"/>
  <sheetViews>
    <sheetView showGridLines="0" zoomScaleNormal="100" workbookViewId="0"/>
  </sheetViews>
  <sheetFormatPr baseColWidth="10" defaultColWidth="8.83203125" defaultRowHeight="15" x14ac:dyDescent="0.2"/>
  <cols>
    <col min="2" max="2" width="14.1640625" customWidth="1"/>
    <col min="3" max="3" width="26.5" customWidth="1"/>
    <col min="4" max="4" width="23.5" bestFit="1" customWidth="1"/>
    <col min="5" max="5" width="23.5" customWidth="1"/>
    <col min="6" max="10" width="22.5" customWidth="1"/>
    <col min="11" max="12" width="22.5" style="16" customWidth="1"/>
    <col min="13" max="34" width="22.5" customWidth="1"/>
    <col min="35" max="35" width="35" customWidth="1"/>
    <col min="36" max="36" width="14.83203125" style="92" customWidth="1"/>
    <col min="37" max="37" width="22.5" style="92" customWidth="1"/>
    <col min="38" max="38" width="24.83203125" customWidth="1"/>
    <col min="39" max="63" width="22.5" customWidth="1"/>
    <col min="65" max="65" width="17.5" customWidth="1"/>
    <col min="70" max="70" width="30.33203125" customWidth="1"/>
  </cols>
  <sheetData>
    <row r="2" spans="2:70" ht="21" x14ac:dyDescent="0.25">
      <c r="B2" s="1" t="s">
        <v>822</v>
      </c>
    </row>
    <row r="4" spans="2:70" x14ac:dyDescent="0.2">
      <c r="B4" s="3" t="s">
        <v>3</v>
      </c>
    </row>
    <row r="5" spans="2:70" x14ac:dyDescent="0.2">
      <c r="B5" s="356" t="s">
        <v>855</v>
      </c>
      <c r="C5" s="362"/>
      <c r="D5" s="362"/>
      <c r="E5" s="362"/>
      <c r="F5" s="362"/>
      <c r="G5" s="362"/>
      <c r="H5" s="362"/>
      <c r="I5" s="362"/>
      <c r="J5" s="362"/>
      <c r="K5" s="362"/>
      <c r="L5" s="362"/>
      <c r="M5" s="362"/>
    </row>
    <row r="6" spans="2:70" x14ac:dyDescent="0.2">
      <c r="B6" s="362"/>
      <c r="C6" s="362"/>
      <c r="D6" s="362"/>
      <c r="E6" s="362"/>
      <c r="F6" s="362"/>
      <c r="G6" s="362"/>
      <c r="H6" s="362"/>
      <c r="I6" s="362"/>
      <c r="J6" s="362"/>
      <c r="K6" s="362"/>
      <c r="L6" s="362"/>
      <c r="M6" s="362"/>
    </row>
    <row r="8" spans="2:70" ht="21" x14ac:dyDescent="0.25">
      <c r="E8" s="193" t="s">
        <v>805</v>
      </c>
      <c r="F8" s="376" t="s">
        <v>552</v>
      </c>
      <c r="G8" s="377"/>
      <c r="H8" s="377"/>
      <c r="I8" s="377"/>
      <c r="J8" s="377"/>
      <c r="K8" s="378"/>
      <c r="L8" s="346" t="s">
        <v>563</v>
      </c>
      <c r="M8" s="346"/>
      <c r="N8" s="346"/>
      <c r="O8" s="346"/>
      <c r="P8" s="346"/>
      <c r="Q8" s="346"/>
      <c r="R8" s="346"/>
      <c r="S8" s="346"/>
      <c r="T8" s="376" t="s">
        <v>729</v>
      </c>
      <c r="U8" s="377"/>
      <c r="V8" s="377"/>
      <c r="W8" s="377"/>
      <c r="X8" s="377"/>
      <c r="Y8" s="378"/>
      <c r="Z8" s="346" t="s">
        <v>564</v>
      </c>
      <c r="AA8" s="346"/>
      <c r="AB8" s="346"/>
      <c r="AC8" s="346"/>
      <c r="AD8" s="346"/>
      <c r="AE8" s="346"/>
      <c r="AF8" s="346"/>
      <c r="AG8" s="346"/>
      <c r="AH8" s="346"/>
      <c r="AI8" s="346"/>
      <c r="AJ8" s="113"/>
      <c r="AK8" s="113"/>
      <c r="AL8" s="111" t="s">
        <v>573</v>
      </c>
      <c r="AO8" s="111"/>
      <c r="AP8" s="111"/>
      <c r="AQ8" s="111"/>
      <c r="AR8" s="111"/>
      <c r="AS8" s="111"/>
      <c r="AT8" s="111"/>
      <c r="AU8" s="111"/>
      <c r="AV8" s="111"/>
      <c r="AW8" s="111"/>
      <c r="AX8" s="111"/>
      <c r="AY8" s="111"/>
      <c r="BM8" s="369" t="s">
        <v>729</v>
      </c>
      <c r="BN8" s="370"/>
      <c r="BO8" s="370"/>
      <c r="BP8" s="370"/>
      <c r="BQ8" s="370"/>
      <c r="BR8" s="371"/>
    </row>
    <row r="9" spans="2:70" x14ac:dyDescent="0.2">
      <c r="E9" s="193" t="s">
        <v>806</v>
      </c>
      <c r="F9" s="374" t="s">
        <v>406</v>
      </c>
      <c r="G9" s="375"/>
      <c r="H9" s="379"/>
      <c r="I9" s="380" t="s">
        <v>451</v>
      </c>
      <c r="J9" s="372"/>
      <c r="K9" s="373"/>
      <c r="L9" s="381" t="s">
        <v>406</v>
      </c>
      <c r="M9" s="381"/>
      <c r="N9" s="381"/>
      <c r="O9" s="381"/>
      <c r="P9" s="382" t="s">
        <v>451</v>
      </c>
      <c r="Q9" s="383"/>
      <c r="R9" s="383"/>
      <c r="S9" s="383"/>
      <c r="T9" s="294" t="s">
        <v>727</v>
      </c>
      <c r="U9" s="294" t="s">
        <v>728</v>
      </c>
      <c r="V9" s="294" t="s">
        <v>727</v>
      </c>
      <c r="W9" s="294" t="s">
        <v>728</v>
      </c>
      <c r="X9" s="294" t="s">
        <v>725</v>
      </c>
      <c r="Y9" s="294" t="s">
        <v>726</v>
      </c>
      <c r="Z9" s="374" t="s">
        <v>406</v>
      </c>
      <c r="AA9" s="375"/>
      <c r="AB9" s="375"/>
      <c r="AC9" s="375"/>
      <c r="AD9" s="375"/>
      <c r="AE9" s="372" t="s">
        <v>451</v>
      </c>
      <c r="AF9" s="372"/>
      <c r="AG9" s="372"/>
      <c r="AH9" s="372"/>
      <c r="AI9" s="373"/>
      <c r="AJ9" s="114"/>
      <c r="AK9" s="114"/>
      <c r="AL9" s="114"/>
      <c r="BM9" s="295" t="s">
        <v>727</v>
      </c>
      <c r="BN9" s="295" t="s">
        <v>728</v>
      </c>
      <c r="BO9" s="295" t="s">
        <v>727</v>
      </c>
      <c r="BP9" s="295" t="s">
        <v>728</v>
      </c>
      <c r="BQ9" s="295" t="s">
        <v>725</v>
      </c>
      <c r="BR9" s="295" t="s">
        <v>726</v>
      </c>
    </row>
    <row r="10" spans="2:70" ht="34" x14ac:dyDescent="0.2">
      <c r="E10" s="198" t="s">
        <v>807</v>
      </c>
      <c r="F10" s="109" t="s">
        <v>551</v>
      </c>
      <c r="G10" s="109" t="s">
        <v>572</v>
      </c>
      <c r="H10" s="109" t="s">
        <v>565</v>
      </c>
      <c r="I10" s="109" t="s">
        <v>551</v>
      </c>
      <c r="J10" s="109" t="s">
        <v>572</v>
      </c>
      <c r="K10" s="109" t="s">
        <v>565</v>
      </c>
      <c r="L10" s="109" t="s">
        <v>572</v>
      </c>
      <c r="M10" s="109" t="s">
        <v>565</v>
      </c>
      <c r="N10" s="109" t="s">
        <v>562</v>
      </c>
      <c r="O10" s="109" t="s">
        <v>561</v>
      </c>
      <c r="P10" s="109" t="s">
        <v>572</v>
      </c>
      <c r="Q10" s="109" t="s">
        <v>565</v>
      </c>
      <c r="R10" s="109" t="s">
        <v>562</v>
      </c>
      <c r="S10" s="109" t="s">
        <v>561</v>
      </c>
      <c r="T10" s="109" t="s">
        <v>552</v>
      </c>
      <c r="U10" s="109" t="s">
        <v>552</v>
      </c>
      <c r="V10" s="109" t="s">
        <v>563</v>
      </c>
      <c r="W10" s="109" t="s">
        <v>563</v>
      </c>
      <c r="X10" s="109"/>
      <c r="Y10" s="109"/>
      <c r="Z10" s="109" t="s">
        <v>551</v>
      </c>
      <c r="AA10" s="109" t="s">
        <v>562</v>
      </c>
      <c r="AB10" s="109" t="s">
        <v>561</v>
      </c>
      <c r="AC10" s="109" t="s">
        <v>565</v>
      </c>
      <c r="AD10" s="109" t="s">
        <v>572</v>
      </c>
      <c r="AE10" s="109" t="s">
        <v>551</v>
      </c>
      <c r="AF10" s="109" t="s">
        <v>562</v>
      </c>
      <c r="AG10" s="109" t="s">
        <v>561</v>
      </c>
      <c r="AH10" s="109" t="s">
        <v>565</v>
      </c>
      <c r="AI10" s="109" t="s">
        <v>572</v>
      </c>
      <c r="AJ10" s="115"/>
      <c r="AK10" s="115"/>
      <c r="AL10" s="115"/>
      <c r="AN10" s="110" t="str">
        <f>F11</f>
        <v>Hazardous (to landfill)</v>
      </c>
      <c r="AO10" s="110" t="str">
        <f t="shared" ref="AO10:BA10" si="0">G11</f>
        <v>Hazardous (to landfill)</v>
      </c>
      <c r="AP10" s="110" t="str">
        <f t="shared" si="0"/>
        <v>Hazardous (to landfill)</v>
      </c>
      <c r="AQ10" s="110" t="str">
        <f t="shared" si="0"/>
        <v>Non-hazardous (to landfill)</v>
      </c>
      <c r="AR10" s="110" t="str">
        <f t="shared" si="0"/>
        <v>Non-hazardous (to landfill)</v>
      </c>
      <c r="AS10" s="110" t="str">
        <f t="shared" si="0"/>
        <v>Non-hazardous (to landfill)</v>
      </c>
      <c r="AT10" s="110" t="str">
        <f t="shared" si="0"/>
        <v>Hazardous (to incineration)</v>
      </c>
      <c r="AU10" s="110" t="str">
        <f t="shared" si="0"/>
        <v>Hazardous (to incineration)</v>
      </c>
      <c r="AV10" s="110" t="str">
        <f t="shared" si="0"/>
        <v>Hazardous (to incineration)</v>
      </c>
      <c r="AW10" s="110" t="str">
        <f t="shared" si="0"/>
        <v>Hazardous (to incineration)</v>
      </c>
      <c r="AX10" s="110" t="str">
        <f t="shared" si="0"/>
        <v>Non-hazardous (to incineration)</v>
      </c>
      <c r="AY10" s="110" t="str">
        <f t="shared" si="0"/>
        <v>Non-hazardous (to incineration)</v>
      </c>
      <c r="AZ10" s="110" t="str">
        <f t="shared" si="0"/>
        <v>Non-hazardous (to incineration)</v>
      </c>
      <c r="BA10" s="110" t="str">
        <f t="shared" si="0"/>
        <v>Non-hazardous (to incineration)</v>
      </c>
      <c r="BB10" s="186" t="str">
        <f>Z11</f>
        <v>Hazardous (to unspecified)</v>
      </c>
      <c r="BC10" s="186" t="str">
        <f t="shared" ref="BC10:BK10" si="1">AA11</f>
        <v>Hazardous (to unspecified)</v>
      </c>
      <c r="BD10" s="186" t="str">
        <f t="shared" si="1"/>
        <v>Hazardous (to unspecified)</v>
      </c>
      <c r="BE10" s="186" t="str">
        <f t="shared" si="1"/>
        <v>Hazardous (to unspecified)</v>
      </c>
      <c r="BF10" s="186" t="str">
        <f t="shared" si="1"/>
        <v>Hazardous (to unspecified)</v>
      </c>
      <c r="BG10" s="186" t="str">
        <f t="shared" si="1"/>
        <v>Non-hazardous (to unspecified)</v>
      </c>
      <c r="BH10" s="186" t="str">
        <f t="shared" si="1"/>
        <v>Non-hazardous (to unspecified)</v>
      </c>
      <c r="BI10" s="186" t="str">
        <f t="shared" si="1"/>
        <v>Non-hazardous (to unspecified)</v>
      </c>
      <c r="BJ10" s="186" t="str">
        <f t="shared" si="1"/>
        <v>Non-hazardous (to unspecified)</v>
      </c>
      <c r="BK10" s="186" t="str">
        <f t="shared" si="1"/>
        <v>Non-hazardous (to unspecified)</v>
      </c>
      <c r="BM10" s="109" t="s">
        <v>552</v>
      </c>
      <c r="BN10" s="109" t="s">
        <v>552</v>
      </c>
      <c r="BO10" s="109" t="s">
        <v>563</v>
      </c>
      <c r="BP10" s="109" t="s">
        <v>563</v>
      </c>
      <c r="BQ10" s="109"/>
      <c r="BR10" s="109"/>
    </row>
    <row r="11" spans="2:70" ht="51" x14ac:dyDescent="0.2">
      <c r="E11" s="198" t="s">
        <v>808</v>
      </c>
      <c r="F11" s="110" t="s">
        <v>566</v>
      </c>
      <c r="G11" s="110" t="s">
        <v>566</v>
      </c>
      <c r="H11" s="110" t="s">
        <v>566</v>
      </c>
      <c r="I11" s="110" t="s">
        <v>567</v>
      </c>
      <c r="J11" s="110" t="s">
        <v>567</v>
      </c>
      <c r="K11" s="110" t="s">
        <v>567</v>
      </c>
      <c r="L11" s="110" t="s">
        <v>568</v>
      </c>
      <c r="M11" s="110" t="s">
        <v>568</v>
      </c>
      <c r="N11" s="110" t="s">
        <v>568</v>
      </c>
      <c r="O11" s="110" t="s">
        <v>568</v>
      </c>
      <c r="P11" s="110" t="s">
        <v>569</v>
      </c>
      <c r="Q11" s="110" t="s">
        <v>569</v>
      </c>
      <c r="R11" s="110" t="s">
        <v>569</v>
      </c>
      <c r="S11" s="110" t="s">
        <v>569</v>
      </c>
      <c r="T11" s="110" t="s">
        <v>406</v>
      </c>
      <c r="U11" s="110" t="s">
        <v>451</v>
      </c>
      <c r="V11" s="110" t="s">
        <v>406</v>
      </c>
      <c r="W11" s="110" t="s">
        <v>451</v>
      </c>
      <c r="X11" s="110" t="s">
        <v>406</v>
      </c>
      <c r="Y11" s="110" t="s">
        <v>451</v>
      </c>
      <c r="Z11" s="110" t="s">
        <v>570</v>
      </c>
      <c r="AA11" s="110" t="s">
        <v>570</v>
      </c>
      <c r="AB11" s="110" t="s">
        <v>570</v>
      </c>
      <c r="AC11" s="110" t="s">
        <v>570</v>
      </c>
      <c r="AD11" s="110" t="s">
        <v>570</v>
      </c>
      <c r="AE11" s="110" t="s">
        <v>571</v>
      </c>
      <c r="AF11" s="110" t="s">
        <v>571</v>
      </c>
      <c r="AG11" s="110" t="s">
        <v>571</v>
      </c>
      <c r="AH11" s="110" t="s">
        <v>571</v>
      </c>
      <c r="AI11" s="110" t="s">
        <v>571</v>
      </c>
      <c r="AJ11" s="116"/>
      <c r="AK11" s="116"/>
      <c r="AL11" s="116"/>
      <c r="AN11" s="112" t="str">
        <f>F10</f>
        <v>Leachate</v>
      </c>
      <c r="AO11" s="112" t="str">
        <f t="shared" ref="AO11:BA11" si="2">G10</f>
        <v>GHGs</v>
      </c>
      <c r="AP11" s="112" t="str">
        <f t="shared" si="2"/>
        <v>Disamenity</v>
      </c>
      <c r="AQ11" s="112" t="str">
        <f t="shared" si="2"/>
        <v>Leachate</v>
      </c>
      <c r="AR11" s="112" t="str">
        <f t="shared" si="2"/>
        <v>GHGs</v>
      </c>
      <c r="AS11" s="112" t="str">
        <f t="shared" si="2"/>
        <v>Disamenity</v>
      </c>
      <c r="AT11" s="112" t="str">
        <f t="shared" si="2"/>
        <v>GHGs</v>
      </c>
      <c r="AU11" s="112" t="str">
        <f t="shared" si="2"/>
        <v>Disamenity</v>
      </c>
      <c r="AV11" s="112" t="str">
        <f t="shared" si="2"/>
        <v>Air pollution</v>
      </c>
      <c r="AW11" s="112" t="str">
        <f t="shared" si="2"/>
        <v>Heavy metals and dioxins</v>
      </c>
      <c r="AX11" s="112" t="str">
        <f t="shared" si="2"/>
        <v>GHGs</v>
      </c>
      <c r="AY11" s="112" t="str">
        <f t="shared" si="2"/>
        <v>Disamenity</v>
      </c>
      <c r="AZ11" s="112" t="str">
        <f t="shared" si="2"/>
        <v>Air pollution</v>
      </c>
      <c r="BA11" s="112" t="str">
        <f t="shared" si="2"/>
        <v>Heavy metals and dioxins</v>
      </c>
      <c r="BB11" s="187" t="str">
        <f>Z10</f>
        <v>Leachate</v>
      </c>
      <c r="BC11" s="187" t="str">
        <f t="shared" ref="BC11:BK11" si="3">AA10</f>
        <v>Air pollution</v>
      </c>
      <c r="BD11" s="187" t="str">
        <f t="shared" si="3"/>
        <v>Heavy metals and dioxins</v>
      </c>
      <c r="BE11" s="187" t="str">
        <f t="shared" si="3"/>
        <v>Disamenity</v>
      </c>
      <c r="BF11" s="187" t="str">
        <f t="shared" si="3"/>
        <v>GHGs</v>
      </c>
      <c r="BG11" s="187" t="str">
        <f t="shared" si="3"/>
        <v>Leachate</v>
      </c>
      <c r="BH11" s="187" t="str">
        <f t="shared" si="3"/>
        <v>Air pollution</v>
      </c>
      <c r="BI11" s="187" t="str">
        <f t="shared" si="3"/>
        <v>Heavy metals and dioxins</v>
      </c>
      <c r="BJ11" s="187" t="str">
        <f t="shared" si="3"/>
        <v>Disamenity</v>
      </c>
      <c r="BK11" s="187" t="str">
        <f t="shared" si="3"/>
        <v>GHGs</v>
      </c>
      <c r="BM11" s="110" t="s">
        <v>406</v>
      </c>
      <c r="BN11" s="110" t="s">
        <v>451</v>
      </c>
      <c r="BO11" s="110" t="s">
        <v>406</v>
      </c>
      <c r="BP11" s="110" t="s">
        <v>451</v>
      </c>
      <c r="BQ11" s="110" t="s">
        <v>406</v>
      </c>
      <c r="BR11" s="110" t="s">
        <v>451</v>
      </c>
    </row>
    <row r="12" spans="2:70" x14ac:dyDescent="0.2">
      <c r="C12" s="104"/>
      <c r="E12" s="193" t="s">
        <v>791</v>
      </c>
      <c r="F12" s="108" t="s">
        <v>391</v>
      </c>
      <c r="G12" s="108" t="s">
        <v>391</v>
      </c>
      <c r="H12" s="108" t="s">
        <v>391</v>
      </c>
      <c r="I12" s="108" t="s">
        <v>391</v>
      </c>
      <c r="J12" s="108" t="s">
        <v>391</v>
      </c>
      <c r="K12" s="108" t="s">
        <v>391</v>
      </c>
      <c r="L12" s="108" t="s">
        <v>391</v>
      </c>
      <c r="M12" s="108" t="s">
        <v>391</v>
      </c>
      <c r="N12" s="108" t="s">
        <v>391</v>
      </c>
      <c r="O12" s="108" t="s">
        <v>391</v>
      </c>
      <c r="P12" s="108" t="s">
        <v>391</v>
      </c>
      <c r="Q12" s="108" t="s">
        <v>391</v>
      </c>
      <c r="R12" s="108" t="s">
        <v>391</v>
      </c>
      <c r="S12" s="108" t="s">
        <v>391</v>
      </c>
      <c r="T12" s="108"/>
      <c r="U12" s="108"/>
      <c r="V12" s="108"/>
      <c r="W12" s="108"/>
      <c r="X12" s="108"/>
      <c r="Y12" s="108"/>
      <c r="Z12" s="108" t="s">
        <v>391</v>
      </c>
      <c r="AA12" s="108" t="s">
        <v>391</v>
      </c>
      <c r="AB12" s="108" t="s">
        <v>391</v>
      </c>
      <c r="AC12" s="108" t="s">
        <v>391</v>
      </c>
      <c r="AD12" s="108" t="s">
        <v>391</v>
      </c>
      <c r="AE12" s="108" t="s">
        <v>391</v>
      </c>
      <c r="AF12" s="108" t="s">
        <v>391</v>
      </c>
      <c r="AG12" s="108" t="s">
        <v>391</v>
      </c>
      <c r="AH12" s="108" t="s">
        <v>391</v>
      </c>
      <c r="AI12" s="108" t="s">
        <v>391</v>
      </c>
      <c r="AJ12" s="114"/>
      <c r="AK12" s="114"/>
      <c r="AL12" s="114"/>
      <c r="AN12" s="108" t="s">
        <v>391</v>
      </c>
      <c r="AO12" s="108" t="s">
        <v>391</v>
      </c>
      <c r="AP12" s="108" t="s">
        <v>391</v>
      </c>
      <c r="AQ12" s="108" t="s">
        <v>391</v>
      </c>
      <c r="AR12" s="108" t="s">
        <v>391</v>
      </c>
      <c r="AS12" s="108" t="s">
        <v>391</v>
      </c>
      <c r="AT12" s="108" t="s">
        <v>391</v>
      </c>
      <c r="AU12" s="108" t="s">
        <v>391</v>
      </c>
      <c r="AV12" s="108" t="s">
        <v>391</v>
      </c>
      <c r="AW12" s="108" t="s">
        <v>391</v>
      </c>
      <c r="AX12" s="108" t="s">
        <v>391</v>
      </c>
      <c r="AY12" s="108" t="s">
        <v>391</v>
      </c>
      <c r="AZ12" s="108" t="s">
        <v>391</v>
      </c>
      <c r="BA12" s="108" t="s">
        <v>391</v>
      </c>
      <c r="BB12" s="108" t="s">
        <v>391</v>
      </c>
      <c r="BC12" s="108" t="s">
        <v>391</v>
      </c>
      <c r="BD12" s="108" t="s">
        <v>391</v>
      </c>
      <c r="BE12" s="108" t="s">
        <v>391</v>
      </c>
      <c r="BF12" s="108" t="s">
        <v>391</v>
      </c>
      <c r="BG12" s="108" t="s">
        <v>391</v>
      </c>
      <c r="BH12" s="108" t="s">
        <v>391</v>
      </c>
      <c r="BI12" s="108" t="s">
        <v>391</v>
      </c>
      <c r="BJ12" s="108" t="s">
        <v>391</v>
      </c>
      <c r="BK12" s="108" t="s">
        <v>391</v>
      </c>
    </row>
    <row r="13" spans="2:70" x14ac:dyDescent="0.2">
      <c r="B13" s="5"/>
      <c r="C13" s="77" t="s">
        <v>0</v>
      </c>
      <c r="D13" s="77" t="s">
        <v>20</v>
      </c>
      <c r="E13" s="77" t="s">
        <v>581</v>
      </c>
      <c r="F13" s="125" t="str">
        <f>F10&amp;"_"&amp;F11</f>
        <v>Leachate_Hazardous (to landfill)</v>
      </c>
      <c r="G13" s="125" t="str">
        <f t="shared" ref="G13:AI13" si="4">G10&amp;"_"&amp;G11</f>
        <v>GHGs_Hazardous (to landfill)</v>
      </c>
      <c r="H13" s="125" t="str">
        <f t="shared" si="4"/>
        <v>Disamenity_Hazardous (to landfill)</v>
      </c>
      <c r="I13" s="125" t="str">
        <f t="shared" si="4"/>
        <v>Leachate_Non-hazardous (to landfill)</v>
      </c>
      <c r="J13" s="125" t="str">
        <f t="shared" si="4"/>
        <v>GHGs_Non-hazardous (to landfill)</v>
      </c>
      <c r="K13" s="125" t="str">
        <f t="shared" si="4"/>
        <v>Disamenity_Non-hazardous (to landfill)</v>
      </c>
      <c r="L13" s="125" t="str">
        <f t="shared" si="4"/>
        <v>GHGs_Hazardous (to incineration)</v>
      </c>
      <c r="M13" s="125" t="str">
        <f t="shared" si="4"/>
        <v>Disamenity_Hazardous (to incineration)</v>
      </c>
      <c r="N13" s="125" t="str">
        <f t="shared" si="4"/>
        <v>Air pollution_Hazardous (to incineration)</v>
      </c>
      <c r="O13" s="125" t="str">
        <f t="shared" si="4"/>
        <v>Heavy metals and dioxins_Hazardous (to incineration)</v>
      </c>
      <c r="P13" s="125" t="str">
        <f t="shared" si="4"/>
        <v>GHGs_Non-hazardous (to incineration)</v>
      </c>
      <c r="Q13" s="125" t="str">
        <f t="shared" si="4"/>
        <v>Disamenity_Non-hazardous (to incineration)</v>
      </c>
      <c r="R13" s="125" t="str">
        <f t="shared" si="4"/>
        <v>Air pollution_Non-hazardous (to incineration)</v>
      </c>
      <c r="S13" s="125" t="str">
        <f t="shared" si="4"/>
        <v>Heavy metals and dioxins_Non-hazardous (to incineration)</v>
      </c>
      <c r="T13" s="184"/>
      <c r="U13" s="125"/>
      <c r="V13" s="125"/>
      <c r="W13" s="125"/>
      <c r="X13" s="125"/>
      <c r="Y13" s="125"/>
      <c r="Z13" s="125" t="str">
        <f t="shared" si="4"/>
        <v>Leachate_Hazardous (to unspecified)</v>
      </c>
      <c r="AA13" s="125" t="str">
        <f t="shared" si="4"/>
        <v>Air pollution_Hazardous (to unspecified)</v>
      </c>
      <c r="AB13" s="125" t="str">
        <f t="shared" si="4"/>
        <v>Heavy metals and dioxins_Hazardous (to unspecified)</v>
      </c>
      <c r="AC13" s="125" t="str">
        <f t="shared" si="4"/>
        <v>Disamenity_Hazardous (to unspecified)</v>
      </c>
      <c r="AD13" s="125" t="str">
        <f t="shared" si="4"/>
        <v>GHGs_Hazardous (to unspecified)</v>
      </c>
      <c r="AE13" s="125" t="str">
        <f t="shared" si="4"/>
        <v>Leachate_Non-hazardous (to unspecified)</v>
      </c>
      <c r="AF13" s="125" t="str">
        <f t="shared" si="4"/>
        <v>Air pollution_Non-hazardous (to unspecified)</v>
      </c>
      <c r="AG13" s="125" t="str">
        <f t="shared" si="4"/>
        <v>Heavy metals and dioxins_Non-hazardous (to unspecified)</v>
      </c>
      <c r="AH13" s="125" t="str">
        <f t="shared" si="4"/>
        <v>Disamenity_Non-hazardous (to unspecified)</v>
      </c>
      <c r="AI13" s="125" t="str">
        <f t="shared" si="4"/>
        <v>GHGs_Non-hazardous (to unspecified)</v>
      </c>
      <c r="AJ13" s="100"/>
      <c r="AK13" s="100"/>
      <c r="AL13" s="100"/>
      <c r="AN13" s="22" t="str">
        <f>AN11&amp;"_"&amp;AN10</f>
        <v>Leachate_Hazardous (to landfill)</v>
      </c>
      <c r="AO13" s="22" t="str">
        <f t="shared" ref="AO13:BK13" si="5">AO11&amp;"_"&amp;AO10</f>
        <v>GHGs_Hazardous (to landfill)</v>
      </c>
      <c r="AP13" s="22" t="str">
        <f t="shared" si="5"/>
        <v>Disamenity_Hazardous (to landfill)</v>
      </c>
      <c r="AQ13" s="22" t="str">
        <f t="shared" si="5"/>
        <v>Leachate_Non-hazardous (to landfill)</v>
      </c>
      <c r="AR13" s="22" t="str">
        <f t="shared" si="5"/>
        <v>GHGs_Non-hazardous (to landfill)</v>
      </c>
      <c r="AS13" s="22" t="str">
        <f t="shared" si="5"/>
        <v>Disamenity_Non-hazardous (to landfill)</v>
      </c>
      <c r="AT13" s="22" t="str">
        <f t="shared" si="5"/>
        <v>GHGs_Hazardous (to incineration)</v>
      </c>
      <c r="AU13" s="22" t="str">
        <f t="shared" si="5"/>
        <v>Disamenity_Hazardous (to incineration)</v>
      </c>
      <c r="AV13" s="22" t="str">
        <f t="shared" si="5"/>
        <v>Air pollution_Hazardous (to incineration)</v>
      </c>
      <c r="AW13" s="22" t="str">
        <f t="shared" si="5"/>
        <v>Heavy metals and dioxins_Hazardous (to incineration)</v>
      </c>
      <c r="AX13" s="22" t="str">
        <f t="shared" si="5"/>
        <v>GHGs_Non-hazardous (to incineration)</v>
      </c>
      <c r="AY13" s="22" t="str">
        <f t="shared" si="5"/>
        <v>Disamenity_Non-hazardous (to incineration)</v>
      </c>
      <c r="AZ13" s="22" t="str">
        <f t="shared" si="5"/>
        <v>Air pollution_Non-hazardous (to incineration)</v>
      </c>
      <c r="BA13" s="22" t="str">
        <f t="shared" si="5"/>
        <v>Heavy metals and dioxins_Non-hazardous (to incineration)</v>
      </c>
      <c r="BB13" s="22" t="str">
        <f t="shared" si="5"/>
        <v>Leachate_Hazardous (to unspecified)</v>
      </c>
      <c r="BC13" s="22" t="str">
        <f t="shared" si="5"/>
        <v>Air pollution_Hazardous (to unspecified)</v>
      </c>
      <c r="BD13" s="22" t="str">
        <f t="shared" si="5"/>
        <v>Heavy metals and dioxins_Hazardous (to unspecified)</v>
      </c>
      <c r="BE13" s="22" t="str">
        <f t="shared" si="5"/>
        <v>Disamenity_Hazardous (to unspecified)</v>
      </c>
      <c r="BF13" s="22" t="str">
        <f t="shared" si="5"/>
        <v>GHGs_Hazardous (to unspecified)</v>
      </c>
      <c r="BG13" s="22" t="str">
        <f t="shared" si="5"/>
        <v>Leachate_Non-hazardous (to unspecified)</v>
      </c>
      <c r="BH13" s="22" t="str">
        <f t="shared" si="5"/>
        <v>Air pollution_Non-hazardous (to unspecified)</v>
      </c>
      <c r="BI13" s="22" t="str">
        <f t="shared" si="5"/>
        <v>Heavy metals and dioxins_Non-hazardous (to unspecified)</v>
      </c>
      <c r="BJ13" s="125" t="str">
        <f t="shared" si="5"/>
        <v>Disamenity_Non-hazardous (to unspecified)</v>
      </c>
      <c r="BK13" s="22" t="str">
        <f t="shared" si="5"/>
        <v>GHGs_Non-hazardous (to unspecified)</v>
      </c>
    </row>
    <row r="14" spans="2:70" ht="14.5" customHeight="1" x14ac:dyDescent="0.2">
      <c r="C14" s="106" t="str" cm="1">
        <f t="array" ref="C14:C75">ModifiedCountries</f>
        <v>Argentina</v>
      </c>
      <c r="D14" s="107" t="str" cm="1">
        <f t="array" ref="D14:D75">ModifiedRegions</f>
        <v>Latin America &amp; Caribbean</v>
      </c>
      <c r="E14" s="117" t="str" cm="1">
        <f t="array" ref="E14:E75">ModifiedIncome</f>
        <v>Upper middle income</v>
      </c>
      <c r="F14" s="44" cm="1">
        <f t="array" ref="F14:F75">Leachate_Coefficient1</f>
        <v>33.583256273894122</v>
      </c>
      <c r="G14" s="44" cm="1">
        <f t="array" ref="G14:G75">LFGHG_Coefficient1</f>
        <v>66.448538689351537</v>
      </c>
      <c r="H14" s="44" cm="1">
        <f t="array" ref="H14:H75">Disamenity_LF_Coefficient1</f>
        <v>1.6451940421331377</v>
      </c>
      <c r="I14" s="44" cm="1">
        <f t="array" ref="I14:I75">Leachate_Coefficient2</f>
        <v>0.53733210038230594</v>
      </c>
      <c r="J14" s="44" cm="1">
        <f t="array" ref="J14:J75">LFGHG_Coefficient2</f>
        <v>66.448538689351537</v>
      </c>
      <c r="K14" s="44" cm="1">
        <f t="array" ref="K14:K75">Disamenity_LF_Coefficient2</f>
        <v>1.6451940421331377</v>
      </c>
      <c r="L14" s="44" cm="1">
        <f t="array" ref="L14:L75">INGHG_Coefficient1</f>
        <v>383.38832947326688</v>
      </c>
      <c r="M14" s="44" cm="1">
        <f t="array" ref="M14:M75">Disamenity_IN_Coefficient1</f>
        <v>1.1713781579987939</v>
      </c>
      <c r="N14" s="44" cm="1">
        <f t="array" ref="N14:N75">Airpollution_Coefficient1</f>
        <v>3.8783158517968239</v>
      </c>
      <c r="O14" s="44" cm="1">
        <f t="array" ref="O14:O75">Health_Coefficient1</f>
        <v>4.9289279581529488</v>
      </c>
      <c r="P14" s="44" cm="1">
        <f t="array" ref="P14:P75">INGHG_Coefficient2</f>
        <v>127.23333947326689</v>
      </c>
      <c r="Q14" s="44" cm="1">
        <f t="array" ref="Q14:Q75">Disamenity_IN_Coefficient2</f>
        <v>1.1713781579987939</v>
      </c>
      <c r="R14" s="44" cm="1">
        <f t="array" ref="R14:R75">Airpollution_Coefficient2</f>
        <v>3.8783158517968239</v>
      </c>
      <c r="S14" s="44" cm="1">
        <f t="array" ref="S14:S75">Health_Coefficient2</f>
        <v>4.9289279581529488</v>
      </c>
      <c r="T14" s="44">
        <f>SUM(F14:H14)</f>
        <v>101.6769890053788</v>
      </c>
      <c r="U14" s="44">
        <f>SUM(I14:K14)</f>
        <v>68.631064831866979</v>
      </c>
      <c r="V14" s="44">
        <f>SUM(L14:O14)</f>
        <v>393.36695144121541</v>
      </c>
      <c r="W14" s="44">
        <f>SUM(P14:S14)</f>
        <v>137.21196144121546</v>
      </c>
      <c r="X14" s="44" t="str">
        <f>IF(MAX(T14,V14)=T14,T$10,V$10)</f>
        <v>Incineration</v>
      </c>
      <c r="Y14" s="44" t="str">
        <f>IF(MAX(U14,W14)=U14,U$10,W$10)</f>
        <v>Incineration</v>
      </c>
      <c r="Z14" s="44">
        <f>IF(X14="Incineration",0,F14)</f>
        <v>0</v>
      </c>
      <c r="AA14" s="44">
        <f>IF(X14="Incineration",N14,0)</f>
        <v>3.8783158517968239</v>
      </c>
      <c r="AB14" s="44">
        <f>IF(X14="Incineration",O14,0)</f>
        <v>4.9289279581529488</v>
      </c>
      <c r="AC14" s="44">
        <f>IF(X14="Incineration",M14,H14)</f>
        <v>1.1713781579987939</v>
      </c>
      <c r="AD14" s="44">
        <f>IF(X14="Incineration",L14,G14)</f>
        <v>383.38832947326688</v>
      </c>
      <c r="AE14" s="44">
        <f>IF(Y14="Incineration",0,I14)</f>
        <v>0</v>
      </c>
      <c r="AF14" s="44">
        <f>IF(Y14="Incineration",R14,0)</f>
        <v>3.8783158517968239</v>
      </c>
      <c r="AG14" s="44">
        <f>IF(Y14="Incineration",S14,0)</f>
        <v>4.9289279581529488</v>
      </c>
      <c r="AH14" s="44">
        <f>IF(Y14="Incineration",Q14,K14)</f>
        <v>1.1713781579987939</v>
      </c>
      <c r="AI14" s="44">
        <f>IF(Y14="Incineration",P14,J14)</f>
        <v>127.23333947326689</v>
      </c>
      <c r="AJ14" s="185"/>
      <c r="AK14" s="100"/>
      <c r="AL14" s="100"/>
      <c r="AM14" s="13" t="str" cm="1">
        <f t="array" ref="AM14:AM20">_xlfn.UNIQUE(ModifiedRegions)</f>
        <v>Latin America &amp; Caribbean</v>
      </c>
      <c r="AN14" s="95">
        <f t="shared" ref="AN14:BA20" si="6">AVERAGEIF(_xlfn.ANCHORARRAY($D$14),$AM14,_xlfn.ANCHORARRAY(F$14))</f>
        <v>20.720464721676539</v>
      </c>
      <c r="AO14" s="95">
        <f t="shared" si="6"/>
        <v>121.25347287626597</v>
      </c>
      <c r="AP14" s="95">
        <f t="shared" si="6"/>
        <v>5.6172885143751854</v>
      </c>
      <c r="AQ14" s="95">
        <f t="shared" si="6"/>
        <v>0.3429460771610725</v>
      </c>
      <c r="AR14" s="95">
        <f t="shared" si="6"/>
        <v>121.25347287626597</v>
      </c>
      <c r="AS14" s="95">
        <f t="shared" si="6"/>
        <v>5.6172885143751854</v>
      </c>
      <c r="AT14" s="95">
        <f t="shared" si="6"/>
        <v>385.73868398616048</v>
      </c>
      <c r="AU14" s="95">
        <f t="shared" si="6"/>
        <v>1.9663246300205044</v>
      </c>
      <c r="AV14" s="95">
        <f t="shared" si="6"/>
        <v>4.0251163805876731</v>
      </c>
      <c r="AW14" s="95">
        <f t="shared" si="6"/>
        <v>4.9289279581529488</v>
      </c>
      <c r="AX14" s="95">
        <f t="shared" si="6"/>
        <v>124.17310159663698</v>
      </c>
      <c r="AY14" s="95">
        <f t="shared" si="6"/>
        <v>1.9663246300205044</v>
      </c>
      <c r="AZ14" s="95">
        <f t="shared" si="6"/>
        <v>4.0251163805876731</v>
      </c>
      <c r="BA14" s="95">
        <f t="shared" si="6"/>
        <v>4.9289279581529488</v>
      </c>
      <c r="BB14" s="95">
        <f>IF(BQ14="Incineration",0,AN14)</f>
        <v>0</v>
      </c>
      <c r="BC14" s="95">
        <f>IF(BQ14="Incineration",AV14,0)</f>
        <v>4.0251163805876731</v>
      </c>
      <c r="BD14" s="95">
        <f>IF(BQ14="Incineration",AW14,0)</f>
        <v>4.9289279581529488</v>
      </c>
      <c r="BE14" s="95">
        <f>IF(BQ14="Incineration",AU14,AP14)</f>
        <v>1.9663246300205044</v>
      </c>
      <c r="BF14" s="95">
        <f>IF(BQ14="Incineration",AT14,AO14)</f>
        <v>385.73868398616048</v>
      </c>
      <c r="BG14" s="95">
        <f>IF(BR14="Incineration",0,AQ14)</f>
        <v>0</v>
      </c>
      <c r="BH14" s="95">
        <f>IF(BR14="Incineration",AZ14,0)</f>
        <v>4.0251163805876731</v>
      </c>
      <c r="BI14" s="95">
        <f>IF(BR14="Incineration",BA14,0)</f>
        <v>4.9289279581529488</v>
      </c>
      <c r="BJ14" s="95">
        <f>IF(BR14="Incineration",AY14,AS14)</f>
        <v>1.9663246300205044</v>
      </c>
      <c r="BK14" s="95">
        <f>IF(BR14="Incineration",AX14,AR14)</f>
        <v>124.17310159663698</v>
      </c>
      <c r="BM14" s="95">
        <f>SUM(AN14:AP14)</f>
        <v>147.59122611231771</v>
      </c>
      <c r="BN14" s="95">
        <f>SUM(AQ14:AS14)</f>
        <v>127.21370746780224</v>
      </c>
      <c r="BO14" s="95">
        <f>SUM(AT14:AW14)</f>
        <v>396.65905295492161</v>
      </c>
      <c r="BP14" s="95">
        <f>SUM(AX14:BA14)</f>
        <v>135.09347056539809</v>
      </c>
      <c r="BQ14" s="44" t="str">
        <f>IF(MAX(BM14,BO14)=BM14,BM$10,BO$10)</f>
        <v>Incineration</v>
      </c>
      <c r="BR14" s="44" t="str">
        <f>IF(MAX(BN14,BP14)=BN14,BN$10,BP$10)</f>
        <v>Incineration</v>
      </c>
    </row>
    <row r="15" spans="2:70" ht="14.5" customHeight="1" x14ac:dyDescent="0.2">
      <c r="C15" s="8" t="str">
        <v>Australia</v>
      </c>
      <c r="D15" s="56" t="str">
        <v>East Asia &amp; Pacific</v>
      </c>
      <c r="E15" s="117" t="str">
        <v>High income</v>
      </c>
      <c r="F15" s="44">
        <v>26.446827454680772</v>
      </c>
      <c r="G15" s="44">
        <v>183.05003240919942</v>
      </c>
      <c r="H15" s="44">
        <v>14.477210794594136</v>
      </c>
      <c r="I15" s="44">
        <v>0.44388892342835146</v>
      </c>
      <c r="J15" s="44">
        <v>183.05003240919942</v>
      </c>
      <c r="K15" s="44">
        <v>14.477210794594136</v>
      </c>
      <c r="L15" s="44">
        <v>387.39262222340989</v>
      </c>
      <c r="M15" s="44">
        <v>1.0026787849439158</v>
      </c>
      <c r="N15" s="44">
        <v>3.3488247090914816</v>
      </c>
      <c r="O15" s="44">
        <v>4.9289279581529488</v>
      </c>
      <c r="P15" s="44">
        <v>131.23763222340995</v>
      </c>
      <c r="Q15" s="44">
        <v>1.0026787849439158</v>
      </c>
      <c r="R15" s="44">
        <v>3.3488247090914816</v>
      </c>
      <c r="S15" s="44">
        <v>4.9289279581529488</v>
      </c>
      <c r="T15" s="44">
        <f t="shared" ref="T15:T75" si="7">SUM(F15:H15)</f>
        <v>223.97407065847432</v>
      </c>
      <c r="U15" s="44">
        <f t="shared" ref="U15:U75" si="8">SUM(I15:K15)</f>
        <v>197.97113212722189</v>
      </c>
      <c r="V15" s="44">
        <f t="shared" ref="V15:V75" si="9">SUM(L15:O15)</f>
        <v>396.67305367559823</v>
      </c>
      <c r="W15" s="44">
        <f t="shared" ref="W15:W75" si="10">SUM(P15:S15)</f>
        <v>140.51806367559828</v>
      </c>
      <c r="X15" s="44" t="str">
        <f t="shared" ref="X15:X75" si="11">IF(MAX(T15,V15)=T15,T$10,V$10)</f>
        <v>Incineration</v>
      </c>
      <c r="Y15" s="44" t="str">
        <f t="shared" ref="Y15:Y75" si="12">IF(MAX(U15,W15)=U15,U$10,W$10)</f>
        <v>Landfill</v>
      </c>
      <c r="Z15" s="44">
        <f t="shared" ref="Z15:Z75" si="13">IF(X15="Incineration",0,F15)</f>
        <v>0</v>
      </c>
      <c r="AA15" s="44">
        <f t="shared" ref="AA15:AA75" si="14">IF(X15="Incineration",N15,0)</f>
        <v>3.3488247090914816</v>
      </c>
      <c r="AB15" s="44">
        <f t="shared" ref="AB15:AB75" si="15">IF(X15="Incineration",O15,0)</f>
        <v>4.9289279581529488</v>
      </c>
      <c r="AC15" s="44">
        <f t="shared" ref="AC15:AC75" si="16">IF(X15="Incineration",M15,H15)</f>
        <v>1.0026787849439158</v>
      </c>
      <c r="AD15" s="44">
        <f t="shared" ref="AD15:AD75" si="17">IF(X15="Incineration",L15,G15)</f>
        <v>387.39262222340989</v>
      </c>
      <c r="AE15" s="44">
        <f t="shared" ref="AE15:AE75" si="18">IF(Y15="Incineration",0,I15)</f>
        <v>0.44388892342835146</v>
      </c>
      <c r="AF15" s="44">
        <f t="shared" ref="AF15:AF75" si="19">IF(Y15="Incineration",R15,0)</f>
        <v>0</v>
      </c>
      <c r="AG15" s="44">
        <f t="shared" ref="AG15:AG75" si="20">IF(Y15="Incineration",S15,0)</f>
        <v>0</v>
      </c>
      <c r="AH15" s="44">
        <f t="shared" ref="AH15:AH75" si="21">IF(Y15="Incineration",Q15,K15)</f>
        <v>14.477210794594136</v>
      </c>
      <c r="AI15" s="44">
        <f t="shared" ref="AI15:AI75" si="22">IF(Y15="Incineration",P15,J15)</f>
        <v>183.05003240919942</v>
      </c>
      <c r="AJ15" s="185"/>
      <c r="AK15" s="100"/>
      <c r="AL15" s="100"/>
      <c r="AM15" s="13" t="str">
        <v>East Asia &amp; Pacific</v>
      </c>
      <c r="AN15" s="95">
        <f t="shared" si="6"/>
        <v>35.704644825214288</v>
      </c>
      <c r="AO15" s="95">
        <f t="shared" si="6"/>
        <v>183.09206179820251</v>
      </c>
      <c r="AP15" s="95">
        <f t="shared" si="6"/>
        <v>114.32543682743042</v>
      </c>
      <c r="AQ15" s="95">
        <f t="shared" si="6"/>
        <v>0.59418433301069284</v>
      </c>
      <c r="AR15" s="95">
        <f t="shared" si="6"/>
        <v>183.09206179820251</v>
      </c>
      <c r="AS15" s="95">
        <f t="shared" si="6"/>
        <v>114.32543682743042</v>
      </c>
      <c r="AT15" s="95">
        <f t="shared" si="6"/>
        <v>372.8226876640764</v>
      </c>
      <c r="AU15" s="95">
        <f t="shared" si="6"/>
        <v>46.520377391367788</v>
      </c>
      <c r="AV15" s="95">
        <f t="shared" si="6"/>
        <v>3.6620757147427589</v>
      </c>
      <c r="AW15" s="95">
        <f t="shared" si="6"/>
        <v>4.9289279581529479</v>
      </c>
      <c r="AX15" s="95">
        <f t="shared" si="6"/>
        <v>101.70246604926317</v>
      </c>
      <c r="AY15" s="95">
        <f t="shared" si="6"/>
        <v>46.520377391367788</v>
      </c>
      <c r="AZ15" s="95">
        <f t="shared" si="6"/>
        <v>3.6620757147427589</v>
      </c>
      <c r="BA15" s="95">
        <f t="shared" si="6"/>
        <v>4.9289279581529479</v>
      </c>
      <c r="BB15" s="95">
        <f t="shared" ref="BB15:BB20" si="23">IF(BQ15="Incineration",0,AN15)</f>
        <v>0</v>
      </c>
      <c r="BC15" s="95">
        <f t="shared" ref="BC15:BC20" si="24">IF(BQ15="Incineration",AV15,0)</f>
        <v>3.6620757147427589</v>
      </c>
      <c r="BD15" s="95">
        <f t="shared" ref="BD15:BD20" si="25">IF(BQ15="Incineration",AW15,0)</f>
        <v>4.9289279581529479</v>
      </c>
      <c r="BE15" s="95">
        <f t="shared" ref="BE15:BE20" si="26">IF(BQ15="Incineration",AU15,AP15)</f>
        <v>46.520377391367788</v>
      </c>
      <c r="BF15" s="95">
        <f t="shared" ref="BF15:BF20" si="27">IF(BQ15="Incineration",AT15,AO15)</f>
        <v>372.8226876640764</v>
      </c>
      <c r="BG15" s="95">
        <f t="shared" ref="BG15:BG20" si="28">IF(BR15="Incineration",0,AQ15)</f>
        <v>0.59418433301069284</v>
      </c>
      <c r="BH15" s="95">
        <f t="shared" ref="BH15:BH20" si="29">IF(BR15="Incineration",AZ15,0)</f>
        <v>0</v>
      </c>
      <c r="BI15" s="95">
        <f t="shared" ref="BI15:BI20" si="30">IF(BR15="Incineration",BA15,0)</f>
        <v>0</v>
      </c>
      <c r="BJ15" s="95">
        <f t="shared" ref="BJ15:BJ20" si="31">IF(BR15="Incineration",AY15,AS15)</f>
        <v>114.32543682743042</v>
      </c>
      <c r="BK15" s="95">
        <f t="shared" ref="BK15:BK20" si="32">IF(BR15="Incineration",AX15,AR15)</f>
        <v>183.09206179820251</v>
      </c>
      <c r="BM15" s="95">
        <f t="shared" ref="BM15:BM20" si="33">SUM(AN15:AP15)</f>
        <v>333.12214345084726</v>
      </c>
      <c r="BN15" s="95">
        <f t="shared" ref="BN15:BN20" si="34">SUM(AQ15:AS15)</f>
        <v>298.01168295864363</v>
      </c>
      <c r="BO15" s="95">
        <f t="shared" ref="BO15:BO20" si="35">SUM(AT15:AW15)</f>
        <v>427.93406872833987</v>
      </c>
      <c r="BP15" s="95">
        <f t="shared" ref="BP15:BP20" si="36">SUM(AX15:BA15)</f>
        <v>156.81384711352666</v>
      </c>
      <c r="BQ15" s="44" t="str">
        <f t="shared" ref="BQ15:BQ20" si="37">IF(MAX(BM15,BO15)=BM15,BM$10,BO$10)</f>
        <v>Incineration</v>
      </c>
      <c r="BR15" s="44" t="str">
        <f t="shared" ref="BR15:BR20" si="38">IF(MAX(BN15,BP15)=BN15,BN$10,BP$10)</f>
        <v>Landfill</v>
      </c>
    </row>
    <row r="16" spans="2:70" ht="14.5" customHeight="1" x14ac:dyDescent="0.2">
      <c r="C16" s="8" t="str">
        <v>Austria</v>
      </c>
      <c r="D16" s="56" t="str">
        <v>Europe &amp; Central Asia</v>
      </c>
      <c r="E16" s="117" t="str">
        <v>High income</v>
      </c>
      <c r="F16" s="44">
        <v>8.9705922879405762</v>
      </c>
      <c r="G16" s="44">
        <v>187.00281170809052</v>
      </c>
      <c r="H16" s="44">
        <v>51.126245101362784</v>
      </c>
      <c r="I16" s="44">
        <v>0.15233081243672678</v>
      </c>
      <c r="J16" s="44">
        <v>187.00281170809052</v>
      </c>
      <c r="K16" s="44">
        <v>51.126245101362784</v>
      </c>
      <c r="L16" s="44">
        <v>387.0813335704803</v>
      </c>
      <c r="M16" s="44">
        <v>30.396958389200737</v>
      </c>
      <c r="N16" s="44">
        <v>3.8072758458831522</v>
      </c>
      <c r="O16" s="44">
        <v>4.9289279581529488</v>
      </c>
      <c r="P16" s="44">
        <v>112.29668800551968</v>
      </c>
      <c r="Q16" s="44">
        <v>30.396958389200737</v>
      </c>
      <c r="R16" s="44">
        <v>3.8072758458831522</v>
      </c>
      <c r="S16" s="44">
        <v>4.9289279581529488</v>
      </c>
      <c r="T16" s="44">
        <f t="shared" si="7"/>
        <v>247.09964909739386</v>
      </c>
      <c r="U16" s="44">
        <f t="shared" si="8"/>
        <v>238.28138762189002</v>
      </c>
      <c r="V16" s="44">
        <f t="shared" si="9"/>
        <v>426.21449576371714</v>
      </c>
      <c r="W16" s="44">
        <f t="shared" si="10"/>
        <v>151.4298501987565</v>
      </c>
      <c r="X16" s="44" t="str">
        <f t="shared" si="11"/>
        <v>Incineration</v>
      </c>
      <c r="Y16" s="44" t="str">
        <f t="shared" si="12"/>
        <v>Landfill</v>
      </c>
      <c r="Z16" s="44">
        <f t="shared" si="13"/>
        <v>0</v>
      </c>
      <c r="AA16" s="44">
        <f t="shared" si="14"/>
        <v>3.8072758458831522</v>
      </c>
      <c r="AB16" s="44">
        <f t="shared" si="15"/>
        <v>4.9289279581529488</v>
      </c>
      <c r="AC16" s="44">
        <f t="shared" si="16"/>
        <v>30.396958389200737</v>
      </c>
      <c r="AD16" s="44">
        <f t="shared" si="17"/>
        <v>387.0813335704803</v>
      </c>
      <c r="AE16" s="44">
        <f t="shared" si="18"/>
        <v>0.15233081243672678</v>
      </c>
      <c r="AF16" s="44">
        <f t="shared" si="19"/>
        <v>0</v>
      </c>
      <c r="AG16" s="44">
        <f t="shared" si="20"/>
        <v>0</v>
      </c>
      <c r="AH16" s="44">
        <f t="shared" si="21"/>
        <v>51.126245101362784</v>
      </c>
      <c r="AI16" s="44">
        <f t="shared" si="22"/>
        <v>187.00281170809052</v>
      </c>
      <c r="AJ16" s="185"/>
      <c r="AK16" s="100"/>
      <c r="AL16" s="100"/>
      <c r="AM16" s="13" t="str">
        <v>Europe &amp; Central Asia</v>
      </c>
      <c r="AN16" s="95">
        <f t="shared" si="6"/>
        <v>30.862264761237139</v>
      </c>
      <c r="AO16" s="95">
        <f t="shared" si="6"/>
        <v>185.97922216603644</v>
      </c>
      <c r="AP16" s="95">
        <f t="shared" si="6"/>
        <v>341.98800807320265</v>
      </c>
      <c r="AQ16" s="95">
        <f t="shared" si="6"/>
        <v>0.5138840754215751</v>
      </c>
      <c r="AR16" s="95">
        <f t="shared" si="6"/>
        <v>185.97922216603644</v>
      </c>
      <c r="AS16" s="95">
        <f t="shared" si="6"/>
        <v>341.98800807320265</v>
      </c>
      <c r="AT16" s="95">
        <f t="shared" si="6"/>
        <v>385.19378751942099</v>
      </c>
      <c r="AU16" s="95">
        <f t="shared" si="6"/>
        <v>23.304011752754498</v>
      </c>
      <c r="AV16" s="95">
        <f t="shared" si="6"/>
        <v>3.6815701103823208</v>
      </c>
      <c r="AW16" s="95">
        <f t="shared" si="6"/>
        <v>4.9289279581529506</v>
      </c>
      <c r="AX16" s="95">
        <f t="shared" si="6"/>
        <v>96.860135461237803</v>
      </c>
      <c r="AY16" s="95">
        <f t="shared" si="6"/>
        <v>23.304011752754498</v>
      </c>
      <c r="AZ16" s="95">
        <f t="shared" si="6"/>
        <v>3.6815701103823208</v>
      </c>
      <c r="BA16" s="95">
        <f t="shared" si="6"/>
        <v>4.9289279581529506</v>
      </c>
      <c r="BB16" s="95">
        <f t="shared" si="23"/>
        <v>30.862264761237139</v>
      </c>
      <c r="BC16" s="95">
        <f t="shared" si="24"/>
        <v>0</v>
      </c>
      <c r="BD16" s="95">
        <f t="shared" si="25"/>
        <v>0</v>
      </c>
      <c r="BE16" s="95">
        <f t="shared" si="26"/>
        <v>341.98800807320265</v>
      </c>
      <c r="BF16" s="95">
        <f t="shared" si="27"/>
        <v>185.97922216603644</v>
      </c>
      <c r="BG16" s="95">
        <f t="shared" si="28"/>
        <v>0.5138840754215751</v>
      </c>
      <c r="BH16" s="95">
        <f t="shared" si="29"/>
        <v>0</v>
      </c>
      <c r="BI16" s="95">
        <f t="shared" si="30"/>
        <v>0</v>
      </c>
      <c r="BJ16" s="95">
        <f t="shared" si="31"/>
        <v>341.98800807320265</v>
      </c>
      <c r="BK16" s="95">
        <f t="shared" si="32"/>
        <v>185.97922216603644</v>
      </c>
      <c r="BM16" s="95">
        <f t="shared" si="33"/>
        <v>558.82949500047619</v>
      </c>
      <c r="BN16" s="95">
        <f t="shared" si="34"/>
        <v>528.48111431466066</v>
      </c>
      <c r="BO16" s="95">
        <f t="shared" si="35"/>
        <v>417.10829734071075</v>
      </c>
      <c r="BP16" s="95">
        <f t="shared" si="36"/>
        <v>128.77464528252756</v>
      </c>
      <c r="BQ16" s="44" t="str">
        <f t="shared" si="37"/>
        <v>Landfill</v>
      </c>
      <c r="BR16" s="44" t="str">
        <f t="shared" si="38"/>
        <v>Landfill</v>
      </c>
    </row>
    <row r="17" spans="3:70" ht="14.5" customHeight="1" x14ac:dyDescent="0.2">
      <c r="C17" s="8" t="str">
        <v>Bangladesh</v>
      </c>
      <c r="D17" s="56" t="str">
        <v>South Asia</v>
      </c>
      <c r="E17" s="117" t="str">
        <v>Lower middle income</v>
      </c>
      <c r="F17" s="44">
        <v>20.365433186438139</v>
      </c>
      <c r="G17" s="44">
        <v>178.32133445217278</v>
      </c>
      <c r="H17" s="44">
        <v>3.1451480303325403</v>
      </c>
      <c r="I17" s="44">
        <v>0.32584693098301021</v>
      </c>
      <c r="J17" s="44">
        <v>178.32133445217278</v>
      </c>
      <c r="K17" s="44">
        <v>3.1451480303325403</v>
      </c>
      <c r="L17" s="44">
        <v>387.80522999999999</v>
      </c>
      <c r="M17" s="44">
        <v>0</v>
      </c>
      <c r="N17" s="44">
        <v>56.259152155866758</v>
      </c>
      <c r="O17" s="44">
        <v>4.9289279581529488</v>
      </c>
      <c r="P17" s="44">
        <v>131.65024000000003</v>
      </c>
      <c r="Q17" s="44">
        <v>0</v>
      </c>
      <c r="R17" s="44">
        <v>56.259152155866758</v>
      </c>
      <c r="S17" s="44">
        <v>4.9289279581529488</v>
      </c>
      <c r="T17" s="44">
        <f t="shared" si="7"/>
        <v>201.83191566894345</v>
      </c>
      <c r="U17" s="44">
        <f t="shared" si="8"/>
        <v>181.79232941348832</v>
      </c>
      <c r="V17" s="44">
        <f t="shared" si="9"/>
        <v>448.99331011401966</v>
      </c>
      <c r="W17" s="44">
        <f t="shared" si="10"/>
        <v>192.83832011401972</v>
      </c>
      <c r="X17" s="44" t="str">
        <f t="shared" si="11"/>
        <v>Incineration</v>
      </c>
      <c r="Y17" s="44" t="str">
        <f t="shared" si="12"/>
        <v>Incineration</v>
      </c>
      <c r="Z17" s="44">
        <f t="shared" si="13"/>
        <v>0</v>
      </c>
      <c r="AA17" s="44">
        <f t="shared" si="14"/>
        <v>56.259152155866758</v>
      </c>
      <c r="AB17" s="44">
        <f t="shared" si="15"/>
        <v>4.9289279581529488</v>
      </c>
      <c r="AC17" s="44">
        <f t="shared" si="16"/>
        <v>0</v>
      </c>
      <c r="AD17" s="44">
        <f t="shared" si="17"/>
        <v>387.80522999999999</v>
      </c>
      <c r="AE17" s="44">
        <f t="shared" si="18"/>
        <v>0</v>
      </c>
      <c r="AF17" s="44">
        <f t="shared" si="19"/>
        <v>56.259152155866758</v>
      </c>
      <c r="AG17" s="44">
        <f t="shared" si="20"/>
        <v>4.9289279581529488</v>
      </c>
      <c r="AH17" s="44">
        <f t="shared" si="21"/>
        <v>0</v>
      </c>
      <c r="AI17" s="44">
        <f t="shared" si="22"/>
        <v>131.65024000000003</v>
      </c>
      <c r="AJ17" s="185"/>
      <c r="AK17" s="100"/>
      <c r="AL17" s="100"/>
      <c r="AM17" s="13" t="str">
        <v>South Asia</v>
      </c>
      <c r="AN17" s="95">
        <f t="shared" si="6"/>
        <v>18.682549411015433</v>
      </c>
      <c r="AO17" s="95">
        <f t="shared" si="6"/>
        <v>181.47379975685718</v>
      </c>
      <c r="AP17" s="95">
        <f t="shared" si="6"/>
        <v>16.163512715224211</v>
      </c>
      <c r="AQ17" s="95">
        <f t="shared" si="6"/>
        <v>0.30633780951627371</v>
      </c>
      <c r="AR17" s="95">
        <f t="shared" si="6"/>
        <v>181.47379975685718</v>
      </c>
      <c r="AS17" s="95">
        <f t="shared" si="6"/>
        <v>16.163512715224211</v>
      </c>
      <c r="AT17" s="95">
        <f t="shared" si="6"/>
        <v>387.80522999999999</v>
      </c>
      <c r="AU17" s="95">
        <f t="shared" si="6"/>
        <v>0</v>
      </c>
      <c r="AV17" s="95">
        <f t="shared" si="6"/>
        <v>25.353014152547104</v>
      </c>
      <c r="AW17" s="95">
        <f t="shared" si="6"/>
        <v>4.9289279581529488</v>
      </c>
      <c r="AX17" s="95">
        <f t="shared" si="6"/>
        <v>131.65024000000003</v>
      </c>
      <c r="AY17" s="95">
        <f t="shared" si="6"/>
        <v>0</v>
      </c>
      <c r="AZ17" s="95">
        <f t="shared" si="6"/>
        <v>25.353014152547104</v>
      </c>
      <c r="BA17" s="95">
        <f t="shared" si="6"/>
        <v>4.9289279581529488</v>
      </c>
      <c r="BB17" s="95">
        <f t="shared" si="23"/>
        <v>0</v>
      </c>
      <c r="BC17" s="95">
        <f t="shared" si="24"/>
        <v>25.353014152547104</v>
      </c>
      <c r="BD17" s="95">
        <f t="shared" si="25"/>
        <v>4.9289279581529488</v>
      </c>
      <c r="BE17" s="95">
        <f t="shared" si="26"/>
        <v>0</v>
      </c>
      <c r="BF17" s="95">
        <f t="shared" si="27"/>
        <v>387.80522999999999</v>
      </c>
      <c r="BG17" s="95">
        <f t="shared" si="28"/>
        <v>0.30633780951627371</v>
      </c>
      <c r="BH17" s="95">
        <f t="shared" si="29"/>
        <v>0</v>
      </c>
      <c r="BI17" s="95">
        <f t="shared" si="30"/>
        <v>0</v>
      </c>
      <c r="BJ17" s="95">
        <f t="shared" si="31"/>
        <v>16.163512715224211</v>
      </c>
      <c r="BK17" s="95">
        <f t="shared" si="32"/>
        <v>181.47379975685718</v>
      </c>
      <c r="BM17" s="95">
        <f t="shared" si="33"/>
        <v>216.31986188309682</v>
      </c>
      <c r="BN17" s="95">
        <f t="shared" si="34"/>
        <v>197.94365028159766</v>
      </c>
      <c r="BO17" s="95">
        <f t="shared" si="35"/>
        <v>418.08717211070007</v>
      </c>
      <c r="BP17" s="95">
        <f t="shared" si="36"/>
        <v>161.93218211070007</v>
      </c>
      <c r="BQ17" s="44" t="str">
        <f t="shared" si="37"/>
        <v>Incineration</v>
      </c>
      <c r="BR17" s="44" t="str">
        <f t="shared" si="38"/>
        <v>Landfill</v>
      </c>
    </row>
    <row r="18" spans="3:70" ht="14.5" customHeight="1" x14ac:dyDescent="0.2">
      <c r="C18" s="8" t="str">
        <v>Belgium</v>
      </c>
      <c r="D18" s="56" t="str">
        <v>Europe &amp; Central Asia</v>
      </c>
      <c r="E18" s="117" t="str">
        <v>High income</v>
      </c>
      <c r="F18" s="44">
        <v>10.391652798722772</v>
      </c>
      <c r="G18" s="44">
        <v>187.00281170809052</v>
      </c>
      <c r="H18" s="44">
        <v>59.8740103549667</v>
      </c>
      <c r="I18" s="44">
        <v>0.16494686982099641</v>
      </c>
      <c r="J18" s="44">
        <v>187.00281170809052</v>
      </c>
      <c r="K18" s="44">
        <v>59.8740103549667</v>
      </c>
      <c r="L18" s="44">
        <v>385.33554388197115</v>
      </c>
      <c r="M18" s="44">
        <v>61.240114762696933</v>
      </c>
      <c r="N18" s="44">
        <v>3.8578817672796228</v>
      </c>
      <c r="O18" s="44">
        <v>4.9289279581529488</v>
      </c>
      <c r="P18" s="44">
        <v>114.32540582202884</v>
      </c>
      <c r="Q18" s="44">
        <v>61.240114762696933</v>
      </c>
      <c r="R18" s="44">
        <v>3.8578817672796228</v>
      </c>
      <c r="S18" s="44">
        <v>4.9289279581529488</v>
      </c>
      <c r="T18" s="44">
        <f t="shared" si="7"/>
        <v>257.26847486177996</v>
      </c>
      <c r="U18" s="44">
        <f t="shared" si="8"/>
        <v>247.0417689328782</v>
      </c>
      <c r="V18" s="44">
        <f t="shared" si="9"/>
        <v>455.36246837010066</v>
      </c>
      <c r="W18" s="44">
        <f t="shared" si="10"/>
        <v>184.35233031015835</v>
      </c>
      <c r="X18" s="44" t="str">
        <f t="shared" si="11"/>
        <v>Incineration</v>
      </c>
      <c r="Y18" s="44" t="str">
        <f t="shared" si="12"/>
        <v>Landfill</v>
      </c>
      <c r="Z18" s="44">
        <f t="shared" si="13"/>
        <v>0</v>
      </c>
      <c r="AA18" s="44">
        <f t="shared" si="14"/>
        <v>3.8578817672796228</v>
      </c>
      <c r="AB18" s="44">
        <f t="shared" si="15"/>
        <v>4.9289279581529488</v>
      </c>
      <c r="AC18" s="44">
        <f t="shared" si="16"/>
        <v>61.240114762696933</v>
      </c>
      <c r="AD18" s="44">
        <f t="shared" si="17"/>
        <v>385.33554388197115</v>
      </c>
      <c r="AE18" s="44">
        <f t="shared" si="18"/>
        <v>0.16494686982099641</v>
      </c>
      <c r="AF18" s="44">
        <f t="shared" si="19"/>
        <v>0</v>
      </c>
      <c r="AG18" s="44">
        <f t="shared" si="20"/>
        <v>0</v>
      </c>
      <c r="AH18" s="44">
        <f t="shared" si="21"/>
        <v>59.8740103549667</v>
      </c>
      <c r="AI18" s="44">
        <f t="shared" si="22"/>
        <v>187.00281170809052</v>
      </c>
      <c r="AJ18" s="185"/>
      <c r="AK18" s="100"/>
      <c r="AL18" s="100"/>
      <c r="AM18" s="13" t="str">
        <v>North America</v>
      </c>
      <c r="AN18" s="95">
        <f t="shared" si="6"/>
        <v>26.84625272491801</v>
      </c>
      <c r="AO18" s="95">
        <f t="shared" si="6"/>
        <v>187.00281170809052</v>
      </c>
      <c r="AP18" s="95">
        <f t="shared" si="6"/>
        <v>24.324272488799807</v>
      </c>
      <c r="AQ18" s="95">
        <f t="shared" si="6"/>
        <v>0.45021666060421506</v>
      </c>
      <c r="AR18" s="95">
        <f t="shared" si="6"/>
        <v>187.00281170809052</v>
      </c>
      <c r="AS18" s="95">
        <f t="shared" si="6"/>
        <v>24.324272488799807</v>
      </c>
      <c r="AT18" s="95">
        <f t="shared" si="6"/>
        <v>382.7843964986688</v>
      </c>
      <c r="AU18" s="95">
        <f t="shared" si="6"/>
        <v>3.9263589700230761</v>
      </c>
      <c r="AV18" s="95">
        <f t="shared" si="6"/>
        <v>5.8717280788308903</v>
      </c>
      <c r="AW18" s="95">
        <f t="shared" si="6"/>
        <v>4.9289279581529488</v>
      </c>
      <c r="AX18" s="95">
        <f t="shared" si="6"/>
        <v>126.62940649866883</v>
      </c>
      <c r="AY18" s="95">
        <f t="shared" si="6"/>
        <v>3.9263589700230761</v>
      </c>
      <c r="AZ18" s="95">
        <f t="shared" si="6"/>
        <v>5.8717280788308903</v>
      </c>
      <c r="BA18" s="95">
        <f t="shared" si="6"/>
        <v>4.9289279581529488</v>
      </c>
      <c r="BB18" s="95">
        <f t="shared" si="23"/>
        <v>0</v>
      </c>
      <c r="BC18" s="95">
        <f t="shared" si="24"/>
        <v>5.8717280788308903</v>
      </c>
      <c r="BD18" s="95">
        <f t="shared" si="25"/>
        <v>4.9289279581529488</v>
      </c>
      <c r="BE18" s="95">
        <f t="shared" si="26"/>
        <v>3.9263589700230761</v>
      </c>
      <c r="BF18" s="95">
        <f t="shared" si="27"/>
        <v>382.7843964986688</v>
      </c>
      <c r="BG18" s="95">
        <f t="shared" si="28"/>
        <v>0.45021666060421506</v>
      </c>
      <c r="BH18" s="95">
        <f t="shared" si="29"/>
        <v>0</v>
      </c>
      <c r="BI18" s="95">
        <f t="shared" si="30"/>
        <v>0</v>
      </c>
      <c r="BJ18" s="95">
        <f t="shared" si="31"/>
        <v>24.324272488799807</v>
      </c>
      <c r="BK18" s="95">
        <f t="shared" si="32"/>
        <v>187.00281170809052</v>
      </c>
      <c r="BM18" s="95">
        <f t="shared" si="33"/>
        <v>238.17333692180833</v>
      </c>
      <c r="BN18" s="95">
        <f t="shared" si="34"/>
        <v>211.77730085749454</v>
      </c>
      <c r="BO18" s="95">
        <f t="shared" si="35"/>
        <v>397.51141150567571</v>
      </c>
      <c r="BP18" s="95">
        <f t="shared" si="36"/>
        <v>141.35642150567574</v>
      </c>
      <c r="BQ18" s="44" t="str">
        <f t="shared" si="37"/>
        <v>Incineration</v>
      </c>
      <c r="BR18" s="44" t="str">
        <f t="shared" si="38"/>
        <v>Landfill</v>
      </c>
    </row>
    <row r="19" spans="3:70" ht="14.5" customHeight="1" x14ac:dyDescent="0.2">
      <c r="C19" s="8" t="str">
        <v>Bolivia</v>
      </c>
      <c r="D19" s="56" t="str">
        <v>Latin America &amp; Caribbean</v>
      </c>
      <c r="E19" s="117" t="str">
        <v>Lower middle income</v>
      </c>
      <c r="F19" s="44">
        <v>8.5223688119908019</v>
      </c>
      <c r="G19" s="44">
        <v>123.89196731561637</v>
      </c>
      <c r="H19" s="44">
        <v>0</v>
      </c>
      <c r="I19" s="44">
        <v>0.14363542941557531</v>
      </c>
      <c r="J19" s="44">
        <v>123.89196731561637</v>
      </c>
      <c r="K19" s="44">
        <v>0</v>
      </c>
      <c r="L19" s="44">
        <v>387.80522999999999</v>
      </c>
      <c r="M19" s="44">
        <v>0</v>
      </c>
      <c r="N19" s="44">
        <v>4.0413508996351162</v>
      </c>
      <c r="O19" s="44">
        <v>4.9289279581529488</v>
      </c>
      <c r="P19" s="44">
        <v>131.65024000000003</v>
      </c>
      <c r="Q19" s="44">
        <v>0</v>
      </c>
      <c r="R19" s="44">
        <v>4.0413508996351162</v>
      </c>
      <c r="S19" s="44">
        <v>4.9289279581529488</v>
      </c>
      <c r="T19" s="44">
        <f t="shared" si="7"/>
        <v>132.41433612760716</v>
      </c>
      <c r="U19" s="44">
        <f t="shared" si="8"/>
        <v>124.03560274503195</v>
      </c>
      <c r="V19" s="44">
        <f t="shared" si="9"/>
        <v>396.77550885778805</v>
      </c>
      <c r="W19" s="44">
        <f t="shared" si="10"/>
        <v>140.62051885778808</v>
      </c>
      <c r="X19" s="44" t="str">
        <f t="shared" si="11"/>
        <v>Incineration</v>
      </c>
      <c r="Y19" s="44" t="str">
        <f t="shared" si="12"/>
        <v>Incineration</v>
      </c>
      <c r="Z19" s="44">
        <f t="shared" si="13"/>
        <v>0</v>
      </c>
      <c r="AA19" s="44">
        <f t="shared" si="14"/>
        <v>4.0413508996351162</v>
      </c>
      <c r="AB19" s="44">
        <f t="shared" si="15"/>
        <v>4.9289279581529488</v>
      </c>
      <c r="AC19" s="44">
        <f t="shared" si="16"/>
        <v>0</v>
      </c>
      <c r="AD19" s="44">
        <f t="shared" si="17"/>
        <v>387.80522999999999</v>
      </c>
      <c r="AE19" s="44">
        <f t="shared" si="18"/>
        <v>0</v>
      </c>
      <c r="AF19" s="44">
        <f t="shared" si="19"/>
        <v>4.0413508996351162</v>
      </c>
      <c r="AG19" s="44">
        <f t="shared" si="20"/>
        <v>4.9289279581529488</v>
      </c>
      <c r="AH19" s="44">
        <f t="shared" si="21"/>
        <v>0</v>
      </c>
      <c r="AI19" s="44">
        <f t="shared" si="22"/>
        <v>131.65024000000003</v>
      </c>
      <c r="AJ19" s="185"/>
      <c r="AK19" s="100"/>
      <c r="AL19" s="100"/>
      <c r="AM19" s="13" t="str">
        <v>Middle East &amp; North Africa</v>
      </c>
      <c r="AN19" s="95">
        <f t="shared" si="6"/>
        <v>35.288160995136487</v>
      </c>
      <c r="AO19" s="95">
        <f t="shared" si="6"/>
        <v>183.05003240919942</v>
      </c>
      <c r="AP19" s="95">
        <f t="shared" si="6"/>
        <v>57.271415178696088</v>
      </c>
      <c r="AQ19" s="95">
        <f t="shared" si="6"/>
        <v>0.59036684175718745</v>
      </c>
      <c r="AR19" s="95">
        <f t="shared" si="6"/>
        <v>183.05003240919942</v>
      </c>
      <c r="AS19" s="95">
        <f t="shared" si="6"/>
        <v>57.271415178696088</v>
      </c>
      <c r="AT19" s="95">
        <f t="shared" si="6"/>
        <v>386.45524401193592</v>
      </c>
      <c r="AU19" s="95">
        <f t="shared" si="6"/>
        <v>68.126842035343088</v>
      </c>
      <c r="AV19" s="95">
        <f t="shared" si="6"/>
        <v>3.8613118137278679</v>
      </c>
      <c r="AW19" s="95">
        <f t="shared" si="6"/>
        <v>4.9289279581529488</v>
      </c>
      <c r="AX19" s="95">
        <f t="shared" si="6"/>
        <v>104.80942760200743</v>
      </c>
      <c r="AY19" s="95">
        <f t="shared" si="6"/>
        <v>68.126842035343088</v>
      </c>
      <c r="AZ19" s="95">
        <f t="shared" si="6"/>
        <v>3.8613118137278679</v>
      </c>
      <c r="BA19" s="95">
        <f t="shared" si="6"/>
        <v>4.9289279581529488</v>
      </c>
      <c r="BB19" s="95">
        <f t="shared" si="23"/>
        <v>0</v>
      </c>
      <c r="BC19" s="95">
        <f t="shared" si="24"/>
        <v>3.8613118137278679</v>
      </c>
      <c r="BD19" s="95">
        <f t="shared" si="25"/>
        <v>4.9289279581529488</v>
      </c>
      <c r="BE19" s="95">
        <f t="shared" si="26"/>
        <v>68.126842035343088</v>
      </c>
      <c r="BF19" s="95">
        <f t="shared" si="27"/>
        <v>386.45524401193592</v>
      </c>
      <c r="BG19" s="95">
        <f t="shared" si="28"/>
        <v>0.59036684175718745</v>
      </c>
      <c r="BH19" s="95">
        <f t="shared" si="29"/>
        <v>0</v>
      </c>
      <c r="BI19" s="95">
        <f t="shared" si="30"/>
        <v>0</v>
      </c>
      <c r="BJ19" s="95">
        <f t="shared" si="31"/>
        <v>57.271415178696088</v>
      </c>
      <c r="BK19" s="95">
        <f t="shared" si="32"/>
        <v>183.05003240919942</v>
      </c>
      <c r="BM19" s="95">
        <f t="shared" si="33"/>
        <v>275.60960858303201</v>
      </c>
      <c r="BN19" s="95">
        <f t="shared" si="34"/>
        <v>240.91181442965268</v>
      </c>
      <c r="BO19" s="95">
        <f t="shared" si="35"/>
        <v>463.37232581915981</v>
      </c>
      <c r="BP19" s="95">
        <f t="shared" si="36"/>
        <v>181.72650940923131</v>
      </c>
      <c r="BQ19" s="44" t="str">
        <f t="shared" si="37"/>
        <v>Incineration</v>
      </c>
      <c r="BR19" s="44" t="str">
        <f t="shared" si="38"/>
        <v>Landfill</v>
      </c>
    </row>
    <row r="20" spans="3:70" ht="14.5" customHeight="1" x14ac:dyDescent="0.2">
      <c r="C20" s="8" t="str">
        <v>Brazil</v>
      </c>
      <c r="D20" s="56" t="str">
        <v>Latin America &amp; Caribbean</v>
      </c>
      <c r="E20" s="117" t="str">
        <v>Upper middle income</v>
      </c>
      <c r="F20" s="44">
        <v>22.493949429149737</v>
      </c>
      <c r="G20" s="44">
        <v>85.047388013245893</v>
      </c>
      <c r="H20" s="44">
        <v>6.7780129713254258</v>
      </c>
      <c r="I20" s="44">
        <v>0.35990319086639577</v>
      </c>
      <c r="J20" s="44">
        <v>85.047388013245893</v>
      </c>
      <c r="K20" s="44">
        <v>6.7780129713254258</v>
      </c>
      <c r="L20" s="44">
        <v>386.62423811944586</v>
      </c>
      <c r="M20" s="44">
        <v>1.2715709298717415</v>
      </c>
      <c r="N20" s="44">
        <v>5.031138961877053</v>
      </c>
      <c r="O20" s="44">
        <v>4.9289279581529488</v>
      </c>
      <c r="P20" s="44">
        <v>130.46924811944592</v>
      </c>
      <c r="Q20" s="44">
        <v>1.2715709298717415</v>
      </c>
      <c r="R20" s="44">
        <v>5.031138961877053</v>
      </c>
      <c r="S20" s="44">
        <v>4.9289279581529488</v>
      </c>
      <c r="T20" s="44">
        <f t="shared" si="7"/>
        <v>114.31935041372105</v>
      </c>
      <c r="U20" s="44">
        <f t="shared" si="8"/>
        <v>92.185304175437707</v>
      </c>
      <c r="V20" s="44">
        <f t="shared" si="9"/>
        <v>397.85587596934761</v>
      </c>
      <c r="W20" s="44">
        <f t="shared" si="10"/>
        <v>141.70088596934764</v>
      </c>
      <c r="X20" s="44" t="str">
        <f t="shared" si="11"/>
        <v>Incineration</v>
      </c>
      <c r="Y20" s="44" t="str">
        <f t="shared" si="12"/>
        <v>Incineration</v>
      </c>
      <c r="Z20" s="44">
        <f t="shared" si="13"/>
        <v>0</v>
      </c>
      <c r="AA20" s="44">
        <f t="shared" si="14"/>
        <v>5.031138961877053</v>
      </c>
      <c r="AB20" s="44">
        <f t="shared" si="15"/>
        <v>4.9289279581529488</v>
      </c>
      <c r="AC20" s="44">
        <f t="shared" si="16"/>
        <v>1.2715709298717415</v>
      </c>
      <c r="AD20" s="44">
        <f t="shared" si="17"/>
        <v>386.62423811944586</v>
      </c>
      <c r="AE20" s="44">
        <f t="shared" si="18"/>
        <v>0</v>
      </c>
      <c r="AF20" s="44">
        <f t="shared" si="19"/>
        <v>5.031138961877053</v>
      </c>
      <c r="AG20" s="44">
        <f t="shared" si="20"/>
        <v>4.9289279581529488</v>
      </c>
      <c r="AH20" s="44">
        <f t="shared" si="21"/>
        <v>1.2715709298717415</v>
      </c>
      <c r="AI20" s="44">
        <f t="shared" si="22"/>
        <v>130.46924811944592</v>
      </c>
      <c r="AJ20" s="185"/>
      <c r="AK20" s="100"/>
      <c r="AL20" s="100"/>
      <c r="AM20" s="13" t="str">
        <v>Sub-Saharan Africa</v>
      </c>
      <c r="AN20" s="95">
        <f t="shared" si="6"/>
        <v>28.925537175275039</v>
      </c>
      <c r="AO20" s="95">
        <f t="shared" si="6"/>
        <v>96.257196814715272</v>
      </c>
      <c r="AP20" s="95">
        <f t="shared" si="6"/>
        <v>20.369852633192828</v>
      </c>
      <c r="AQ20" s="95">
        <f t="shared" si="6"/>
        <v>0.48750905351587148</v>
      </c>
      <c r="AR20" s="95">
        <f t="shared" si="6"/>
        <v>96.257196814715272</v>
      </c>
      <c r="AS20" s="95">
        <f t="shared" si="6"/>
        <v>20.369852633192828</v>
      </c>
      <c r="AT20" s="95">
        <f t="shared" si="6"/>
        <v>387.80522999999999</v>
      </c>
      <c r="AU20" s="95">
        <f t="shared" si="6"/>
        <v>0</v>
      </c>
      <c r="AV20" s="95">
        <f t="shared" si="6"/>
        <v>1.3825221310123885</v>
      </c>
      <c r="AW20" s="95">
        <f t="shared" si="6"/>
        <v>4.9289279581529488</v>
      </c>
      <c r="AX20" s="95">
        <f t="shared" si="6"/>
        <v>131.65024000000003</v>
      </c>
      <c r="AY20" s="95">
        <f t="shared" si="6"/>
        <v>0</v>
      </c>
      <c r="AZ20" s="95">
        <f t="shared" si="6"/>
        <v>1.3825221310123885</v>
      </c>
      <c r="BA20" s="95">
        <f t="shared" si="6"/>
        <v>4.9289279581529488</v>
      </c>
      <c r="BB20" s="95">
        <f t="shared" si="23"/>
        <v>0</v>
      </c>
      <c r="BC20" s="95">
        <f t="shared" si="24"/>
        <v>1.3825221310123885</v>
      </c>
      <c r="BD20" s="95">
        <f t="shared" si="25"/>
        <v>4.9289279581529488</v>
      </c>
      <c r="BE20" s="95">
        <f t="shared" si="26"/>
        <v>0</v>
      </c>
      <c r="BF20" s="95">
        <f t="shared" si="27"/>
        <v>387.80522999999999</v>
      </c>
      <c r="BG20" s="95">
        <f t="shared" si="28"/>
        <v>0</v>
      </c>
      <c r="BH20" s="95">
        <f t="shared" si="29"/>
        <v>1.3825221310123885</v>
      </c>
      <c r="BI20" s="95">
        <f t="shared" si="30"/>
        <v>4.9289279581529488</v>
      </c>
      <c r="BJ20" s="95">
        <f t="shared" si="31"/>
        <v>0</v>
      </c>
      <c r="BK20" s="95">
        <f t="shared" si="32"/>
        <v>131.65024000000003</v>
      </c>
      <c r="BM20" s="95">
        <f t="shared" si="33"/>
        <v>145.55258662318315</v>
      </c>
      <c r="BN20" s="95">
        <f t="shared" si="34"/>
        <v>117.11455850142397</v>
      </c>
      <c r="BO20" s="95">
        <f t="shared" si="35"/>
        <v>394.1166800891653</v>
      </c>
      <c r="BP20" s="95">
        <f t="shared" si="36"/>
        <v>137.96169008916536</v>
      </c>
      <c r="BQ20" s="44" t="str">
        <f t="shared" si="37"/>
        <v>Incineration</v>
      </c>
      <c r="BR20" s="44" t="str">
        <f t="shared" si="38"/>
        <v>Incineration</v>
      </c>
    </row>
    <row r="21" spans="3:70" ht="14.5" customHeight="1" x14ac:dyDescent="0.2">
      <c r="C21" s="8" t="str">
        <v>Bulgaria</v>
      </c>
      <c r="D21" s="56" t="str">
        <v>Europe &amp; Central Asia</v>
      </c>
      <c r="E21" s="117" t="str">
        <v>Upper middle income</v>
      </c>
      <c r="F21" s="44">
        <v>26.41840782114383</v>
      </c>
      <c r="G21" s="44">
        <v>187.00281170809052</v>
      </c>
      <c r="H21" s="44">
        <v>6.2651141984638015</v>
      </c>
      <c r="I21" s="44">
        <v>0.4452540644013005</v>
      </c>
      <c r="J21" s="44">
        <v>187.00281170809052</v>
      </c>
      <c r="K21" s="44">
        <v>6.2651141984638015</v>
      </c>
      <c r="L21" s="44">
        <v>383.28854784207141</v>
      </c>
      <c r="M21" s="44">
        <v>8.5939647288018612</v>
      </c>
      <c r="N21" s="44">
        <v>3.7040649140191322</v>
      </c>
      <c r="O21" s="44">
        <v>4.9289279581529488</v>
      </c>
      <c r="P21" s="44">
        <v>68.637649933928614</v>
      </c>
      <c r="Q21" s="44">
        <v>8.5939647288018612</v>
      </c>
      <c r="R21" s="44">
        <v>3.7040649140191322</v>
      </c>
      <c r="S21" s="44">
        <v>4.9289279581529488</v>
      </c>
      <c r="T21" s="44">
        <f t="shared" si="7"/>
        <v>219.68633372769816</v>
      </c>
      <c r="U21" s="44">
        <f t="shared" si="8"/>
        <v>193.71317997095562</v>
      </c>
      <c r="V21" s="44">
        <f t="shared" si="9"/>
        <v>400.5155054430453</v>
      </c>
      <c r="W21" s="44">
        <f t="shared" si="10"/>
        <v>85.864607534902561</v>
      </c>
      <c r="X21" s="44" t="str">
        <f t="shared" si="11"/>
        <v>Incineration</v>
      </c>
      <c r="Y21" s="44" t="str">
        <f t="shared" si="12"/>
        <v>Landfill</v>
      </c>
      <c r="Z21" s="44">
        <f t="shared" si="13"/>
        <v>0</v>
      </c>
      <c r="AA21" s="44">
        <f t="shared" si="14"/>
        <v>3.7040649140191322</v>
      </c>
      <c r="AB21" s="44">
        <f t="shared" si="15"/>
        <v>4.9289279581529488</v>
      </c>
      <c r="AC21" s="44">
        <f t="shared" si="16"/>
        <v>8.5939647288018612</v>
      </c>
      <c r="AD21" s="44">
        <f t="shared" si="17"/>
        <v>383.28854784207141</v>
      </c>
      <c r="AE21" s="44">
        <f t="shared" si="18"/>
        <v>0.4452540644013005</v>
      </c>
      <c r="AF21" s="44">
        <f t="shared" si="19"/>
        <v>0</v>
      </c>
      <c r="AG21" s="44">
        <f t="shared" si="20"/>
        <v>0</v>
      </c>
      <c r="AH21" s="44">
        <f t="shared" si="21"/>
        <v>6.2651141984638015</v>
      </c>
      <c r="AI21" s="44">
        <f t="shared" si="22"/>
        <v>187.00281170809052</v>
      </c>
      <c r="AJ21" s="185"/>
      <c r="AK21" s="100"/>
      <c r="AL21" s="100"/>
    </row>
    <row r="22" spans="3:70" ht="14.5" customHeight="1" x14ac:dyDescent="0.2">
      <c r="C22" s="8" t="str">
        <v>Canada</v>
      </c>
      <c r="D22" s="56" t="str">
        <v>North America</v>
      </c>
      <c r="E22" s="117" t="str">
        <v>High income</v>
      </c>
      <c r="F22" s="44">
        <v>23.396072424363187</v>
      </c>
      <c r="G22" s="44">
        <v>187.00281170809052</v>
      </c>
      <c r="H22" s="44">
        <v>29.474320147863963</v>
      </c>
      <c r="I22" s="44">
        <v>0.39235649407317141</v>
      </c>
      <c r="J22" s="44">
        <v>187.00281170809052</v>
      </c>
      <c r="K22" s="44">
        <v>29.474320147863963</v>
      </c>
      <c r="L22" s="44">
        <v>386.46854653929398</v>
      </c>
      <c r="M22" s="44">
        <v>1.1843764312750007</v>
      </c>
      <c r="N22" s="44">
        <v>8.1597964232022555</v>
      </c>
      <c r="O22" s="44">
        <v>4.9289279581529488</v>
      </c>
      <c r="P22" s="44">
        <v>130.31355653929404</v>
      </c>
      <c r="Q22" s="44">
        <v>1.1843764312750007</v>
      </c>
      <c r="R22" s="44">
        <v>8.1597964232022555</v>
      </c>
      <c r="S22" s="44">
        <v>4.9289279581529488</v>
      </c>
      <c r="T22" s="44">
        <f t="shared" si="7"/>
        <v>239.87320428031768</v>
      </c>
      <c r="U22" s="44">
        <f t="shared" si="8"/>
        <v>216.86948835002767</v>
      </c>
      <c r="V22" s="44">
        <f t="shared" si="9"/>
        <v>400.74164735192414</v>
      </c>
      <c r="W22" s="44">
        <f t="shared" si="10"/>
        <v>144.58665735192426</v>
      </c>
      <c r="X22" s="44" t="str">
        <f t="shared" si="11"/>
        <v>Incineration</v>
      </c>
      <c r="Y22" s="44" t="str">
        <f t="shared" si="12"/>
        <v>Landfill</v>
      </c>
      <c r="Z22" s="44">
        <f t="shared" si="13"/>
        <v>0</v>
      </c>
      <c r="AA22" s="44">
        <f t="shared" si="14"/>
        <v>8.1597964232022555</v>
      </c>
      <c r="AB22" s="44">
        <f t="shared" si="15"/>
        <v>4.9289279581529488</v>
      </c>
      <c r="AC22" s="44">
        <f t="shared" si="16"/>
        <v>1.1843764312750007</v>
      </c>
      <c r="AD22" s="44">
        <f t="shared" si="17"/>
        <v>386.46854653929398</v>
      </c>
      <c r="AE22" s="44">
        <f t="shared" si="18"/>
        <v>0.39235649407317141</v>
      </c>
      <c r="AF22" s="44">
        <f t="shared" si="19"/>
        <v>0</v>
      </c>
      <c r="AG22" s="44">
        <f t="shared" si="20"/>
        <v>0</v>
      </c>
      <c r="AH22" s="44">
        <f t="shared" si="21"/>
        <v>29.474320147863963</v>
      </c>
      <c r="AI22" s="44">
        <f t="shared" si="22"/>
        <v>187.00281170809052</v>
      </c>
      <c r="AJ22" s="185"/>
      <c r="AK22" s="100"/>
      <c r="AL22" s="100"/>
    </row>
    <row r="23" spans="3:70" ht="14.5" customHeight="1" x14ac:dyDescent="0.25">
      <c r="C23" s="8" t="str">
        <v>Chile</v>
      </c>
      <c r="D23" s="56" t="str">
        <v>Latin America &amp; Caribbean</v>
      </c>
      <c r="E23" s="117" t="str">
        <v>High income</v>
      </c>
      <c r="F23" s="44">
        <v>13.022651286988481</v>
      </c>
      <c r="G23" s="44">
        <v>178.32133445217278</v>
      </c>
      <c r="H23" s="44">
        <v>1.3903375153362929</v>
      </c>
      <c r="I23" s="44">
        <v>0.20816074236391982</v>
      </c>
      <c r="J23" s="44">
        <v>178.32133445217278</v>
      </c>
      <c r="K23" s="44">
        <v>1.3903375153362929</v>
      </c>
      <c r="L23" s="44">
        <v>386.35059813977904</v>
      </c>
      <c r="M23" s="44">
        <v>0</v>
      </c>
      <c r="N23" s="44">
        <v>4.9096361640797461</v>
      </c>
      <c r="O23" s="44">
        <v>4.9289279581529488</v>
      </c>
      <c r="P23" s="44">
        <v>130.1956081397791</v>
      </c>
      <c r="Q23" s="44">
        <v>0</v>
      </c>
      <c r="R23" s="44">
        <v>4.9096361640797461</v>
      </c>
      <c r="S23" s="44">
        <v>4.9289279581529488</v>
      </c>
      <c r="T23" s="44">
        <f t="shared" si="7"/>
        <v>192.73432325449755</v>
      </c>
      <c r="U23" s="44">
        <f t="shared" si="8"/>
        <v>179.91983270987299</v>
      </c>
      <c r="V23" s="44">
        <f t="shared" si="9"/>
        <v>396.18916226201173</v>
      </c>
      <c r="W23" s="44">
        <f t="shared" si="10"/>
        <v>140.03417226201179</v>
      </c>
      <c r="X23" s="44" t="str">
        <f t="shared" si="11"/>
        <v>Incineration</v>
      </c>
      <c r="Y23" s="44" t="str">
        <f t="shared" si="12"/>
        <v>Landfill</v>
      </c>
      <c r="Z23" s="44">
        <f t="shared" si="13"/>
        <v>0</v>
      </c>
      <c r="AA23" s="44">
        <f t="shared" si="14"/>
        <v>4.9096361640797461</v>
      </c>
      <c r="AB23" s="44">
        <f t="shared" si="15"/>
        <v>4.9289279581529488</v>
      </c>
      <c r="AC23" s="44">
        <f t="shared" si="16"/>
        <v>0</v>
      </c>
      <c r="AD23" s="44">
        <f t="shared" si="17"/>
        <v>386.35059813977904</v>
      </c>
      <c r="AE23" s="44">
        <f t="shared" si="18"/>
        <v>0.20816074236391982</v>
      </c>
      <c r="AF23" s="44">
        <f t="shared" si="19"/>
        <v>0</v>
      </c>
      <c r="AG23" s="44">
        <f t="shared" si="20"/>
        <v>0</v>
      </c>
      <c r="AH23" s="44">
        <f t="shared" si="21"/>
        <v>1.3903375153362929</v>
      </c>
      <c r="AI23" s="44">
        <f t="shared" si="22"/>
        <v>178.32133445217278</v>
      </c>
      <c r="AJ23" s="185"/>
      <c r="AL23" s="118" t="s">
        <v>582</v>
      </c>
    </row>
    <row r="24" spans="3:70" ht="14.5" customHeight="1" x14ac:dyDescent="0.2">
      <c r="C24" s="8" t="str">
        <v>China</v>
      </c>
      <c r="D24" s="56" t="str">
        <v>East Asia &amp; Pacific</v>
      </c>
      <c r="E24" s="117" t="str">
        <v>Upper middle income</v>
      </c>
      <c r="F24" s="44">
        <v>45.25330643918079</v>
      </c>
      <c r="G24" s="44">
        <v>178.32133445217278</v>
      </c>
      <c r="H24" s="44">
        <v>50.811741430688407</v>
      </c>
      <c r="I24" s="44">
        <v>0.74534857664533072</v>
      </c>
      <c r="J24" s="44">
        <v>178.32133445217278</v>
      </c>
      <c r="K24" s="44">
        <v>50.811741430688407</v>
      </c>
      <c r="L24" s="44">
        <v>360.05470558438958</v>
      </c>
      <c r="M24" s="44">
        <v>35.114792891582788</v>
      </c>
      <c r="N24" s="44">
        <v>4.1448170325693674</v>
      </c>
      <c r="O24" s="44">
        <v>4.9289279581529488</v>
      </c>
      <c r="P24" s="44">
        <v>103.89971558438961</v>
      </c>
      <c r="Q24" s="44">
        <v>35.114792891582788</v>
      </c>
      <c r="R24" s="44">
        <v>4.1448170325693674</v>
      </c>
      <c r="S24" s="44">
        <v>4.9289279581529488</v>
      </c>
      <c r="T24" s="44">
        <f t="shared" si="7"/>
        <v>274.38638232204198</v>
      </c>
      <c r="U24" s="44">
        <f t="shared" si="8"/>
        <v>229.87842445950653</v>
      </c>
      <c r="V24" s="44">
        <f t="shared" si="9"/>
        <v>404.24324346669471</v>
      </c>
      <c r="W24" s="44">
        <f t="shared" si="10"/>
        <v>148.08825346669471</v>
      </c>
      <c r="X24" s="44" t="str">
        <f t="shared" si="11"/>
        <v>Incineration</v>
      </c>
      <c r="Y24" s="44" t="str">
        <f t="shared" si="12"/>
        <v>Landfill</v>
      </c>
      <c r="Z24" s="44">
        <f t="shared" si="13"/>
        <v>0</v>
      </c>
      <c r="AA24" s="44">
        <f t="shared" si="14"/>
        <v>4.1448170325693674</v>
      </c>
      <c r="AB24" s="44">
        <f t="shared" si="15"/>
        <v>4.9289279581529488</v>
      </c>
      <c r="AC24" s="44">
        <f t="shared" si="16"/>
        <v>35.114792891582788</v>
      </c>
      <c r="AD24" s="44">
        <f t="shared" si="17"/>
        <v>360.05470558438958</v>
      </c>
      <c r="AE24" s="44">
        <f t="shared" si="18"/>
        <v>0.74534857664533072</v>
      </c>
      <c r="AF24" s="44">
        <f t="shared" si="19"/>
        <v>0</v>
      </c>
      <c r="AG24" s="44">
        <f t="shared" si="20"/>
        <v>0</v>
      </c>
      <c r="AH24" s="44">
        <f t="shared" si="21"/>
        <v>50.811741430688407</v>
      </c>
      <c r="AI24" s="44">
        <f t="shared" si="22"/>
        <v>178.32133445217278</v>
      </c>
      <c r="AJ24" s="185"/>
      <c r="AL24" s="92"/>
    </row>
    <row r="25" spans="3:70" ht="14.5" customHeight="1" x14ac:dyDescent="0.2">
      <c r="C25" s="8" t="str">
        <v>Colombia</v>
      </c>
      <c r="D25" s="56" t="str">
        <v>Latin America &amp; Caribbean</v>
      </c>
      <c r="E25" s="117" t="str">
        <v>Upper middle income</v>
      </c>
      <c r="F25" s="44">
        <v>16.193436238810186</v>
      </c>
      <c r="G25" s="44">
        <v>18.556198883897437</v>
      </c>
      <c r="H25" s="44">
        <v>1.4649326849518798</v>
      </c>
      <c r="I25" s="44">
        <v>0.27292308267657617</v>
      </c>
      <c r="J25" s="44">
        <v>18.556198883897437</v>
      </c>
      <c r="K25" s="44">
        <v>1.4649326849518798</v>
      </c>
      <c r="L25" s="44">
        <v>385.40009102559463</v>
      </c>
      <c r="M25" s="44">
        <v>1.8146262936178121</v>
      </c>
      <c r="N25" s="44">
        <v>7.2191118669130221</v>
      </c>
      <c r="O25" s="44">
        <v>4.9289279581529488</v>
      </c>
      <c r="P25" s="44">
        <v>129.24510102559466</v>
      </c>
      <c r="Q25" s="44">
        <v>1.8146262936178121</v>
      </c>
      <c r="R25" s="44">
        <v>7.2191118669130221</v>
      </c>
      <c r="S25" s="44">
        <v>4.9289279581529488</v>
      </c>
      <c r="T25" s="44">
        <f t="shared" si="7"/>
        <v>36.214567807659506</v>
      </c>
      <c r="U25" s="44">
        <f t="shared" si="8"/>
        <v>20.294054651525894</v>
      </c>
      <c r="V25" s="44">
        <f t="shared" si="9"/>
        <v>399.36275714427842</v>
      </c>
      <c r="W25" s="44">
        <f t="shared" si="10"/>
        <v>143.20776714427842</v>
      </c>
      <c r="X25" s="44" t="str">
        <f t="shared" si="11"/>
        <v>Incineration</v>
      </c>
      <c r="Y25" s="44" t="str">
        <f t="shared" si="12"/>
        <v>Incineration</v>
      </c>
      <c r="Z25" s="44">
        <f t="shared" si="13"/>
        <v>0</v>
      </c>
      <c r="AA25" s="44">
        <f t="shared" si="14"/>
        <v>7.2191118669130221</v>
      </c>
      <c r="AB25" s="44">
        <f t="shared" si="15"/>
        <v>4.9289279581529488</v>
      </c>
      <c r="AC25" s="44">
        <f t="shared" si="16"/>
        <v>1.8146262936178121</v>
      </c>
      <c r="AD25" s="44">
        <f t="shared" si="17"/>
        <v>385.40009102559463</v>
      </c>
      <c r="AE25" s="44">
        <f t="shared" si="18"/>
        <v>0</v>
      </c>
      <c r="AF25" s="44">
        <f t="shared" si="19"/>
        <v>7.2191118669130221</v>
      </c>
      <c r="AG25" s="44">
        <f t="shared" si="20"/>
        <v>4.9289279581529488</v>
      </c>
      <c r="AH25" s="44">
        <f t="shared" si="21"/>
        <v>1.8146262936178121</v>
      </c>
      <c r="AI25" s="44">
        <f t="shared" si="22"/>
        <v>129.24510102559466</v>
      </c>
      <c r="AJ25" s="185"/>
      <c r="AL25" s="92"/>
      <c r="AM25" s="13" t="s">
        <v>579</v>
      </c>
      <c r="AN25" s="95">
        <f t="shared" ref="AN25:BA27" si="39">AVERAGEIF($E$14:$E$75,$AM25,F$14:F$75)</f>
        <v>33.505803401315163</v>
      </c>
      <c r="AO25" s="95">
        <f t="shared" si="39"/>
        <v>182.64350772335575</v>
      </c>
      <c r="AP25" s="95">
        <f t="shared" si="39"/>
        <v>281.10587201210046</v>
      </c>
      <c r="AQ25" s="95">
        <f t="shared" si="39"/>
        <v>0.55901970231834708</v>
      </c>
      <c r="AR25" s="95">
        <f t="shared" si="39"/>
        <v>182.64350772335575</v>
      </c>
      <c r="AS25" s="95">
        <f t="shared" si="39"/>
        <v>281.10587201210046</v>
      </c>
      <c r="AT25" s="95">
        <f t="shared" si="39"/>
        <v>383.52892010867521</v>
      </c>
      <c r="AU25" s="95">
        <f t="shared" si="39"/>
        <v>34.681803948568621</v>
      </c>
      <c r="AV25" s="95">
        <f t="shared" si="39"/>
        <v>3.7067291408942395</v>
      </c>
      <c r="AW25" s="95">
        <f t="shared" si="39"/>
        <v>4.9289279581529479</v>
      </c>
      <c r="AX25" s="95">
        <f t="shared" si="39"/>
        <v>104.56706148988872</v>
      </c>
      <c r="AY25" s="95">
        <f t="shared" si="39"/>
        <v>34.681803948568621</v>
      </c>
      <c r="AZ25" s="95">
        <f t="shared" si="39"/>
        <v>3.7067291408942395</v>
      </c>
      <c r="BA25" s="95">
        <f t="shared" si="39"/>
        <v>4.9289279581529479</v>
      </c>
      <c r="BB25" s="95">
        <f>IF(BQ25="Incineration",0,AN25)</f>
        <v>33.505803401315163</v>
      </c>
      <c r="BC25" s="95">
        <f>IF(BQ25="Incineration",AV25,0)</f>
        <v>0</v>
      </c>
      <c r="BD25" s="95">
        <f>IF(BQ25="Incineration",AW25,0)</f>
        <v>0</v>
      </c>
      <c r="BE25" s="95">
        <f>IF(BQ25="Incineration",AU25,AP25)</f>
        <v>281.10587201210046</v>
      </c>
      <c r="BF25" s="95">
        <f>IF(BQ25="Incineration",AT25,AO25)</f>
        <v>182.64350772335575</v>
      </c>
      <c r="BG25" s="95">
        <f>IF(BR25="Incineration",0,AQ25)</f>
        <v>0.55901970231834708</v>
      </c>
      <c r="BH25" s="95">
        <f>IF(BR25="Incineration",AZ25,0)</f>
        <v>0</v>
      </c>
      <c r="BI25" s="95">
        <f>IF(BR25="Incineration",BA25,0)</f>
        <v>0</v>
      </c>
      <c r="BJ25" s="95">
        <f>IF(BR25="Incineration",AY25,AS25)</f>
        <v>281.10587201210046</v>
      </c>
      <c r="BK25" s="95">
        <f>IF(BR25="Incineration",AX25,AR25)</f>
        <v>182.64350772335575</v>
      </c>
      <c r="BM25" s="95">
        <f>SUM(AN25:AP25)</f>
        <v>497.25518313677139</v>
      </c>
      <c r="BN25" s="95">
        <f>SUM(AQ25:AS25)</f>
        <v>464.3083994377746</v>
      </c>
      <c r="BO25" s="95">
        <f>SUM(AT25:AW25)</f>
        <v>426.84638115629105</v>
      </c>
      <c r="BP25" s="95">
        <f>SUM(AX25:BA25)</f>
        <v>147.88452253750449</v>
      </c>
      <c r="BQ25" s="44" t="str">
        <f>IF(MAX(BM25,BO25)=BM25,BM$10,BO$10)</f>
        <v>Landfill</v>
      </c>
      <c r="BR25" s="44" t="str">
        <f>IF(MAX(BN25,BP25)=BN25,BN$10,BP$10)</f>
        <v>Landfill</v>
      </c>
    </row>
    <row r="26" spans="3:70" ht="14.5" customHeight="1" x14ac:dyDescent="0.2">
      <c r="C26" s="8" t="str">
        <v>Costa Rica</v>
      </c>
      <c r="D26" s="56" t="str">
        <v>Latin America &amp; Caribbean</v>
      </c>
      <c r="E26" s="117" t="str">
        <v>Upper middle income</v>
      </c>
      <c r="F26" s="44">
        <v>35.214461777182052</v>
      </c>
      <c r="G26" s="44">
        <v>62.124424193596589</v>
      </c>
      <c r="H26" s="44">
        <v>7.8788428794197474</v>
      </c>
      <c r="I26" s="44">
        <v>0.58205721945755462</v>
      </c>
      <c r="J26" s="44">
        <v>62.124424193596589</v>
      </c>
      <c r="K26" s="44">
        <v>7.8788428794197474</v>
      </c>
      <c r="L26" s="44">
        <v>387.8046721268953</v>
      </c>
      <c r="M26" s="44">
        <v>0</v>
      </c>
      <c r="N26" s="44">
        <v>3.5441018368552055</v>
      </c>
      <c r="O26" s="44">
        <v>4.9289279581529488</v>
      </c>
      <c r="P26" s="44">
        <v>131.64968212689539</v>
      </c>
      <c r="Q26" s="44">
        <v>0</v>
      </c>
      <c r="R26" s="44">
        <v>3.5441018368552055</v>
      </c>
      <c r="S26" s="44">
        <v>4.9289279581529488</v>
      </c>
      <c r="T26" s="44">
        <f t="shared" si="7"/>
        <v>105.2177288501984</v>
      </c>
      <c r="U26" s="44">
        <f t="shared" si="8"/>
        <v>70.585324292473885</v>
      </c>
      <c r="V26" s="44">
        <f t="shared" si="9"/>
        <v>396.27770192190343</v>
      </c>
      <c r="W26" s="44">
        <f t="shared" si="10"/>
        <v>140.12271192190354</v>
      </c>
      <c r="X26" s="44" t="str">
        <f t="shared" si="11"/>
        <v>Incineration</v>
      </c>
      <c r="Y26" s="44" t="str">
        <f t="shared" si="12"/>
        <v>Incineration</v>
      </c>
      <c r="Z26" s="44">
        <f t="shared" si="13"/>
        <v>0</v>
      </c>
      <c r="AA26" s="44">
        <f t="shared" si="14"/>
        <v>3.5441018368552055</v>
      </c>
      <c r="AB26" s="44">
        <f t="shared" si="15"/>
        <v>4.9289279581529488</v>
      </c>
      <c r="AC26" s="44">
        <f t="shared" si="16"/>
        <v>0</v>
      </c>
      <c r="AD26" s="44">
        <f t="shared" si="17"/>
        <v>387.8046721268953</v>
      </c>
      <c r="AE26" s="44">
        <f t="shared" si="18"/>
        <v>0</v>
      </c>
      <c r="AF26" s="44">
        <f t="shared" si="19"/>
        <v>3.5441018368552055</v>
      </c>
      <c r="AG26" s="44">
        <f t="shared" si="20"/>
        <v>4.9289279581529488</v>
      </c>
      <c r="AH26" s="44">
        <f t="shared" si="21"/>
        <v>0</v>
      </c>
      <c r="AI26" s="44">
        <f t="shared" si="22"/>
        <v>131.64968212689539</v>
      </c>
      <c r="AJ26" s="185"/>
      <c r="AL26" s="92"/>
      <c r="AM26" s="13" t="s">
        <v>578</v>
      </c>
      <c r="AN26" s="95">
        <f t="shared" si="39"/>
        <v>25.301269253942426</v>
      </c>
      <c r="AO26" s="95">
        <f t="shared" si="39"/>
        <v>133.15434643663843</v>
      </c>
      <c r="AP26" s="95">
        <f t="shared" si="39"/>
        <v>27.969009013868494</v>
      </c>
      <c r="AQ26" s="95">
        <f t="shared" si="39"/>
        <v>0.41949533748763967</v>
      </c>
      <c r="AR26" s="95">
        <f t="shared" si="39"/>
        <v>133.15434643663843</v>
      </c>
      <c r="AS26" s="95">
        <f t="shared" si="39"/>
        <v>27.969009013868494</v>
      </c>
      <c r="AT26" s="95">
        <f t="shared" si="39"/>
        <v>382.85641067260394</v>
      </c>
      <c r="AU26" s="95">
        <f t="shared" si="39"/>
        <v>5.4123147170205073</v>
      </c>
      <c r="AV26" s="95">
        <f t="shared" si="39"/>
        <v>3.77077553445731</v>
      </c>
      <c r="AW26" s="95">
        <f t="shared" si="39"/>
        <v>4.9289279581529497</v>
      </c>
      <c r="AX26" s="95">
        <f t="shared" si="39"/>
        <v>111.47473067791294</v>
      </c>
      <c r="AY26" s="95">
        <f t="shared" si="39"/>
        <v>5.4123147170205073</v>
      </c>
      <c r="AZ26" s="95">
        <f t="shared" si="39"/>
        <v>3.77077553445731</v>
      </c>
      <c r="BA26" s="95">
        <f t="shared" si="39"/>
        <v>4.9289279581529497</v>
      </c>
      <c r="BB26" s="95">
        <f t="shared" ref="BB26:BB27" si="40">IF(BQ26="Incineration",0,AN26)</f>
        <v>0</v>
      </c>
      <c r="BC26" s="95">
        <f t="shared" ref="BC26:BC27" si="41">IF(BQ26="Incineration",AV26,0)</f>
        <v>3.77077553445731</v>
      </c>
      <c r="BD26" s="95">
        <f t="shared" ref="BD26:BD27" si="42">IF(BQ26="Incineration",AW26,0)</f>
        <v>4.9289279581529497</v>
      </c>
      <c r="BE26" s="95">
        <f t="shared" ref="BE26:BE27" si="43">IF(BQ26="Incineration",AU26,AP26)</f>
        <v>5.4123147170205073</v>
      </c>
      <c r="BF26" s="95">
        <f t="shared" ref="BF26:BF27" si="44">IF(BQ26="Incineration",AT26,AO26)</f>
        <v>382.85641067260394</v>
      </c>
      <c r="BG26" s="95">
        <f t="shared" ref="BG26:BG27" si="45">IF(BR26="Incineration",0,AQ26)</f>
        <v>0.41949533748763967</v>
      </c>
      <c r="BH26" s="95">
        <f t="shared" ref="BH26:BH27" si="46">IF(BR26="Incineration",AZ26,0)</f>
        <v>0</v>
      </c>
      <c r="BI26" s="95">
        <f t="shared" ref="BI26:BI27" si="47">IF(BR26="Incineration",BA26,0)</f>
        <v>0</v>
      </c>
      <c r="BJ26" s="95">
        <f t="shared" ref="BJ26:BJ27" si="48">IF(BR26="Incineration",AY26,AS26)</f>
        <v>27.969009013868494</v>
      </c>
      <c r="BK26" s="95">
        <f t="shared" ref="BK26:BK27" si="49">IF(BR26="Incineration",AX26,AR26)</f>
        <v>133.15434643663843</v>
      </c>
      <c r="BM26" s="95">
        <f t="shared" ref="BM26:BM27" si="50">SUM(AN26:AP26)</f>
        <v>186.42462470444934</v>
      </c>
      <c r="BN26" s="95">
        <f t="shared" ref="BN26:BN27" si="51">SUM(AQ26:AS26)</f>
        <v>161.54285078799455</v>
      </c>
      <c r="BO26" s="95">
        <f t="shared" ref="BO26:BO27" si="52">SUM(AT26:AW26)</f>
        <v>396.96842888223472</v>
      </c>
      <c r="BP26" s="95">
        <f t="shared" ref="BP26:BP27" si="53">SUM(AX26:BA26)</f>
        <v>125.58674888754372</v>
      </c>
      <c r="BQ26" s="44" t="str">
        <f t="shared" ref="BQ26:BQ27" si="54">IF(MAX(BM26,BO26)=BM26,BM$10,BO$10)</f>
        <v>Incineration</v>
      </c>
      <c r="BR26" s="44" t="str">
        <f t="shared" ref="BR26:BR27" si="55">IF(MAX(BN26,BP26)=BN26,BN$10,BP$10)</f>
        <v>Landfill</v>
      </c>
    </row>
    <row r="27" spans="3:70" ht="14.5" customHeight="1" x14ac:dyDescent="0.2">
      <c r="C27" s="8" t="str">
        <v>Czechia</v>
      </c>
      <c r="D27" s="56" t="str">
        <v>Europe &amp; Central Asia</v>
      </c>
      <c r="E27" s="117" t="str">
        <v>High income</v>
      </c>
      <c r="F27" s="44">
        <v>60.358476995655671</v>
      </c>
      <c r="G27" s="44">
        <v>187.00281170809052</v>
      </c>
      <c r="H27" s="44">
        <v>41.903917860622528</v>
      </c>
      <c r="I27" s="44">
        <v>0.99824573761517066</v>
      </c>
      <c r="J27" s="44">
        <v>187.00281170809052</v>
      </c>
      <c r="K27" s="44">
        <v>41.903917860622528</v>
      </c>
      <c r="L27" s="44">
        <v>382.15703629082719</v>
      </c>
      <c r="M27" s="44">
        <v>27.704199088345199</v>
      </c>
      <c r="N27" s="44">
        <v>3.4453626163710207</v>
      </c>
      <c r="O27" s="44">
        <v>4.9289279581529488</v>
      </c>
      <c r="P27" s="44">
        <v>68.155561517172842</v>
      </c>
      <c r="Q27" s="44">
        <v>27.704199088345199</v>
      </c>
      <c r="R27" s="44">
        <v>3.4453626163710207</v>
      </c>
      <c r="S27" s="44">
        <v>4.9289279581529488</v>
      </c>
      <c r="T27" s="44">
        <f t="shared" si="7"/>
        <v>289.26520656436873</v>
      </c>
      <c r="U27" s="44">
        <f t="shared" si="8"/>
        <v>229.90497530632823</v>
      </c>
      <c r="V27" s="44">
        <f t="shared" si="9"/>
        <v>418.23552595369637</v>
      </c>
      <c r="W27" s="44">
        <f t="shared" si="10"/>
        <v>104.234051180042</v>
      </c>
      <c r="X27" s="44" t="str">
        <f t="shared" si="11"/>
        <v>Incineration</v>
      </c>
      <c r="Y27" s="44" t="str">
        <f t="shared" si="12"/>
        <v>Landfill</v>
      </c>
      <c r="Z27" s="44">
        <f t="shared" si="13"/>
        <v>0</v>
      </c>
      <c r="AA27" s="44">
        <f t="shared" si="14"/>
        <v>3.4453626163710207</v>
      </c>
      <c r="AB27" s="44">
        <f t="shared" si="15"/>
        <v>4.9289279581529488</v>
      </c>
      <c r="AC27" s="44">
        <f t="shared" si="16"/>
        <v>27.704199088345199</v>
      </c>
      <c r="AD27" s="44">
        <f t="shared" si="17"/>
        <v>382.15703629082719</v>
      </c>
      <c r="AE27" s="44">
        <f t="shared" si="18"/>
        <v>0.99824573761517066</v>
      </c>
      <c r="AF27" s="44">
        <f t="shared" si="19"/>
        <v>0</v>
      </c>
      <c r="AG27" s="44">
        <f t="shared" si="20"/>
        <v>0</v>
      </c>
      <c r="AH27" s="44">
        <f t="shared" si="21"/>
        <v>41.903917860622528</v>
      </c>
      <c r="AI27" s="44">
        <f t="shared" si="22"/>
        <v>187.00281170809052</v>
      </c>
      <c r="AJ27" s="185"/>
      <c r="AL27" s="92"/>
      <c r="AM27" s="13" t="s">
        <v>580</v>
      </c>
      <c r="AN27" s="95">
        <f t="shared" si="39"/>
        <v>17.694405745797837</v>
      </c>
      <c r="AO27" s="95">
        <f t="shared" si="39"/>
        <v>176.82681980695037</v>
      </c>
      <c r="AP27" s="95">
        <f t="shared" si="39"/>
        <v>75.763569801914727</v>
      </c>
      <c r="AQ27" s="95">
        <f t="shared" si="39"/>
        <v>0.29177087502263477</v>
      </c>
      <c r="AR27" s="95">
        <f t="shared" si="39"/>
        <v>176.82681980695037</v>
      </c>
      <c r="AS27" s="95">
        <f t="shared" si="39"/>
        <v>75.763569801914727</v>
      </c>
      <c r="AT27" s="95">
        <f t="shared" si="39"/>
        <v>384.91610977958385</v>
      </c>
      <c r="AU27" s="95">
        <f t="shared" si="39"/>
        <v>6.0138767621900016</v>
      </c>
      <c r="AV27" s="95">
        <f t="shared" si="39"/>
        <v>11.208649801109313</v>
      </c>
      <c r="AW27" s="95">
        <f t="shared" si="39"/>
        <v>4.9289279581529479</v>
      </c>
      <c r="AX27" s="95">
        <f t="shared" si="39"/>
        <v>116.3870182402672</v>
      </c>
      <c r="AY27" s="95">
        <f t="shared" si="39"/>
        <v>6.0138767621900016</v>
      </c>
      <c r="AZ27" s="95">
        <f t="shared" si="39"/>
        <v>11.208649801109313</v>
      </c>
      <c r="BA27" s="95">
        <f t="shared" si="39"/>
        <v>4.9289279581529479</v>
      </c>
      <c r="BB27" s="95">
        <f t="shared" si="40"/>
        <v>0</v>
      </c>
      <c r="BC27" s="95">
        <f t="shared" si="41"/>
        <v>11.208649801109313</v>
      </c>
      <c r="BD27" s="95">
        <f t="shared" si="42"/>
        <v>4.9289279581529479</v>
      </c>
      <c r="BE27" s="95">
        <f t="shared" si="43"/>
        <v>6.0138767621900016</v>
      </c>
      <c r="BF27" s="95">
        <f t="shared" si="44"/>
        <v>384.91610977958385</v>
      </c>
      <c r="BG27" s="95">
        <f t="shared" si="45"/>
        <v>0.29177087502263477</v>
      </c>
      <c r="BH27" s="95">
        <f t="shared" si="46"/>
        <v>0</v>
      </c>
      <c r="BI27" s="95">
        <f t="shared" si="47"/>
        <v>0</v>
      </c>
      <c r="BJ27" s="95">
        <f t="shared" si="48"/>
        <v>75.763569801914727</v>
      </c>
      <c r="BK27" s="95">
        <f t="shared" si="49"/>
        <v>176.82681980695037</v>
      </c>
      <c r="BM27" s="95">
        <f t="shared" si="50"/>
        <v>270.28479535466295</v>
      </c>
      <c r="BN27" s="95">
        <f t="shared" si="51"/>
        <v>252.88216048388773</v>
      </c>
      <c r="BO27" s="95">
        <f t="shared" si="52"/>
        <v>407.0675643010361</v>
      </c>
      <c r="BP27" s="95">
        <f t="shared" si="53"/>
        <v>138.53847276171945</v>
      </c>
      <c r="BQ27" s="44" t="str">
        <f t="shared" si="54"/>
        <v>Incineration</v>
      </c>
      <c r="BR27" s="44" t="str">
        <f t="shared" si="55"/>
        <v>Landfill</v>
      </c>
    </row>
    <row r="28" spans="3:70" ht="14.5" customHeight="1" x14ac:dyDescent="0.2">
      <c r="C28" s="8" t="str">
        <v>Denmark</v>
      </c>
      <c r="D28" s="56" t="str">
        <v>Europe &amp; Central Asia</v>
      </c>
      <c r="E28" s="117" t="str">
        <v>High income</v>
      </c>
      <c r="F28" s="44">
        <v>10.116811423629924</v>
      </c>
      <c r="G28" s="44">
        <v>187.00281170809052</v>
      </c>
      <c r="H28" s="44">
        <v>4055.1048676593637</v>
      </c>
      <c r="I28" s="44">
        <v>0.17179491096730062</v>
      </c>
      <c r="J28" s="44">
        <v>187.00281170809052</v>
      </c>
      <c r="K28" s="44">
        <v>4055.1048676593637</v>
      </c>
      <c r="L28" s="44">
        <v>387.75977198089089</v>
      </c>
      <c r="M28" s="44">
        <v>36.767307223732864</v>
      </c>
      <c r="N28" s="44">
        <v>3.2639434914007102</v>
      </c>
      <c r="O28" s="44">
        <v>4.9289279581529488</v>
      </c>
      <c r="P28" s="44">
        <v>103.12407198710913</v>
      </c>
      <c r="Q28" s="44">
        <v>36.767307223732864</v>
      </c>
      <c r="R28" s="44">
        <v>3.2639434914007102</v>
      </c>
      <c r="S28" s="44">
        <v>4.9289279581529488</v>
      </c>
      <c r="T28" s="44">
        <f t="shared" si="7"/>
        <v>4252.2244907910845</v>
      </c>
      <c r="U28" s="44">
        <f t="shared" si="8"/>
        <v>4242.2794742784217</v>
      </c>
      <c r="V28" s="44">
        <f t="shared" si="9"/>
        <v>432.71995065417741</v>
      </c>
      <c r="W28" s="44">
        <f t="shared" si="10"/>
        <v>148.08425066039564</v>
      </c>
      <c r="X28" s="44" t="str">
        <f t="shared" si="11"/>
        <v>Landfill</v>
      </c>
      <c r="Y28" s="44" t="str">
        <f t="shared" si="12"/>
        <v>Landfill</v>
      </c>
      <c r="Z28" s="44">
        <f t="shared" si="13"/>
        <v>10.116811423629924</v>
      </c>
      <c r="AA28" s="44">
        <f t="shared" si="14"/>
        <v>0</v>
      </c>
      <c r="AB28" s="44">
        <f t="shared" si="15"/>
        <v>0</v>
      </c>
      <c r="AC28" s="44">
        <f t="shared" si="16"/>
        <v>4055.1048676593637</v>
      </c>
      <c r="AD28" s="44">
        <f t="shared" si="17"/>
        <v>187.00281170809052</v>
      </c>
      <c r="AE28" s="44">
        <f t="shared" si="18"/>
        <v>0.17179491096730062</v>
      </c>
      <c r="AF28" s="44">
        <f t="shared" si="19"/>
        <v>0</v>
      </c>
      <c r="AG28" s="44">
        <f t="shared" si="20"/>
        <v>0</v>
      </c>
      <c r="AH28" s="44">
        <f t="shared" si="21"/>
        <v>4055.1048676593637</v>
      </c>
      <c r="AI28" s="44">
        <f t="shared" si="22"/>
        <v>187.00281170809052</v>
      </c>
      <c r="AJ28" s="185"/>
    </row>
    <row r="29" spans="3:70" ht="14.5" customHeight="1" x14ac:dyDescent="0.2">
      <c r="C29" s="8" t="str">
        <v>Dominican Republic</v>
      </c>
      <c r="D29" s="56" t="str">
        <v>Latin America &amp; Caribbean</v>
      </c>
      <c r="E29" s="117" t="str">
        <v>Upper middle income</v>
      </c>
      <c r="F29" s="44">
        <v>33.115902429738242</v>
      </c>
      <c r="G29" s="44">
        <v>191.51208825999299</v>
      </c>
      <c r="H29" s="44">
        <v>14.495418884780062</v>
      </c>
      <c r="I29" s="44">
        <v>0.547370288094847</v>
      </c>
      <c r="J29" s="44">
        <v>191.51208825999299</v>
      </c>
      <c r="K29" s="44">
        <v>14.495418884780062</v>
      </c>
      <c r="L29" s="44">
        <v>381.30462167204018</v>
      </c>
      <c r="M29" s="44">
        <v>7.9203667051473641</v>
      </c>
      <c r="N29" s="44">
        <v>3.7269606165335363</v>
      </c>
      <c r="O29" s="44">
        <v>4.9289279581529488</v>
      </c>
      <c r="P29" s="44">
        <v>125.14963167204023</v>
      </c>
      <c r="Q29" s="44">
        <v>7.9203667051473641</v>
      </c>
      <c r="R29" s="44">
        <v>3.7269606165335363</v>
      </c>
      <c r="S29" s="44">
        <v>4.9289279581529488</v>
      </c>
      <c r="T29" s="44">
        <f t="shared" si="7"/>
        <v>239.1234095745113</v>
      </c>
      <c r="U29" s="44">
        <f t="shared" si="8"/>
        <v>206.5548774328679</v>
      </c>
      <c r="V29" s="44">
        <f t="shared" si="9"/>
        <v>397.88087695187403</v>
      </c>
      <c r="W29" s="44">
        <f t="shared" si="10"/>
        <v>141.72588695187409</v>
      </c>
      <c r="X29" s="44" t="str">
        <f t="shared" si="11"/>
        <v>Incineration</v>
      </c>
      <c r="Y29" s="44" t="str">
        <f t="shared" si="12"/>
        <v>Landfill</v>
      </c>
      <c r="Z29" s="44">
        <f t="shared" si="13"/>
        <v>0</v>
      </c>
      <c r="AA29" s="44">
        <f t="shared" si="14"/>
        <v>3.7269606165335363</v>
      </c>
      <c r="AB29" s="44">
        <f t="shared" si="15"/>
        <v>4.9289279581529488</v>
      </c>
      <c r="AC29" s="44">
        <f t="shared" si="16"/>
        <v>7.9203667051473641</v>
      </c>
      <c r="AD29" s="44">
        <f t="shared" si="17"/>
        <v>381.30462167204018</v>
      </c>
      <c r="AE29" s="44">
        <f t="shared" si="18"/>
        <v>0.547370288094847</v>
      </c>
      <c r="AF29" s="44">
        <f t="shared" si="19"/>
        <v>0</v>
      </c>
      <c r="AG29" s="44">
        <f t="shared" si="20"/>
        <v>0</v>
      </c>
      <c r="AH29" s="44">
        <f t="shared" si="21"/>
        <v>14.495418884780062</v>
      </c>
      <c r="AI29" s="44">
        <f t="shared" si="22"/>
        <v>191.51208825999299</v>
      </c>
      <c r="AJ29" s="185"/>
    </row>
    <row r="30" spans="3:70" ht="14.5" customHeight="1" x14ac:dyDescent="0.25">
      <c r="C30" s="8" t="str">
        <v>Ecuador</v>
      </c>
      <c r="D30" s="56" t="str">
        <v>Latin America &amp; Caribbean</v>
      </c>
      <c r="E30" s="117" t="str">
        <v>Upper middle income</v>
      </c>
      <c r="F30" s="44">
        <v>12.385967406230321</v>
      </c>
      <c r="G30" s="44">
        <v>89.04431585911496</v>
      </c>
      <c r="H30" s="44">
        <v>3.3081813672020712</v>
      </c>
      <c r="I30" s="44">
        <v>0.20875225965556721</v>
      </c>
      <c r="J30" s="44">
        <v>89.04431585911496</v>
      </c>
      <c r="K30" s="44">
        <v>3.3081813672020712</v>
      </c>
      <c r="L30" s="44">
        <v>386.11858253095892</v>
      </c>
      <c r="M30" s="44">
        <v>2.5583269239696023</v>
      </c>
      <c r="N30" s="44">
        <v>3.2961811477410645</v>
      </c>
      <c r="O30" s="44">
        <v>4.9289279581529488</v>
      </c>
      <c r="P30" s="44">
        <v>129.96359253095895</v>
      </c>
      <c r="Q30" s="44">
        <v>2.5583269239696023</v>
      </c>
      <c r="R30" s="44">
        <v>3.2961811477410645</v>
      </c>
      <c r="S30" s="44">
        <v>4.9289279581529488</v>
      </c>
      <c r="T30" s="44">
        <f t="shared" si="7"/>
        <v>104.73846463254735</v>
      </c>
      <c r="U30" s="44">
        <f t="shared" si="8"/>
        <v>92.561249485972596</v>
      </c>
      <c r="V30" s="44">
        <f t="shared" si="9"/>
        <v>396.90201856082251</v>
      </c>
      <c r="W30" s="44">
        <f t="shared" si="10"/>
        <v>140.74702856082254</v>
      </c>
      <c r="X30" s="44" t="str">
        <f t="shared" si="11"/>
        <v>Incineration</v>
      </c>
      <c r="Y30" s="44" t="str">
        <f t="shared" si="12"/>
        <v>Incineration</v>
      </c>
      <c r="Z30" s="44">
        <f t="shared" si="13"/>
        <v>0</v>
      </c>
      <c r="AA30" s="44">
        <f t="shared" si="14"/>
        <v>3.2961811477410645</v>
      </c>
      <c r="AB30" s="44">
        <f t="shared" si="15"/>
        <v>4.9289279581529488</v>
      </c>
      <c r="AC30" s="44">
        <f t="shared" si="16"/>
        <v>2.5583269239696023</v>
      </c>
      <c r="AD30" s="44">
        <f t="shared" si="17"/>
        <v>386.11858253095892</v>
      </c>
      <c r="AE30" s="44">
        <f t="shared" si="18"/>
        <v>0</v>
      </c>
      <c r="AF30" s="44">
        <f t="shared" si="19"/>
        <v>3.2961811477410645</v>
      </c>
      <c r="AG30" s="44">
        <f t="shared" si="20"/>
        <v>4.9289279581529488</v>
      </c>
      <c r="AH30" s="44">
        <f t="shared" si="21"/>
        <v>2.5583269239696023</v>
      </c>
      <c r="AI30" s="44">
        <f t="shared" si="22"/>
        <v>129.96359253095895</v>
      </c>
      <c r="AJ30" s="185"/>
      <c r="AL30" s="118" t="s">
        <v>583</v>
      </c>
    </row>
    <row r="31" spans="3:70" ht="14.5" customHeight="1" x14ac:dyDescent="0.2">
      <c r="C31" s="8" t="str">
        <v>Egypt, Arab Rep.</v>
      </c>
      <c r="D31" s="56" t="str">
        <v>Middle East &amp; North Africa</v>
      </c>
      <c r="E31" s="117" t="str">
        <v>Lower middle income</v>
      </c>
      <c r="F31" s="44">
        <v>24.419599679346106</v>
      </c>
      <c r="G31" s="44">
        <v>183.05003240919942</v>
      </c>
      <c r="H31" s="44">
        <v>1.8717433551975107</v>
      </c>
      <c r="I31" s="44">
        <v>0.40362974676605134</v>
      </c>
      <c r="J31" s="44">
        <v>183.05003240919942</v>
      </c>
      <c r="K31" s="44">
        <v>1.8717433551975107</v>
      </c>
      <c r="L31" s="44">
        <v>385.16040491833468</v>
      </c>
      <c r="M31" s="44">
        <v>1.8717433551975111</v>
      </c>
      <c r="N31" s="44">
        <v>4.2083183931999297</v>
      </c>
      <c r="O31" s="44">
        <v>4.9289279581529488</v>
      </c>
      <c r="P31" s="44">
        <v>129.00541491833468</v>
      </c>
      <c r="Q31" s="44">
        <v>1.8717433551975111</v>
      </c>
      <c r="R31" s="44">
        <v>4.2083183931999297</v>
      </c>
      <c r="S31" s="44">
        <v>4.9289279581529488</v>
      </c>
      <c r="T31" s="44">
        <f t="shared" si="7"/>
        <v>209.34137544374303</v>
      </c>
      <c r="U31" s="44">
        <f t="shared" si="8"/>
        <v>185.32540551116298</v>
      </c>
      <c r="V31" s="44">
        <f t="shared" si="9"/>
        <v>396.16939462488506</v>
      </c>
      <c r="W31" s="44">
        <f t="shared" si="10"/>
        <v>140.01440462488506</v>
      </c>
      <c r="X31" s="44" t="str">
        <f t="shared" si="11"/>
        <v>Incineration</v>
      </c>
      <c r="Y31" s="44" t="str">
        <f t="shared" si="12"/>
        <v>Landfill</v>
      </c>
      <c r="Z31" s="44">
        <f t="shared" si="13"/>
        <v>0</v>
      </c>
      <c r="AA31" s="44">
        <f t="shared" si="14"/>
        <v>4.2083183931999297</v>
      </c>
      <c r="AB31" s="44">
        <f t="shared" si="15"/>
        <v>4.9289279581529488</v>
      </c>
      <c r="AC31" s="44">
        <f t="shared" si="16"/>
        <v>1.8717433551975111</v>
      </c>
      <c r="AD31" s="44">
        <f t="shared" si="17"/>
        <v>385.16040491833468</v>
      </c>
      <c r="AE31" s="44">
        <f t="shared" si="18"/>
        <v>0.40362974676605134</v>
      </c>
      <c r="AF31" s="44">
        <f t="shared" si="19"/>
        <v>0</v>
      </c>
      <c r="AG31" s="44">
        <f t="shared" si="20"/>
        <v>0</v>
      </c>
      <c r="AH31" s="44">
        <f t="shared" si="21"/>
        <v>1.8717433551975107</v>
      </c>
      <c r="AI31" s="44">
        <f t="shared" si="22"/>
        <v>183.05003240919942</v>
      </c>
      <c r="AJ31" s="185"/>
    </row>
    <row r="32" spans="3:70" ht="14.5" customHeight="1" x14ac:dyDescent="0.2">
      <c r="C32" s="8" t="str">
        <v>Estonia</v>
      </c>
      <c r="D32" s="56" t="str">
        <v>Europe &amp; Central Asia</v>
      </c>
      <c r="E32" s="117" t="str">
        <v>High income</v>
      </c>
      <c r="F32" s="44">
        <v>33.600442071705643</v>
      </c>
      <c r="G32" s="44">
        <v>187.00281170809052</v>
      </c>
      <c r="H32" s="44">
        <v>7.3486713827829089</v>
      </c>
      <c r="I32" s="44">
        <v>0.56578063969538717</v>
      </c>
      <c r="J32" s="44">
        <v>187.00281170809052</v>
      </c>
      <c r="K32" s="44">
        <v>7.3486713827829089</v>
      </c>
      <c r="L32" s="44">
        <v>387.78895432003696</v>
      </c>
      <c r="M32" s="44">
        <v>5.8051213687625154</v>
      </c>
      <c r="N32" s="44">
        <v>2.5811743565849707</v>
      </c>
      <c r="O32" s="44">
        <v>4.9289279581529488</v>
      </c>
      <c r="P32" s="44">
        <v>62.298417359963082</v>
      </c>
      <c r="Q32" s="44">
        <v>5.8051213687625154</v>
      </c>
      <c r="R32" s="44">
        <v>2.5811743565849707</v>
      </c>
      <c r="S32" s="44">
        <v>4.9289279581529488</v>
      </c>
      <c r="T32" s="44">
        <f t="shared" si="7"/>
        <v>227.95192516257904</v>
      </c>
      <c r="U32" s="44">
        <f t="shared" si="8"/>
        <v>194.91726373056881</v>
      </c>
      <c r="V32" s="44">
        <f t="shared" si="9"/>
        <v>401.10417800353741</v>
      </c>
      <c r="W32" s="44">
        <f t="shared" si="10"/>
        <v>75.613641043463517</v>
      </c>
      <c r="X32" s="44" t="str">
        <f t="shared" si="11"/>
        <v>Incineration</v>
      </c>
      <c r="Y32" s="44" t="str">
        <f t="shared" si="12"/>
        <v>Landfill</v>
      </c>
      <c r="Z32" s="44">
        <f t="shared" si="13"/>
        <v>0</v>
      </c>
      <c r="AA32" s="44">
        <f t="shared" si="14"/>
        <v>2.5811743565849707</v>
      </c>
      <c r="AB32" s="44">
        <f t="shared" si="15"/>
        <v>4.9289279581529488</v>
      </c>
      <c r="AC32" s="44">
        <f t="shared" si="16"/>
        <v>5.8051213687625154</v>
      </c>
      <c r="AD32" s="44">
        <f t="shared" si="17"/>
        <v>387.78895432003696</v>
      </c>
      <c r="AE32" s="44">
        <f t="shared" si="18"/>
        <v>0.56578063969538717</v>
      </c>
      <c r="AF32" s="44">
        <f t="shared" si="19"/>
        <v>0</v>
      </c>
      <c r="AG32" s="44">
        <f t="shared" si="20"/>
        <v>0</v>
      </c>
      <c r="AH32" s="44">
        <f t="shared" si="21"/>
        <v>7.3486713827829089</v>
      </c>
      <c r="AI32" s="44">
        <f t="shared" si="22"/>
        <v>187.00281170809052</v>
      </c>
      <c r="AJ32" s="185"/>
      <c r="AK32" s="13" t="s">
        <v>28</v>
      </c>
      <c r="AL32" s="13" t="s">
        <v>579</v>
      </c>
      <c r="AM32" s="124" t="str">
        <f>AK32&amp;"_"&amp;AL32</f>
        <v>East Asia &amp; Pacific_High income</v>
      </c>
      <c r="AN32" s="119">
        <f t="shared" ref="AN32:AN45" si="56">AVERAGEIFS(F$14:F$75,_xlfn.ANCHORARRAY($D$14),$AK32,$E$14:$E$75,$AL32)</f>
        <v>44.443145199894367</v>
      </c>
      <c r="AO32" s="119">
        <f t="shared" ref="AO32:AO45" si="57">AVERAGEIFS(G$14:G$75,_xlfn.ANCHORARRAY($D$14),$AK32,$E$14:$E$75,$AL32)</f>
        <v>183.8442475693883</v>
      </c>
      <c r="AP32" s="119">
        <f t="shared" ref="AP32:AP45" si="58">AVERAGEIFS(H$14:H$75,_xlfn.ANCHORARRAY($D$14),$AK32,$E$14:$E$75,$AL32)</f>
        <v>105.92574003437052</v>
      </c>
      <c r="AQ32" s="119">
        <f t="shared" ref="AQ32:AQ45" si="59">AVERAGEIFS(I$14:I$75,_xlfn.ANCHORARRAY($D$14),$AK32,$E$14:$E$75,$AL32)</f>
        <v>0.74702806793375442</v>
      </c>
      <c r="AR32" s="119">
        <f t="shared" ref="AR32:AR45" si="60">AVERAGEIFS(J$14:J$75,_xlfn.ANCHORARRAY($D$14),$AK32,$E$14:$E$75,$AL32)</f>
        <v>183.8442475693883</v>
      </c>
      <c r="AS32" s="119">
        <f t="shared" ref="AS32:AS45" si="61">AVERAGEIFS(K$14:K$75,_xlfn.ANCHORARRAY($D$14),$AK32,$E$14:$E$75,$AL32)</f>
        <v>105.92574003437052</v>
      </c>
      <c r="AT32" s="119">
        <f t="shared" ref="AT32:AT45" si="62">AVERAGEIFS(L$14:L$75,_xlfn.ANCHORARRAY($D$14),$AK32,$E$14:$E$75,$AL32)</f>
        <v>369.66231455327676</v>
      </c>
      <c r="AU32" s="119">
        <f t="shared" ref="AU32:AU45" si="63">AVERAGEIFS(M$14:M$75,_xlfn.ANCHORARRAY($D$14),$AK32,$E$14:$E$75,$AL32)</f>
        <v>87.076870251981461</v>
      </c>
      <c r="AV32" s="119">
        <f t="shared" ref="AV32:AV45" si="64">AVERAGEIFS(N$14:N$75,_xlfn.ANCHORARRAY($D$14),$AK32,$E$14:$E$75,$AL32)</f>
        <v>2.6357425797782517</v>
      </c>
      <c r="AW32" s="119">
        <f t="shared" ref="AW32:AW45" si="65">AVERAGEIFS(O$14:O$75,_xlfn.ANCHORARRAY($D$14),$AK32,$E$14:$E$75,$AL32)</f>
        <v>4.9289279581529488</v>
      </c>
      <c r="AX32" s="119">
        <f t="shared" ref="AX32:AX45" si="66">AVERAGEIFS(P$14:P$75,_xlfn.ANCHORARRAY($D$14),$AK32,$E$14:$E$75,$AL32)</f>
        <v>113.50732455327682</v>
      </c>
      <c r="AY32" s="119">
        <f t="shared" ref="AY32:AY45" si="67">AVERAGEIFS(Q$14:Q$75,_xlfn.ANCHORARRAY($D$14),$AK32,$E$14:$E$75,$AL32)</f>
        <v>87.076870251981461</v>
      </c>
      <c r="AZ32" s="119">
        <f t="shared" ref="AZ32:AZ45" si="68">AVERAGEIFS(R$14:R$75,_xlfn.ANCHORARRAY($D$14),$AK32,$E$14:$E$75,$AL32)</f>
        <v>2.6357425797782517</v>
      </c>
      <c r="BA32" s="119">
        <f t="shared" ref="BA32:BA45" si="69">AVERAGEIFS(S$14:S$75,_xlfn.ANCHORARRAY($D$14),$AK32,$E$14:$E$75,$AL32)</f>
        <v>4.9289279581529488</v>
      </c>
      <c r="BB32" s="95">
        <f>IF(BQ32="Incineration",0,AN32)</f>
        <v>0</v>
      </c>
      <c r="BC32" s="95">
        <f>IF(BQ32="Incineration",AV32,0)</f>
        <v>2.6357425797782517</v>
      </c>
      <c r="BD32" s="95">
        <f>IF(BQ32="Incineration",AW32,0)</f>
        <v>4.9289279581529488</v>
      </c>
      <c r="BE32" s="95">
        <f>IF(BQ32="Incineration",AU32,AP32)</f>
        <v>87.076870251981461</v>
      </c>
      <c r="BF32" s="95">
        <f>IF(BQ32="Incineration",AT32,AO32)</f>
        <v>369.66231455327676</v>
      </c>
      <c r="BG32" s="95">
        <f>IF(BR32="Incineration",0,AQ32)</f>
        <v>0.74702806793375442</v>
      </c>
      <c r="BH32" s="95">
        <f>IF(BR32="Incineration",AZ32,0)</f>
        <v>0</v>
      </c>
      <c r="BI32" s="95">
        <f>IF(BR32="Incineration",BA32,0)</f>
        <v>0</v>
      </c>
      <c r="BJ32" s="95">
        <f>IF(BR32="Incineration",AY32,AS32)</f>
        <v>105.92574003437052</v>
      </c>
      <c r="BK32" s="95">
        <f>IF(BR32="Incineration",AX32,AR32)</f>
        <v>183.8442475693883</v>
      </c>
      <c r="BM32" s="95">
        <f t="shared" ref="BM32:BM45" si="70">SUM(AN32:AP32)</f>
        <v>334.2131328036532</v>
      </c>
      <c r="BN32" s="95">
        <f t="shared" ref="BN32:BN45" si="71">SUM(AQ32:AS32)</f>
        <v>290.51701567169255</v>
      </c>
      <c r="BO32" s="95">
        <f t="shared" ref="BO32:BO45" si="72">SUM(AT32:AW32)</f>
        <v>464.30385534318941</v>
      </c>
      <c r="BP32" s="95">
        <f t="shared" ref="BP32:BP45" si="73">SUM(AX32:BA32)</f>
        <v>208.14886534318947</v>
      </c>
      <c r="BQ32" s="44" t="str">
        <f t="shared" ref="BQ32:BQ45" si="74">IF(MAX(BM32,BO32)=BM32,BM$10,BO$10)</f>
        <v>Incineration</v>
      </c>
      <c r="BR32" s="44" t="str">
        <f t="shared" ref="BR32:BR45" si="75">IF(MAX(BN32,BP32)=BN32,BN$10,BP$10)</f>
        <v>Landfill</v>
      </c>
    </row>
    <row r="33" spans="3:70" ht="14.5" customHeight="1" x14ac:dyDescent="0.2">
      <c r="C33" s="8" t="str">
        <v>Finland</v>
      </c>
      <c r="D33" s="56" t="str">
        <v>Europe &amp; Central Asia</v>
      </c>
      <c r="E33" s="117" t="str">
        <v>High income</v>
      </c>
      <c r="F33" s="44">
        <v>4.7809890948482172</v>
      </c>
      <c r="G33" s="44">
        <v>187.00281170809052</v>
      </c>
      <c r="H33" s="44">
        <v>856.78539801614158</v>
      </c>
      <c r="I33" s="44">
        <v>7.7112727336261566E-2</v>
      </c>
      <c r="J33" s="44">
        <v>187.00281170809052</v>
      </c>
      <c r="K33" s="44">
        <v>856.78539801614158</v>
      </c>
      <c r="L33" s="44">
        <v>387.28226294343227</v>
      </c>
      <c r="M33" s="44">
        <v>4.9115271331125614</v>
      </c>
      <c r="N33" s="44">
        <v>3.0632758540748468</v>
      </c>
      <c r="O33" s="44">
        <v>4.9289279581529488</v>
      </c>
      <c r="P33" s="44">
        <v>113.73191406456775</v>
      </c>
      <c r="Q33" s="44">
        <v>4.9115271331125614</v>
      </c>
      <c r="R33" s="44">
        <v>3.0632758540748468</v>
      </c>
      <c r="S33" s="44">
        <v>4.9289279581529488</v>
      </c>
      <c r="T33" s="44">
        <f t="shared" si="7"/>
        <v>1048.5691988190804</v>
      </c>
      <c r="U33" s="44">
        <f t="shared" si="8"/>
        <v>1043.8653224515683</v>
      </c>
      <c r="V33" s="44">
        <f t="shared" si="9"/>
        <v>400.1859938887726</v>
      </c>
      <c r="W33" s="44">
        <f t="shared" si="10"/>
        <v>126.6356450099081</v>
      </c>
      <c r="X33" s="44" t="str">
        <f t="shared" si="11"/>
        <v>Landfill</v>
      </c>
      <c r="Y33" s="44" t="str">
        <f t="shared" si="12"/>
        <v>Landfill</v>
      </c>
      <c r="Z33" s="44">
        <f t="shared" si="13"/>
        <v>4.7809890948482172</v>
      </c>
      <c r="AA33" s="44">
        <f t="shared" si="14"/>
        <v>0</v>
      </c>
      <c r="AB33" s="44">
        <f t="shared" si="15"/>
        <v>0</v>
      </c>
      <c r="AC33" s="44">
        <f t="shared" si="16"/>
        <v>856.78539801614158</v>
      </c>
      <c r="AD33" s="44">
        <f t="shared" si="17"/>
        <v>187.00281170809052</v>
      </c>
      <c r="AE33" s="44">
        <f t="shared" si="18"/>
        <v>7.7112727336261566E-2</v>
      </c>
      <c r="AF33" s="44">
        <f t="shared" si="19"/>
        <v>0</v>
      </c>
      <c r="AG33" s="44">
        <f t="shared" si="20"/>
        <v>0</v>
      </c>
      <c r="AH33" s="44">
        <f t="shared" si="21"/>
        <v>856.78539801614158</v>
      </c>
      <c r="AI33" s="44">
        <f t="shared" si="22"/>
        <v>187.00281170809052</v>
      </c>
      <c r="AJ33" s="185"/>
      <c r="AK33" s="13" t="s">
        <v>28</v>
      </c>
      <c r="AL33" s="13" t="s">
        <v>578</v>
      </c>
      <c r="AM33" s="124" t="str">
        <f t="shared" ref="AM33:AM45" si="76">AK33&amp;"_"&amp;AL33</f>
        <v>East Asia &amp; Pacific_Upper middle income</v>
      </c>
      <c r="AN33" s="119">
        <f t="shared" si="56"/>
        <v>34.298020437149731</v>
      </c>
      <c r="AO33" s="119">
        <f t="shared" si="57"/>
        <v>181.37962313864892</v>
      </c>
      <c r="AP33" s="119">
        <f t="shared" si="58"/>
        <v>27.549263552056701</v>
      </c>
      <c r="AQ33" s="119">
        <f t="shared" si="59"/>
        <v>0.56631726229035517</v>
      </c>
      <c r="AR33" s="119">
        <f t="shared" si="60"/>
        <v>181.37962313864892</v>
      </c>
      <c r="AS33" s="119">
        <f t="shared" si="61"/>
        <v>27.549263552056701</v>
      </c>
      <c r="AT33" s="119">
        <f t="shared" si="62"/>
        <v>374.08105300516564</v>
      </c>
      <c r="AU33" s="119">
        <f t="shared" si="63"/>
        <v>17.323676083160976</v>
      </c>
      <c r="AV33" s="119">
        <f t="shared" si="64"/>
        <v>4.3699928165963389</v>
      </c>
      <c r="AW33" s="119">
        <f t="shared" si="65"/>
        <v>4.9289279581529488</v>
      </c>
      <c r="AX33" s="119">
        <f t="shared" si="66"/>
        <v>80.512983968132318</v>
      </c>
      <c r="AY33" s="119">
        <f t="shared" si="67"/>
        <v>17.323676083160976</v>
      </c>
      <c r="AZ33" s="119">
        <f t="shared" si="68"/>
        <v>4.3699928165963389</v>
      </c>
      <c r="BA33" s="119">
        <f t="shared" si="69"/>
        <v>4.9289279581529488</v>
      </c>
      <c r="BB33" s="95">
        <f t="shared" ref="BB33:BB45" si="77">IF(BQ33="Incineration",0,AN33)</f>
        <v>0</v>
      </c>
      <c r="BC33" s="95">
        <f t="shared" ref="BC33:BC45" si="78">IF(BQ33="Incineration",AV33,0)</f>
        <v>4.3699928165963389</v>
      </c>
      <c r="BD33" s="95">
        <f t="shared" ref="BD33:BD45" si="79">IF(BQ33="Incineration",AW33,0)</f>
        <v>4.9289279581529488</v>
      </c>
      <c r="BE33" s="95">
        <f t="shared" ref="BE33:BE45" si="80">IF(BQ33="Incineration",AU33,AP33)</f>
        <v>17.323676083160976</v>
      </c>
      <c r="BF33" s="95">
        <f t="shared" ref="BF33:BF45" si="81">IF(BQ33="Incineration",AT33,AO33)</f>
        <v>374.08105300516564</v>
      </c>
      <c r="BG33" s="95">
        <f t="shared" ref="BG33:BG45" si="82">IF(BR33="Incineration",0,AQ33)</f>
        <v>0.56631726229035517</v>
      </c>
      <c r="BH33" s="95">
        <f t="shared" ref="BH33:BH45" si="83">IF(BR33="Incineration",AZ33,0)</f>
        <v>0</v>
      </c>
      <c r="BI33" s="95">
        <f t="shared" ref="BI33:BI45" si="84">IF(BR33="Incineration",BA33,0)</f>
        <v>0</v>
      </c>
      <c r="BJ33" s="95">
        <f t="shared" ref="BJ33:BJ45" si="85">IF(BR33="Incineration",AY33,AS33)</f>
        <v>27.549263552056701</v>
      </c>
      <c r="BK33" s="95">
        <f t="shared" ref="BK33:BK45" si="86">IF(BR33="Incineration",AX33,AR33)</f>
        <v>181.37962313864892</v>
      </c>
      <c r="BM33" s="95">
        <f t="shared" si="70"/>
        <v>243.22690712785533</v>
      </c>
      <c r="BN33" s="95">
        <f t="shared" si="71"/>
        <v>209.49520395299601</v>
      </c>
      <c r="BO33" s="95">
        <f t="shared" si="72"/>
        <v>400.7036498630759</v>
      </c>
      <c r="BP33" s="95">
        <f t="shared" si="73"/>
        <v>107.13558082604258</v>
      </c>
      <c r="BQ33" s="44" t="str">
        <f t="shared" si="74"/>
        <v>Incineration</v>
      </c>
      <c r="BR33" s="44" t="str">
        <f t="shared" si="75"/>
        <v>Landfill</v>
      </c>
    </row>
    <row r="34" spans="3:70" ht="14.5" customHeight="1" x14ac:dyDescent="0.2">
      <c r="C34" s="8" t="str">
        <v>France</v>
      </c>
      <c r="D34" s="56" t="str">
        <v>Europe &amp; Central Asia</v>
      </c>
      <c r="E34" s="117" t="str">
        <v>High income</v>
      </c>
      <c r="F34" s="44">
        <v>7.6628161416315876</v>
      </c>
      <c r="G34" s="44">
        <v>187.00281170809052</v>
      </c>
      <c r="H34" s="44">
        <v>123.01730807765232</v>
      </c>
      <c r="I34" s="44">
        <v>0.13012329297110242</v>
      </c>
      <c r="J34" s="44">
        <v>187.00281170809052</v>
      </c>
      <c r="K34" s="44">
        <v>123.01730807765232</v>
      </c>
      <c r="L34" s="44">
        <v>386.47990188601875</v>
      </c>
      <c r="M34" s="44">
        <v>33.378829844420217</v>
      </c>
      <c r="N34" s="44">
        <v>1.0012756480094129</v>
      </c>
      <c r="O34" s="44">
        <v>4.9289279581529488</v>
      </c>
      <c r="P34" s="44">
        <v>121.81591210598123</v>
      </c>
      <c r="Q34" s="44">
        <v>33.378829844420217</v>
      </c>
      <c r="R34" s="44">
        <v>1.0012756480094129</v>
      </c>
      <c r="S34" s="44">
        <v>4.9289279581529488</v>
      </c>
      <c r="T34" s="44">
        <f t="shared" si="7"/>
        <v>317.68293592737444</v>
      </c>
      <c r="U34" s="44">
        <f t="shared" si="8"/>
        <v>310.15024307871391</v>
      </c>
      <c r="V34" s="44">
        <f t="shared" si="9"/>
        <v>425.78893533660136</v>
      </c>
      <c r="W34" s="44">
        <f t="shared" si="10"/>
        <v>161.1249455565638</v>
      </c>
      <c r="X34" s="44" t="str">
        <f t="shared" si="11"/>
        <v>Incineration</v>
      </c>
      <c r="Y34" s="44" t="str">
        <f t="shared" si="12"/>
        <v>Landfill</v>
      </c>
      <c r="Z34" s="44">
        <f t="shared" si="13"/>
        <v>0</v>
      </c>
      <c r="AA34" s="44">
        <f t="shared" si="14"/>
        <v>1.0012756480094129</v>
      </c>
      <c r="AB34" s="44">
        <f t="shared" si="15"/>
        <v>4.9289279581529488</v>
      </c>
      <c r="AC34" s="44">
        <f t="shared" si="16"/>
        <v>33.378829844420217</v>
      </c>
      <c r="AD34" s="44">
        <f t="shared" si="17"/>
        <v>386.47990188601875</v>
      </c>
      <c r="AE34" s="44">
        <f t="shared" si="18"/>
        <v>0.13012329297110242</v>
      </c>
      <c r="AF34" s="44">
        <f t="shared" si="19"/>
        <v>0</v>
      </c>
      <c r="AG34" s="44">
        <f t="shared" si="20"/>
        <v>0</v>
      </c>
      <c r="AH34" s="44">
        <f t="shared" si="21"/>
        <v>123.01730807765232</v>
      </c>
      <c r="AI34" s="44">
        <f t="shared" si="22"/>
        <v>187.00281170809052</v>
      </c>
      <c r="AJ34" s="185"/>
      <c r="AK34" s="13" t="s">
        <v>28</v>
      </c>
      <c r="AL34" s="13" t="s">
        <v>580</v>
      </c>
      <c r="AM34" s="124" t="str">
        <f t="shared" si="76"/>
        <v>East Asia &amp; Pacific_Lower middle income</v>
      </c>
      <c r="AN34" s="119">
        <f t="shared" si="56"/>
        <v>21.040892851983276</v>
      </c>
      <c r="AO34" s="119">
        <f t="shared" si="57"/>
        <v>185.01256757493803</v>
      </c>
      <c r="AP34" s="119">
        <f t="shared" si="58"/>
        <v>304.6771769642977</v>
      </c>
      <c r="AQ34" s="119">
        <f t="shared" si="59"/>
        <v>0.34423100460524525</v>
      </c>
      <c r="AR34" s="119">
        <f t="shared" si="60"/>
        <v>185.01256757493803</v>
      </c>
      <c r="AS34" s="119">
        <f t="shared" si="61"/>
        <v>304.6771769642977</v>
      </c>
      <c r="AT34" s="119">
        <f t="shared" si="62"/>
        <v>376.62670320349753</v>
      </c>
      <c r="AU34" s="119">
        <f t="shared" si="63"/>
        <v>23.80079428655403</v>
      </c>
      <c r="AV34" s="119">
        <f t="shared" si="64"/>
        <v>4.2989077809646146</v>
      </c>
      <c r="AW34" s="119">
        <f t="shared" si="65"/>
        <v>4.9289279581529488</v>
      </c>
      <c r="AX34" s="119">
        <f t="shared" si="66"/>
        <v>120.47171320349753</v>
      </c>
      <c r="AY34" s="119">
        <f t="shared" si="67"/>
        <v>23.80079428655403</v>
      </c>
      <c r="AZ34" s="119">
        <f t="shared" si="68"/>
        <v>4.2989077809646146</v>
      </c>
      <c r="BA34" s="119">
        <f t="shared" si="69"/>
        <v>4.9289279581529488</v>
      </c>
      <c r="BB34" s="95">
        <f t="shared" si="77"/>
        <v>21.040892851983276</v>
      </c>
      <c r="BC34" s="95">
        <f t="shared" si="78"/>
        <v>0</v>
      </c>
      <c r="BD34" s="95">
        <f t="shared" si="79"/>
        <v>0</v>
      </c>
      <c r="BE34" s="95">
        <f t="shared" si="80"/>
        <v>304.6771769642977</v>
      </c>
      <c r="BF34" s="95">
        <f t="shared" si="81"/>
        <v>185.01256757493803</v>
      </c>
      <c r="BG34" s="95">
        <f t="shared" si="82"/>
        <v>0.34423100460524525</v>
      </c>
      <c r="BH34" s="95">
        <f t="shared" si="83"/>
        <v>0</v>
      </c>
      <c r="BI34" s="95">
        <f t="shared" si="84"/>
        <v>0</v>
      </c>
      <c r="BJ34" s="95">
        <f t="shared" si="85"/>
        <v>304.6771769642977</v>
      </c>
      <c r="BK34" s="95">
        <f t="shared" si="86"/>
        <v>185.01256757493803</v>
      </c>
      <c r="BM34" s="95">
        <f t="shared" si="70"/>
        <v>510.73063739121903</v>
      </c>
      <c r="BN34" s="95">
        <f t="shared" si="71"/>
        <v>490.03397554384094</v>
      </c>
      <c r="BO34" s="95">
        <f t="shared" si="72"/>
        <v>409.65533322916912</v>
      </c>
      <c r="BP34" s="95">
        <f t="shared" si="73"/>
        <v>153.50034322916912</v>
      </c>
      <c r="BQ34" s="44" t="str">
        <f t="shared" si="74"/>
        <v>Landfill</v>
      </c>
      <c r="BR34" s="44" t="str">
        <f t="shared" si="75"/>
        <v>Landfill</v>
      </c>
    </row>
    <row r="35" spans="3:70" ht="14.5" customHeight="1" x14ac:dyDescent="0.2">
      <c r="C35" s="8" t="str">
        <v>Germany</v>
      </c>
      <c r="D35" s="56" t="str">
        <v>Europe &amp; Central Asia</v>
      </c>
      <c r="E35" s="117" t="str">
        <v>High income</v>
      </c>
      <c r="F35" s="44">
        <v>8.959450425139222</v>
      </c>
      <c r="G35" s="44">
        <v>187.00281170809052</v>
      </c>
      <c r="H35" s="44">
        <v>19.921034359002203</v>
      </c>
      <c r="I35" s="44">
        <v>0.15214161099293019</v>
      </c>
      <c r="J35" s="44">
        <v>187.00281170809052</v>
      </c>
      <c r="K35" s="44">
        <v>19.921034359002203</v>
      </c>
      <c r="L35" s="44">
        <v>383.89209214826758</v>
      </c>
      <c r="M35" s="44">
        <v>73.549514272475037</v>
      </c>
      <c r="N35" s="44">
        <v>3.0978954937676075</v>
      </c>
      <c r="O35" s="44">
        <v>4.9289279581529488</v>
      </c>
      <c r="P35" s="44">
        <v>76.083245763732407</v>
      </c>
      <c r="Q35" s="44">
        <v>73.549514272475037</v>
      </c>
      <c r="R35" s="44">
        <v>3.0978954937676075</v>
      </c>
      <c r="S35" s="44">
        <v>4.9289279581529488</v>
      </c>
      <c r="T35" s="44">
        <f t="shared" si="7"/>
        <v>215.88329649223192</v>
      </c>
      <c r="U35" s="44">
        <f t="shared" si="8"/>
        <v>207.07598767808565</v>
      </c>
      <c r="V35" s="44">
        <f t="shared" si="9"/>
        <v>465.46842987266319</v>
      </c>
      <c r="W35" s="44">
        <f t="shared" si="10"/>
        <v>157.65958348812799</v>
      </c>
      <c r="X35" s="44" t="str">
        <f t="shared" si="11"/>
        <v>Incineration</v>
      </c>
      <c r="Y35" s="44" t="str">
        <f t="shared" si="12"/>
        <v>Landfill</v>
      </c>
      <c r="Z35" s="44">
        <f t="shared" si="13"/>
        <v>0</v>
      </c>
      <c r="AA35" s="44">
        <f t="shared" si="14"/>
        <v>3.0978954937676075</v>
      </c>
      <c r="AB35" s="44">
        <f t="shared" si="15"/>
        <v>4.9289279581529488</v>
      </c>
      <c r="AC35" s="44">
        <f t="shared" si="16"/>
        <v>73.549514272475037</v>
      </c>
      <c r="AD35" s="44">
        <f t="shared" si="17"/>
        <v>383.89209214826758</v>
      </c>
      <c r="AE35" s="44">
        <f t="shared" si="18"/>
        <v>0.15214161099293019</v>
      </c>
      <c r="AF35" s="44">
        <f t="shared" si="19"/>
        <v>0</v>
      </c>
      <c r="AG35" s="44">
        <f t="shared" si="20"/>
        <v>0</v>
      </c>
      <c r="AH35" s="44">
        <f t="shared" si="21"/>
        <v>19.921034359002203</v>
      </c>
      <c r="AI35" s="44">
        <f t="shared" si="22"/>
        <v>187.00281170809052</v>
      </c>
      <c r="AJ35" s="185"/>
      <c r="AK35" s="13" t="s">
        <v>24</v>
      </c>
      <c r="AL35" s="13" t="s">
        <v>579</v>
      </c>
      <c r="AM35" s="124" t="str">
        <f t="shared" si="76"/>
        <v>Europe &amp; Central Asia_High income</v>
      </c>
      <c r="AN35" s="119">
        <f t="shared" si="56"/>
        <v>32.401299306692998</v>
      </c>
      <c r="AO35" s="119">
        <f t="shared" si="57"/>
        <v>185.85127347327975</v>
      </c>
      <c r="AP35" s="119">
        <f t="shared" si="58"/>
        <v>371.75902354309056</v>
      </c>
      <c r="AQ35" s="119">
        <f t="shared" si="59"/>
        <v>0.53910505368023443</v>
      </c>
      <c r="AR35" s="119">
        <f t="shared" si="60"/>
        <v>185.85127347327975</v>
      </c>
      <c r="AS35" s="119">
        <f t="shared" si="61"/>
        <v>371.75902354309056</v>
      </c>
      <c r="AT35" s="119">
        <f t="shared" si="62"/>
        <v>385.53377512854041</v>
      </c>
      <c r="AU35" s="119">
        <f t="shared" si="63"/>
        <v>25.640462448793837</v>
      </c>
      <c r="AV35" s="119">
        <f t="shared" si="64"/>
        <v>3.6681185273460932</v>
      </c>
      <c r="AW35" s="119">
        <f t="shared" si="65"/>
        <v>4.9289279581529506</v>
      </c>
      <c r="AX35" s="119">
        <f t="shared" si="66"/>
        <v>97.069054585259593</v>
      </c>
      <c r="AY35" s="119">
        <f t="shared" si="67"/>
        <v>25.640462448793837</v>
      </c>
      <c r="AZ35" s="119">
        <f t="shared" si="68"/>
        <v>3.6681185273460932</v>
      </c>
      <c r="BA35" s="119">
        <f t="shared" si="69"/>
        <v>4.9289279581529506</v>
      </c>
      <c r="BB35" s="95">
        <f t="shared" si="77"/>
        <v>32.401299306692998</v>
      </c>
      <c r="BC35" s="95">
        <f t="shared" si="78"/>
        <v>0</v>
      </c>
      <c r="BD35" s="95">
        <f t="shared" si="79"/>
        <v>0</v>
      </c>
      <c r="BE35" s="95">
        <f t="shared" si="80"/>
        <v>371.75902354309056</v>
      </c>
      <c r="BF35" s="95">
        <f t="shared" si="81"/>
        <v>185.85127347327975</v>
      </c>
      <c r="BG35" s="95">
        <f t="shared" si="82"/>
        <v>0.53910505368023443</v>
      </c>
      <c r="BH35" s="95">
        <f t="shared" si="83"/>
        <v>0</v>
      </c>
      <c r="BI35" s="95">
        <f t="shared" si="84"/>
        <v>0</v>
      </c>
      <c r="BJ35" s="95">
        <f t="shared" si="85"/>
        <v>371.75902354309056</v>
      </c>
      <c r="BK35" s="95">
        <f t="shared" si="86"/>
        <v>185.85127347327975</v>
      </c>
      <c r="BM35" s="95">
        <f t="shared" si="70"/>
        <v>590.01159632306326</v>
      </c>
      <c r="BN35" s="95">
        <f t="shared" si="71"/>
        <v>558.14940207005054</v>
      </c>
      <c r="BO35" s="95">
        <f t="shared" si="72"/>
        <v>419.77128406283327</v>
      </c>
      <c r="BP35" s="95">
        <f t="shared" si="73"/>
        <v>131.30656351955247</v>
      </c>
      <c r="BQ35" s="44" t="str">
        <f t="shared" si="74"/>
        <v>Landfill</v>
      </c>
      <c r="BR35" s="44" t="str">
        <f t="shared" si="75"/>
        <v>Landfill</v>
      </c>
    </row>
    <row r="36" spans="3:70" ht="14.5" customHeight="1" x14ac:dyDescent="0.2">
      <c r="C36" s="8" t="str">
        <v>Greece</v>
      </c>
      <c r="D36" s="56" t="str">
        <v>Europe &amp; Central Asia</v>
      </c>
      <c r="E36" s="117" t="str">
        <v>High income</v>
      </c>
      <c r="F36" s="44">
        <v>30.646849866171095</v>
      </c>
      <c r="G36" s="44">
        <v>178.32133445217278</v>
      </c>
      <c r="H36" s="44">
        <v>10.449559015227155</v>
      </c>
      <c r="I36" s="44">
        <v>0.5165199415646814</v>
      </c>
      <c r="J36" s="44">
        <v>178.32133445217278</v>
      </c>
      <c r="K36" s="44">
        <v>10.449559015227155</v>
      </c>
      <c r="L36" s="44">
        <v>384.15548500932306</v>
      </c>
      <c r="M36" s="44">
        <v>12.30253314292732</v>
      </c>
      <c r="N36" s="44">
        <v>4.2380325995413868</v>
      </c>
      <c r="O36" s="44">
        <v>4.9289279581529488</v>
      </c>
      <c r="P36" s="44">
        <v>81.963343070676942</v>
      </c>
      <c r="Q36" s="44">
        <v>12.30253314292732</v>
      </c>
      <c r="R36" s="44">
        <v>4.2380325995413868</v>
      </c>
      <c r="S36" s="44">
        <v>4.9289279581529488</v>
      </c>
      <c r="T36" s="44">
        <f t="shared" si="7"/>
        <v>219.41774333357102</v>
      </c>
      <c r="U36" s="44">
        <f t="shared" si="8"/>
        <v>189.28741340896462</v>
      </c>
      <c r="V36" s="44">
        <f t="shared" si="9"/>
        <v>405.62497870994468</v>
      </c>
      <c r="W36" s="44">
        <f t="shared" si="10"/>
        <v>103.4328367712986</v>
      </c>
      <c r="X36" s="44" t="str">
        <f t="shared" si="11"/>
        <v>Incineration</v>
      </c>
      <c r="Y36" s="44" t="str">
        <f t="shared" si="12"/>
        <v>Landfill</v>
      </c>
      <c r="Z36" s="44">
        <f t="shared" si="13"/>
        <v>0</v>
      </c>
      <c r="AA36" s="44">
        <f t="shared" si="14"/>
        <v>4.2380325995413868</v>
      </c>
      <c r="AB36" s="44">
        <f t="shared" si="15"/>
        <v>4.9289279581529488</v>
      </c>
      <c r="AC36" s="44">
        <f t="shared" si="16"/>
        <v>12.30253314292732</v>
      </c>
      <c r="AD36" s="44">
        <f t="shared" si="17"/>
        <v>384.15548500932306</v>
      </c>
      <c r="AE36" s="44">
        <f t="shared" si="18"/>
        <v>0.5165199415646814</v>
      </c>
      <c r="AF36" s="44">
        <f t="shared" si="19"/>
        <v>0</v>
      </c>
      <c r="AG36" s="44">
        <f t="shared" si="20"/>
        <v>0</v>
      </c>
      <c r="AH36" s="44">
        <f t="shared" si="21"/>
        <v>10.449559015227155</v>
      </c>
      <c r="AI36" s="44">
        <f t="shared" si="22"/>
        <v>178.32133445217278</v>
      </c>
      <c r="AJ36" s="185"/>
      <c r="AK36" s="13" t="s">
        <v>24</v>
      </c>
      <c r="AL36" s="13" t="s">
        <v>578</v>
      </c>
      <c r="AM36" s="124" t="str">
        <f t="shared" si="76"/>
        <v>Europe &amp; Central Asia_Upper middle income</v>
      </c>
      <c r="AN36" s="119">
        <f t="shared" si="56"/>
        <v>19.63003739407586</v>
      </c>
      <c r="AO36" s="119">
        <f t="shared" si="57"/>
        <v>187.00281170809052</v>
      </c>
      <c r="AP36" s="119">
        <f t="shared" si="58"/>
        <v>152.66999372239431</v>
      </c>
      <c r="AQ36" s="119">
        <f t="shared" si="59"/>
        <v>0.33005732005694194</v>
      </c>
      <c r="AR36" s="119">
        <f t="shared" si="60"/>
        <v>187.00281170809052</v>
      </c>
      <c r="AS36" s="119">
        <f t="shared" si="61"/>
        <v>152.66999372239431</v>
      </c>
      <c r="AT36" s="119">
        <f t="shared" si="62"/>
        <v>380.27773922168274</v>
      </c>
      <c r="AU36" s="119">
        <f t="shared" si="63"/>
        <v>4.5928298109575465</v>
      </c>
      <c r="AV36" s="119">
        <f t="shared" si="64"/>
        <v>3.6994518758026187</v>
      </c>
      <c r="AW36" s="119">
        <f t="shared" si="65"/>
        <v>4.9289279581529488</v>
      </c>
      <c r="AX36" s="119">
        <f t="shared" si="66"/>
        <v>94.874795267611404</v>
      </c>
      <c r="AY36" s="119">
        <f t="shared" si="67"/>
        <v>4.5928298109575465</v>
      </c>
      <c r="AZ36" s="119">
        <f t="shared" si="68"/>
        <v>3.6994518758026187</v>
      </c>
      <c r="BA36" s="119">
        <f t="shared" si="69"/>
        <v>4.9289279581529488</v>
      </c>
      <c r="BB36" s="95">
        <f t="shared" si="77"/>
        <v>0</v>
      </c>
      <c r="BC36" s="95">
        <f t="shared" si="78"/>
        <v>3.6994518758026187</v>
      </c>
      <c r="BD36" s="95">
        <f t="shared" si="79"/>
        <v>4.9289279581529488</v>
      </c>
      <c r="BE36" s="95">
        <f t="shared" si="80"/>
        <v>4.5928298109575465</v>
      </c>
      <c r="BF36" s="95">
        <f t="shared" si="81"/>
        <v>380.27773922168274</v>
      </c>
      <c r="BG36" s="95">
        <f t="shared" si="82"/>
        <v>0.33005732005694194</v>
      </c>
      <c r="BH36" s="95">
        <f t="shared" si="83"/>
        <v>0</v>
      </c>
      <c r="BI36" s="95">
        <f t="shared" si="84"/>
        <v>0</v>
      </c>
      <c r="BJ36" s="95">
        <f t="shared" si="85"/>
        <v>152.66999372239431</v>
      </c>
      <c r="BK36" s="95">
        <f t="shared" si="86"/>
        <v>187.00281170809052</v>
      </c>
      <c r="BM36" s="95">
        <f t="shared" si="70"/>
        <v>359.30284282456068</v>
      </c>
      <c r="BN36" s="95">
        <f t="shared" si="71"/>
        <v>340.00286275054179</v>
      </c>
      <c r="BO36" s="95">
        <f t="shared" si="72"/>
        <v>393.49894886659581</v>
      </c>
      <c r="BP36" s="95">
        <f t="shared" si="73"/>
        <v>108.09600491252452</v>
      </c>
      <c r="BQ36" s="44" t="str">
        <f t="shared" si="74"/>
        <v>Incineration</v>
      </c>
      <c r="BR36" s="44" t="str">
        <f t="shared" si="75"/>
        <v>Landfill</v>
      </c>
    </row>
    <row r="37" spans="3:70" ht="14.5" customHeight="1" x14ac:dyDescent="0.2">
      <c r="C37" s="8" t="str">
        <v>Guatemala</v>
      </c>
      <c r="D37" s="56" t="str">
        <v>Latin America &amp; Caribbean</v>
      </c>
      <c r="E37" s="117" t="str">
        <v>Upper middle income</v>
      </c>
      <c r="F37" s="44">
        <v>18.775746888872238</v>
      </c>
      <c r="G37" s="44">
        <v>162.06563864305602</v>
      </c>
      <c r="H37" s="44">
        <v>7.3200654279513495</v>
      </c>
      <c r="I37" s="44">
        <v>0.3103429237830122</v>
      </c>
      <c r="J37" s="44">
        <v>162.06563864305602</v>
      </c>
      <c r="K37" s="44">
        <v>7.3200654279513495</v>
      </c>
      <c r="L37" s="44">
        <v>387.35098223614142</v>
      </c>
      <c r="M37" s="44">
        <v>5.416848416684001</v>
      </c>
      <c r="N37" s="44">
        <v>3.4981462003857211</v>
      </c>
      <c r="O37" s="44">
        <v>4.9289279581529488</v>
      </c>
      <c r="P37" s="44">
        <v>85.6218069318586</v>
      </c>
      <c r="Q37" s="44">
        <v>5.416848416684001</v>
      </c>
      <c r="R37" s="44">
        <v>3.4981462003857211</v>
      </c>
      <c r="S37" s="44">
        <v>4.9289279581529488</v>
      </c>
      <c r="T37" s="44">
        <f t="shared" si="7"/>
        <v>188.16145095987963</v>
      </c>
      <c r="U37" s="44">
        <f t="shared" si="8"/>
        <v>169.69604699479041</v>
      </c>
      <c r="V37" s="44">
        <f t="shared" si="9"/>
        <v>401.1949048113641</v>
      </c>
      <c r="W37" s="44">
        <f t="shared" si="10"/>
        <v>99.465729507081278</v>
      </c>
      <c r="X37" s="44" t="str">
        <f t="shared" si="11"/>
        <v>Incineration</v>
      </c>
      <c r="Y37" s="44" t="str">
        <f t="shared" si="12"/>
        <v>Landfill</v>
      </c>
      <c r="Z37" s="44">
        <f t="shared" si="13"/>
        <v>0</v>
      </c>
      <c r="AA37" s="44">
        <f t="shared" si="14"/>
        <v>3.4981462003857211</v>
      </c>
      <c r="AB37" s="44">
        <f t="shared" si="15"/>
        <v>4.9289279581529488</v>
      </c>
      <c r="AC37" s="44">
        <f t="shared" si="16"/>
        <v>5.416848416684001</v>
      </c>
      <c r="AD37" s="44">
        <f t="shared" si="17"/>
        <v>387.35098223614142</v>
      </c>
      <c r="AE37" s="44">
        <f t="shared" si="18"/>
        <v>0.3103429237830122</v>
      </c>
      <c r="AF37" s="44">
        <f t="shared" si="19"/>
        <v>0</v>
      </c>
      <c r="AG37" s="44">
        <f t="shared" si="20"/>
        <v>0</v>
      </c>
      <c r="AH37" s="44">
        <f t="shared" si="21"/>
        <v>7.3200654279513495</v>
      </c>
      <c r="AI37" s="44">
        <f t="shared" si="22"/>
        <v>162.06563864305602</v>
      </c>
      <c r="AJ37" s="185"/>
      <c r="AK37" s="13" t="s">
        <v>24</v>
      </c>
      <c r="AL37" s="13" t="s">
        <v>580</v>
      </c>
      <c r="AM37" s="124" t="str">
        <f t="shared" si="76"/>
        <v>Europe &amp; Central Asia_Lower middle income</v>
      </c>
      <c r="AN37" s="119">
        <f t="shared" si="56"/>
        <v>16.389890404618974</v>
      </c>
      <c r="AO37" s="119">
        <f t="shared" si="57"/>
        <v>187.00281170809052</v>
      </c>
      <c r="AP37" s="119">
        <f t="shared" si="58"/>
        <v>6.1196654975083868</v>
      </c>
      <c r="AQ37" s="119">
        <f t="shared" si="59"/>
        <v>0.27623410794301639</v>
      </c>
      <c r="AR37" s="119">
        <f t="shared" si="60"/>
        <v>187.00281170809052</v>
      </c>
      <c r="AS37" s="119">
        <f t="shared" si="61"/>
        <v>6.1196654975083868</v>
      </c>
      <c r="AT37" s="119">
        <f t="shared" si="62"/>
        <v>386.86618149603243</v>
      </c>
      <c r="AU37" s="119">
        <f t="shared" si="63"/>
        <v>4.6515589314044448</v>
      </c>
      <c r="AV37" s="119">
        <f t="shared" si="64"/>
        <v>3.9686445724112089</v>
      </c>
      <c r="AW37" s="119">
        <f t="shared" si="65"/>
        <v>4.9289279581529488</v>
      </c>
      <c r="AX37" s="119">
        <f t="shared" si="66"/>
        <v>95.816756871967598</v>
      </c>
      <c r="AY37" s="119">
        <f t="shared" si="67"/>
        <v>4.6515589314044448</v>
      </c>
      <c r="AZ37" s="119">
        <f t="shared" si="68"/>
        <v>3.9686445724112089</v>
      </c>
      <c r="BA37" s="119">
        <f t="shared" si="69"/>
        <v>4.9289279581529488</v>
      </c>
      <c r="BB37" s="95">
        <f t="shared" si="77"/>
        <v>0</v>
      </c>
      <c r="BC37" s="95">
        <f t="shared" si="78"/>
        <v>3.9686445724112089</v>
      </c>
      <c r="BD37" s="95">
        <f t="shared" si="79"/>
        <v>4.9289279581529488</v>
      </c>
      <c r="BE37" s="95">
        <f t="shared" si="80"/>
        <v>4.6515589314044448</v>
      </c>
      <c r="BF37" s="95">
        <f t="shared" si="81"/>
        <v>386.86618149603243</v>
      </c>
      <c r="BG37" s="95">
        <f t="shared" si="82"/>
        <v>0.27623410794301639</v>
      </c>
      <c r="BH37" s="95">
        <f t="shared" si="83"/>
        <v>0</v>
      </c>
      <c r="BI37" s="95">
        <f t="shared" si="84"/>
        <v>0</v>
      </c>
      <c r="BJ37" s="95">
        <f t="shared" si="85"/>
        <v>6.1196654975083868</v>
      </c>
      <c r="BK37" s="95">
        <f t="shared" si="86"/>
        <v>187.00281170809052</v>
      </c>
      <c r="BM37" s="95">
        <f t="shared" si="70"/>
        <v>209.51236761021786</v>
      </c>
      <c r="BN37" s="95">
        <f t="shared" si="71"/>
        <v>193.39871131354192</v>
      </c>
      <c r="BO37" s="95">
        <f t="shared" si="72"/>
        <v>400.41531295800104</v>
      </c>
      <c r="BP37" s="95">
        <f t="shared" si="73"/>
        <v>109.3658883339362</v>
      </c>
      <c r="BQ37" s="44" t="str">
        <f t="shared" si="74"/>
        <v>Incineration</v>
      </c>
      <c r="BR37" s="44" t="str">
        <f t="shared" si="75"/>
        <v>Landfill</v>
      </c>
    </row>
    <row r="38" spans="3:70" ht="14.5" customHeight="1" x14ac:dyDescent="0.2">
      <c r="C38" s="8" t="str">
        <v>Hungary</v>
      </c>
      <c r="D38" s="56" t="str">
        <v>Europe &amp; Central Asia</v>
      </c>
      <c r="E38" s="117" t="str">
        <v>High income</v>
      </c>
      <c r="F38" s="44">
        <v>48.635103556792309</v>
      </c>
      <c r="G38" s="44">
        <v>187.00281170809052</v>
      </c>
      <c r="H38" s="44">
        <v>19.239051817856989</v>
      </c>
      <c r="I38" s="44">
        <v>0.80435735360808958</v>
      </c>
      <c r="J38" s="44">
        <v>187.00281170809052</v>
      </c>
      <c r="K38" s="44">
        <v>19.239051817856989</v>
      </c>
      <c r="L38" s="44">
        <v>383.30847670900584</v>
      </c>
      <c r="M38" s="44">
        <v>15.382075226962264</v>
      </c>
      <c r="N38" s="44">
        <v>4.37515187303116</v>
      </c>
      <c r="O38" s="44">
        <v>4.9289279581529488</v>
      </c>
      <c r="P38" s="44">
        <v>103.75638693899415</v>
      </c>
      <c r="Q38" s="44">
        <v>15.382075226962264</v>
      </c>
      <c r="R38" s="44">
        <v>4.37515187303116</v>
      </c>
      <c r="S38" s="44">
        <v>4.9289279581529488</v>
      </c>
      <c r="T38" s="44">
        <f t="shared" si="7"/>
        <v>254.87696708273981</v>
      </c>
      <c r="U38" s="44">
        <f t="shared" si="8"/>
        <v>207.04622087955559</v>
      </c>
      <c r="V38" s="44">
        <f t="shared" si="9"/>
        <v>407.99463176715221</v>
      </c>
      <c r="W38" s="44">
        <f t="shared" si="10"/>
        <v>128.44254199714052</v>
      </c>
      <c r="X38" s="44" t="str">
        <f t="shared" si="11"/>
        <v>Incineration</v>
      </c>
      <c r="Y38" s="44" t="str">
        <f t="shared" si="12"/>
        <v>Landfill</v>
      </c>
      <c r="Z38" s="44">
        <f t="shared" si="13"/>
        <v>0</v>
      </c>
      <c r="AA38" s="44">
        <f t="shared" si="14"/>
        <v>4.37515187303116</v>
      </c>
      <c r="AB38" s="44">
        <f t="shared" si="15"/>
        <v>4.9289279581529488</v>
      </c>
      <c r="AC38" s="44">
        <f t="shared" si="16"/>
        <v>15.382075226962264</v>
      </c>
      <c r="AD38" s="44">
        <f t="shared" si="17"/>
        <v>383.30847670900584</v>
      </c>
      <c r="AE38" s="44">
        <f t="shared" si="18"/>
        <v>0.80435735360808958</v>
      </c>
      <c r="AF38" s="44">
        <f t="shared" si="19"/>
        <v>0</v>
      </c>
      <c r="AG38" s="44">
        <f t="shared" si="20"/>
        <v>0</v>
      </c>
      <c r="AH38" s="44">
        <f t="shared" si="21"/>
        <v>19.239051817856989</v>
      </c>
      <c r="AI38" s="44">
        <f t="shared" si="22"/>
        <v>187.00281170809052</v>
      </c>
      <c r="AJ38" s="185"/>
      <c r="AK38" s="13" t="s">
        <v>33</v>
      </c>
      <c r="AL38" s="13" t="s">
        <v>578</v>
      </c>
      <c r="AM38" s="124" t="str">
        <f t="shared" si="76"/>
        <v>Latin America &amp; Caribbean_Upper middle income</v>
      </c>
      <c r="AN38" s="119">
        <f t="shared" si="56"/>
        <v>22.111961568366297</v>
      </c>
      <c r="AO38" s="119">
        <f t="shared" si="57"/>
        <v>112.53582479053843</v>
      </c>
      <c r="AP38" s="119">
        <f t="shared" si="58"/>
        <v>6.830402213100033</v>
      </c>
      <c r="AQ38" s="119">
        <f t="shared" si="59"/>
        <v>0.36505142784704681</v>
      </c>
      <c r="AR38" s="119">
        <f t="shared" si="60"/>
        <v>112.53582479053843</v>
      </c>
      <c r="AS38" s="119">
        <f t="shared" si="61"/>
        <v>6.830402213100033</v>
      </c>
      <c r="AT38" s="119">
        <f t="shared" si="62"/>
        <v>385.61651384685882</v>
      </c>
      <c r="AU38" s="119">
        <f t="shared" si="63"/>
        <v>2.2139650608027845</v>
      </c>
      <c r="AV38" s="119">
        <f t="shared" si="64"/>
        <v>4.0000741704248659</v>
      </c>
      <c r="AW38" s="119">
        <f t="shared" si="65"/>
        <v>4.9289279581529479</v>
      </c>
      <c r="AX38" s="119">
        <f t="shared" si="66"/>
        <v>122.08344331569037</v>
      </c>
      <c r="AY38" s="119">
        <f t="shared" si="67"/>
        <v>2.2139650608027845</v>
      </c>
      <c r="AZ38" s="119">
        <f t="shared" si="68"/>
        <v>4.0000741704248659</v>
      </c>
      <c r="BA38" s="119">
        <f t="shared" si="69"/>
        <v>4.9289279581529479</v>
      </c>
      <c r="BB38" s="95">
        <f t="shared" si="77"/>
        <v>0</v>
      </c>
      <c r="BC38" s="95">
        <f t="shared" si="78"/>
        <v>4.0000741704248659</v>
      </c>
      <c r="BD38" s="95">
        <f t="shared" si="79"/>
        <v>4.9289279581529479</v>
      </c>
      <c r="BE38" s="95">
        <f t="shared" si="80"/>
        <v>2.2139650608027845</v>
      </c>
      <c r="BF38" s="95">
        <f t="shared" si="81"/>
        <v>385.61651384685882</v>
      </c>
      <c r="BG38" s="95">
        <f t="shared" si="82"/>
        <v>0</v>
      </c>
      <c r="BH38" s="95">
        <f t="shared" si="83"/>
        <v>4.0000741704248659</v>
      </c>
      <c r="BI38" s="95">
        <f t="shared" si="84"/>
        <v>4.9289279581529479</v>
      </c>
      <c r="BJ38" s="95">
        <f t="shared" si="85"/>
        <v>2.2139650608027845</v>
      </c>
      <c r="BK38" s="95">
        <f t="shared" si="86"/>
        <v>122.08344331569037</v>
      </c>
      <c r="BM38" s="95">
        <f t="shared" si="70"/>
        <v>141.47818857200477</v>
      </c>
      <c r="BN38" s="95">
        <f t="shared" si="71"/>
        <v>119.73127843148551</v>
      </c>
      <c r="BO38" s="95">
        <f t="shared" si="72"/>
        <v>396.75948103623938</v>
      </c>
      <c r="BP38" s="95">
        <f t="shared" si="73"/>
        <v>133.22641050507096</v>
      </c>
      <c r="BQ38" s="44" t="str">
        <f t="shared" si="74"/>
        <v>Incineration</v>
      </c>
      <c r="BR38" s="44" t="str">
        <f t="shared" si="75"/>
        <v>Incineration</v>
      </c>
    </row>
    <row r="39" spans="3:70" ht="14.5" customHeight="1" x14ac:dyDescent="0.2">
      <c r="C39" s="8" t="str">
        <v>India</v>
      </c>
      <c r="D39" s="56" t="str">
        <v>South Asia</v>
      </c>
      <c r="E39" s="117" t="str">
        <v>Lower middle income</v>
      </c>
      <c r="F39" s="44">
        <v>9.5070361926561695</v>
      </c>
      <c r="G39" s="44">
        <v>183.05003240919942</v>
      </c>
      <c r="H39" s="44">
        <v>24.326340446289851</v>
      </c>
      <c r="I39" s="44">
        <v>0.1520117977801031</v>
      </c>
      <c r="J39" s="44">
        <v>183.05003240919942</v>
      </c>
      <c r="K39" s="44">
        <v>24.326340446289851</v>
      </c>
      <c r="L39" s="44">
        <v>387.80522999999999</v>
      </c>
      <c r="M39" s="44">
        <v>0</v>
      </c>
      <c r="N39" s="44">
        <v>15.074681360710244</v>
      </c>
      <c r="O39" s="44">
        <v>4.9289279581529488</v>
      </c>
      <c r="P39" s="44">
        <v>131.65024000000003</v>
      </c>
      <c r="Q39" s="44">
        <v>0</v>
      </c>
      <c r="R39" s="44">
        <v>15.074681360710244</v>
      </c>
      <c r="S39" s="44">
        <v>4.9289279581529488</v>
      </c>
      <c r="T39" s="44">
        <f t="shared" si="7"/>
        <v>216.88340904814544</v>
      </c>
      <c r="U39" s="44">
        <f t="shared" si="8"/>
        <v>207.52838465326937</v>
      </c>
      <c r="V39" s="44">
        <f t="shared" si="9"/>
        <v>407.80883931886319</v>
      </c>
      <c r="W39" s="44">
        <f t="shared" si="10"/>
        <v>151.65384931886319</v>
      </c>
      <c r="X39" s="44" t="str">
        <f t="shared" si="11"/>
        <v>Incineration</v>
      </c>
      <c r="Y39" s="44" t="str">
        <f t="shared" si="12"/>
        <v>Landfill</v>
      </c>
      <c r="Z39" s="44">
        <f t="shared" si="13"/>
        <v>0</v>
      </c>
      <c r="AA39" s="44">
        <f t="shared" si="14"/>
        <v>15.074681360710244</v>
      </c>
      <c r="AB39" s="44">
        <f t="shared" si="15"/>
        <v>4.9289279581529488</v>
      </c>
      <c r="AC39" s="44">
        <f t="shared" si="16"/>
        <v>0</v>
      </c>
      <c r="AD39" s="44">
        <f t="shared" si="17"/>
        <v>387.80522999999999</v>
      </c>
      <c r="AE39" s="44">
        <f t="shared" si="18"/>
        <v>0.1520117977801031</v>
      </c>
      <c r="AF39" s="44">
        <f t="shared" si="19"/>
        <v>0</v>
      </c>
      <c r="AG39" s="44">
        <f t="shared" si="20"/>
        <v>0</v>
      </c>
      <c r="AH39" s="44">
        <f t="shared" si="21"/>
        <v>24.326340446289851</v>
      </c>
      <c r="AI39" s="44">
        <f t="shared" si="22"/>
        <v>183.05003240919942</v>
      </c>
      <c r="AJ39" s="185"/>
      <c r="AK39" s="13" t="s">
        <v>33</v>
      </c>
      <c r="AL39" s="13" t="s">
        <v>580</v>
      </c>
      <c r="AM39" s="124" t="str">
        <f t="shared" si="76"/>
        <v>Latin America &amp; Caribbean_Lower middle income</v>
      </c>
      <c r="AN39" s="119">
        <f t="shared" si="56"/>
        <v>8.5223688119908019</v>
      </c>
      <c r="AO39" s="119">
        <f t="shared" si="57"/>
        <v>123.89196731561637</v>
      </c>
      <c r="AP39" s="119">
        <f t="shared" si="58"/>
        <v>0</v>
      </c>
      <c r="AQ39" s="119">
        <f t="shared" si="59"/>
        <v>0.14363542941557531</v>
      </c>
      <c r="AR39" s="119">
        <f t="shared" si="60"/>
        <v>123.89196731561637</v>
      </c>
      <c r="AS39" s="119">
        <f t="shared" si="61"/>
        <v>0</v>
      </c>
      <c r="AT39" s="119">
        <f t="shared" si="62"/>
        <v>387.80522999999999</v>
      </c>
      <c r="AU39" s="119">
        <f t="shared" si="63"/>
        <v>0</v>
      </c>
      <c r="AV39" s="119">
        <f t="shared" si="64"/>
        <v>4.0413508996351162</v>
      </c>
      <c r="AW39" s="119">
        <f t="shared" si="65"/>
        <v>4.9289279581529488</v>
      </c>
      <c r="AX39" s="119">
        <f t="shared" si="66"/>
        <v>131.65024000000003</v>
      </c>
      <c r="AY39" s="119">
        <f t="shared" si="67"/>
        <v>0</v>
      </c>
      <c r="AZ39" s="119">
        <f t="shared" si="68"/>
        <v>4.0413508996351162</v>
      </c>
      <c r="BA39" s="119">
        <f t="shared" si="69"/>
        <v>4.9289279581529488</v>
      </c>
      <c r="BB39" s="95">
        <f t="shared" si="77"/>
        <v>0</v>
      </c>
      <c r="BC39" s="95">
        <f t="shared" si="78"/>
        <v>4.0413508996351162</v>
      </c>
      <c r="BD39" s="95">
        <f t="shared" si="79"/>
        <v>4.9289279581529488</v>
      </c>
      <c r="BE39" s="95">
        <f t="shared" si="80"/>
        <v>0</v>
      </c>
      <c r="BF39" s="95">
        <f t="shared" si="81"/>
        <v>387.80522999999999</v>
      </c>
      <c r="BG39" s="95">
        <f t="shared" si="82"/>
        <v>0</v>
      </c>
      <c r="BH39" s="95">
        <f t="shared" si="83"/>
        <v>4.0413508996351162</v>
      </c>
      <c r="BI39" s="95">
        <f t="shared" si="84"/>
        <v>4.9289279581529488</v>
      </c>
      <c r="BJ39" s="95">
        <f t="shared" si="85"/>
        <v>0</v>
      </c>
      <c r="BK39" s="95">
        <f t="shared" si="86"/>
        <v>131.65024000000003</v>
      </c>
      <c r="BM39" s="95">
        <f t="shared" si="70"/>
        <v>132.41433612760716</v>
      </c>
      <c r="BN39" s="95">
        <f t="shared" si="71"/>
        <v>124.03560274503195</v>
      </c>
      <c r="BO39" s="95">
        <f t="shared" si="72"/>
        <v>396.77550885778805</v>
      </c>
      <c r="BP39" s="95">
        <f t="shared" si="73"/>
        <v>140.62051885778808</v>
      </c>
      <c r="BQ39" s="44" t="str">
        <f t="shared" si="74"/>
        <v>Incineration</v>
      </c>
      <c r="BR39" s="44" t="str">
        <f t="shared" si="75"/>
        <v>Incineration</v>
      </c>
    </row>
    <row r="40" spans="3:70" ht="14.5" customHeight="1" x14ac:dyDescent="0.2">
      <c r="C40" s="8" t="str">
        <v>Indonesia</v>
      </c>
      <c r="D40" s="56" t="str">
        <v>East Asia &amp; Pacific</v>
      </c>
      <c r="E40" s="117" t="str">
        <v>Upper middle income</v>
      </c>
      <c r="F40" s="44">
        <v>19.952211977590732</v>
      </c>
      <c r="G40" s="44">
        <v>191.70380069770326</v>
      </c>
      <c r="H40" s="44">
        <v>8.5541981960587474</v>
      </c>
      <c r="I40" s="44">
        <v>0.32978862772877249</v>
      </c>
      <c r="J40" s="44">
        <v>191.70380069770326</v>
      </c>
      <c r="K40" s="44">
        <v>8.5541981960587474</v>
      </c>
      <c r="L40" s="44">
        <v>368.42634597020628</v>
      </c>
      <c r="M40" s="44">
        <v>5.931550339885554</v>
      </c>
      <c r="N40" s="44">
        <v>2.9938610102494221</v>
      </c>
      <c r="O40" s="44">
        <v>4.9289279581529488</v>
      </c>
      <c r="P40" s="44">
        <v>112.27135597020634</v>
      </c>
      <c r="Q40" s="44">
        <v>5.931550339885554</v>
      </c>
      <c r="R40" s="44">
        <v>2.9938610102494221</v>
      </c>
      <c r="S40" s="44">
        <v>4.9289279581529488</v>
      </c>
      <c r="T40" s="44">
        <f t="shared" si="7"/>
        <v>220.21021087135273</v>
      </c>
      <c r="U40" s="44">
        <f t="shared" si="8"/>
        <v>200.58778752149075</v>
      </c>
      <c r="V40" s="44">
        <f t="shared" si="9"/>
        <v>382.28068527849422</v>
      </c>
      <c r="W40" s="44">
        <f t="shared" si="10"/>
        <v>126.12569527849426</v>
      </c>
      <c r="X40" s="44" t="str">
        <f t="shared" si="11"/>
        <v>Incineration</v>
      </c>
      <c r="Y40" s="44" t="str">
        <f t="shared" si="12"/>
        <v>Landfill</v>
      </c>
      <c r="Z40" s="44">
        <f t="shared" si="13"/>
        <v>0</v>
      </c>
      <c r="AA40" s="44">
        <f t="shared" si="14"/>
        <v>2.9938610102494221</v>
      </c>
      <c r="AB40" s="44">
        <f t="shared" si="15"/>
        <v>4.9289279581529488</v>
      </c>
      <c r="AC40" s="44">
        <f t="shared" si="16"/>
        <v>5.931550339885554</v>
      </c>
      <c r="AD40" s="44">
        <f t="shared" si="17"/>
        <v>368.42634597020628</v>
      </c>
      <c r="AE40" s="44">
        <f t="shared" si="18"/>
        <v>0.32978862772877249</v>
      </c>
      <c r="AF40" s="44">
        <f t="shared" si="19"/>
        <v>0</v>
      </c>
      <c r="AG40" s="44">
        <f t="shared" si="20"/>
        <v>0</v>
      </c>
      <c r="AH40" s="44">
        <f t="shared" si="21"/>
        <v>8.5541981960587474</v>
      </c>
      <c r="AI40" s="44">
        <f t="shared" si="22"/>
        <v>191.70380069770326</v>
      </c>
      <c r="AJ40" s="185"/>
      <c r="AK40" s="13" t="s">
        <v>33</v>
      </c>
      <c r="AL40" s="13" t="s">
        <v>579</v>
      </c>
      <c r="AM40" s="124" t="str">
        <f t="shared" si="76"/>
        <v>Latin America &amp; Caribbean_High income</v>
      </c>
      <c r="AN40" s="119">
        <f t="shared" si="56"/>
        <v>20.148173869272608</v>
      </c>
      <c r="AO40" s="119">
        <f t="shared" si="57"/>
        <v>152.33868437748353</v>
      </c>
      <c r="AP40" s="119">
        <f t="shared" si="58"/>
        <v>3.0416344571758089</v>
      </c>
      <c r="AQ40" s="119">
        <f t="shared" si="59"/>
        <v>0.33569845745632426</v>
      </c>
      <c r="AR40" s="119">
        <f t="shared" si="60"/>
        <v>152.33868437748353</v>
      </c>
      <c r="AS40" s="119">
        <f t="shared" si="61"/>
        <v>3.0416344571758089</v>
      </c>
      <c r="AT40" s="119">
        <f t="shared" si="62"/>
        <v>385.49779249232023</v>
      </c>
      <c r="AU40" s="119">
        <f t="shared" si="63"/>
        <v>1.7137512604923126</v>
      </c>
      <c r="AV40" s="119">
        <f t="shared" si="64"/>
        <v>4.1115263115021587</v>
      </c>
      <c r="AW40" s="119">
        <f t="shared" si="65"/>
        <v>4.9289279581529488</v>
      </c>
      <c r="AX40" s="119">
        <f t="shared" si="66"/>
        <v>129.34280249232026</v>
      </c>
      <c r="AY40" s="119">
        <f t="shared" si="67"/>
        <v>1.7137512604923126</v>
      </c>
      <c r="AZ40" s="119">
        <f t="shared" si="68"/>
        <v>4.1115263115021587</v>
      </c>
      <c r="BA40" s="119">
        <f t="shared" si="69"/>
        <v>4.9289279581529488</v>
      </c>
      <c r="BB40" s="95">
        <f t="shared" si="77"/>
        <v>0</v>
      </c>
      <c r="BC40" s="95">
        <f t="shared" si="78"/>
        <v>4.1115263115021587</v>
      </c>
      <c r="BD40" s="95">
        <f t="shared" si="79"/>
        <v>4.9289279581529488</v>
      </c>
      <c r="BE40" s="95">
        <f t="shared" si="80"/>
        <v>1.7137512604923126</v>
      </c>
      <c r="BF40" s="95">
        <f t="shared" si="81"/>
        <v>385.49779249232023</v>
      </c>
      <c r="BG40" s="95">
        <f t="shared" si="82"/>
        <v>0.33569845745632426</v>
      </c>
      <c r="BH40" s="95">
        <f t="shared" si="83"/>
        <v>0</v>
      </c>
      <c r="BI40" s="95">
        <f t="shared" si="84"/>
        <v>0</v>
      </c>
      <c r="BJ40" s="95">
        <f t="shared" si="85"/>
        <v>3.0416344571758089</v>
      </c>
      <c r="BK40" s="95">
        <f t="shared" si="86"/>
        <v>152.33868437748353</v>
      </c>
      <c r="BM40" s="95">
        <f t="shared" si="70"/>
        <v>175.52849270393193</v>
      </c>
      <c r="BN40" s="95">
        <f t="shared" si="71"/>
        <v>155.71601729211565</v>
      </c>
      <c r="BO40" s="95">
        <f t="shared" si="72"/>
        <v>396.2519980224676</v>
      </c>
      <c r="BP40" s="95">
        <f t="shared" si="73"/>
        <v>140.09700802246766</v>
      </c>
      <c r="BQ40" s="44" t="str">
        <f t="shared" si="74"/>
        <v>Incineration</v>
      </c>
      <c r="BR40" s="44" t="str">
        <f t="shared" si="75"/>
        <v>Landfill</v>
      </c>
    </row>
    <row r="41" spans="3:70" ht="14.5" customHeight="1" x14ac:dyDescent="0.2">
      <c r="C41" s="8" t="str">
        <v>Ireland</v>
      </c>
      <c r="D41" s="56" t="str">
        <v>Europe &amp; Central Asia</v>
      </c>
      <c r="E41" s="117" t="str">
        <v>High income</v>
      </c>
      <c r="F41" s="44">
        <v>50.604711609097421</v>
      </c>
      <c r="G41" s="44">
        <v>187.00281170809052</v>
      </c>
      <c r="H41" s="44">
        <v>18.261077109583127</v>
      </c>
      <c r="I41" s="44">
        <v>0.85087568192287699</v>
      </c>
      <c r="J41" s="44">
        <v>187.00281170809052</v>
      </c>
      <c r="K41" s="44">
        <v>18.261077109583127</v>
      </c>
      <c r="L41" s="44">
        <v>387.09116327699689</v>
      </c>
      <c r="M41" s="44">
        <v>11.815991070906723</v>
      </c>
      <c r="N41" s="44">
        <v>3.0631174306240565</v>
      </c>
      <c r="O41" s="44">
        <v>4.9289279581529488</v>
      </c>
      <c r="P41" s="44">
        <v>85.178366659003103</v>
      </c>
      <c r="Q41" s="44">
        <v>11.815991070906723</v>
      </c>
      <c r="R41" s="44">
        <v>3.0631174306240565</v>
      </c>
      <c r="S41" s="44">
        <v>4.9289279581529488</v>
      </c>
      <c r="T41" s="44">
        <f t="shared" si="7"/>
        <v>255.86860042677108</v>
      </c>
      <c r="U41" s="44">
        <f t="shared" si="8"/>
        <v>206.1147644995965</v>
      </c>
      <c r="V41" s="44">
        <f t="shared" si="9"/>
        <v>406.8991997366806</v>
      </c>
      <c r="W41" s="44">
        <f t="shared" si="10"/>
        <v>104.98640311868684</v>
      </c>
      <c r="X41" s="44" t="str">
        <f t="shared" si="11"/>
        <v>Incineration</v>
      </c>
      <c r="Y41" s="44" t="str">
        <f t="shared" si="12"/>
        <v>Landfill</v>
      </c>
      <c r="Z41" s="44">
        <f t="shared" si="13"/>
        <v>0</v>
      </c>
      <c r="AA41" s="44">
        <f t="shared" si="14"/>
        <v>3.0631174306240565</v>
      </c>
      <c r="AB41" s="44">
        <f t="shared" si="15"/>
        <v>4.9289279581529488</v>
      </c>
      <c r="AC41" s="44">
        <f t="shared" si="16"/>
        <v>11.815991070906723</v>
      </c>
      <c r="AD41" s="44">
        <f t="shared" si="17"/>
        <v>387.09116327699689</v>
      </c>
      <c r="AE41" s="44">
        <f t="shared" si="18"/>
        <v>0.85087568192287699</v>
      </c>
      <c r="AF41" s="44">
        <f t="shared" si="19"/>
        <v>0</v>
      </c>
      <c r="AG41" s="44">
        <f t="shared" si="20"/>
        <v>0</v>
      </c>
      <c r="AH41" s="44">
        <f t="shared" si="21"/>
        <v>18.261077109583127</v>
      </c>
      <c r="AI41" s="44">
        <f t="shared" si="22"/>
        <v>187.00281170809052</v>
      </c>
      <c r="AJ41" s="185"/>
      <c r="AK41" s="13" t="s">
        <v>26</v>
      </c>
      <c r="AL41" s="13" t="s">
        <v>580</v>
      </c>
      <c r="AM41" s="124" t="str">
        <f t="shared" si="76"/>
        <v>Middle East &amp; North Africa_Lower middle income</v>
      </c>
      <c r="AN41" s="119">
        <f t="shared" si="56"/>
        <v>18.10397927927896</v>
      </c>
      <c r="AO41" s="119">
        <f t="shared" si="57"/>
        <v>183.05003240919942</v>
      </c>
      <c r="AP41" s="119">
        <f t="shared" si="58"/>
        <v>8.9537853227281001</v>
      </c>
      <c r="AQ41" s="119">
        <f t="shared" si="59"/>
        <v>0.29929645004290506</v>
      </c>
      <c r="AR41" s="119">
        <f t="shared" si="60"/>
        <v>183.05003240919942</v>
      </c>
      <c r="AS41" s="119">
        <f t="shared" si="61"/>
        <v>8.9537853227281001</v>
      </c>
      <c r="AT41" s="119">
        <f t="shared" si="62"/>
        <v>386.45224005661373</v>
      </c>
      <c r="AU41" s="119">
        <f t="shared" si="63"/>
        <v>0.93587167759875556</v>
      </c>
      <c r="AV41" s="119">
        <f t="shared" si="64"/>
        <v>4.1054973591834791</v>
      </c>
      <c r="AW41" s="119">
        <f t="shared" si="65"/>
        <v>4.9289279581529488</v>
      </c>
      <c r="AX41" s="119">
        <f t="shared" si="66"/>
        <v>92.061010441720953</v>
      </c>
      <c r="AY41" s="119">
        <f t="shared" si="67"/>
        <v>0.93587167759875556</v>
      </c>
      <c r="AZ41" s="119">
        <f t="shared" si="68"/>
        <v>4.1054973591834791</v>
      </c>
      <c r="BA41" s="119">
        <f t="shared" si="69"/>
        <v>4.9289279581529488</v>
      </c>
      <c r="BB41" s="95">
        <f t="shared" si="77"/>
        <v>0</v>
      </c>
      <c r="BC41" s="95">
        <f t="shared" si="78"/>
        <v>4.1054973591834791</v>
      </c>
      <c r="BD41" s="95">
        <f t="shared" si="79"/>
        <v>4.9289279581529488</v>
      </c>
      <c r="BE41" s="95">
        <f t="shared" si="80"/>
        <v>0.93587167759875556</v>
      </c>
      <c r="BF41" s="95">
        <f t="shared" si="81"/>
        <v>386.45224005661373</v>
      </c>
      <c r="BG41" s="95">
        <f t="shared" si="82"/>
        <v>0.29929645004290506</v>
      </c>
      <c r="BH41" s="95">
        <f t="shared" si="83"/>
        <v>0</v>
      </c>
      <c r="BI41" s="95">
        <f t="shared" si="84"/>
        <v>0</v>
      </c>
      <c r="BJ41" s="95">
        <f t="shared" si="85"/>
        <v>8.9537853227281001</v>
      </c>
      <c r="BK41" s="95">
        <f t="shared" si="86"/>
        <v>183.05003240919942</v>
      </c>
      <c r="BM41" s="95">
        <f t="shared" si="70"/>
        <v>210.10779701120646</v>
      </c>
      <c r="BN41" s="95">
        <f t="shared" si="71"/>
        <v>192.30311418197041</v>
      </c>
      <c r="BO41" s="95">
        <f t="shared" si="72"/>
        <v>396.42253705154889</v>
      </c>
      <c r="BP41" s="95">
        <f t="shared" si="73"/>
        <v>102.03130743665614</v>
      </c>
      <c r="BQ41" s="44" t="str">
        <f t="shared" si="74"/>
        <v>Incineration</v>
      </c>
      <c r="BR41" s="44" t="str">
        <f t="shared" si="75"/>
        <v>Landfill</v>
      </c>
    </row>
    <row r="42" spans="3:70" ht="14.5" customHeight="1" x14ac:dyDescent="0.2">
      <c r="C42" s="8" t="str">
        <v>Israel</v>
      </c>
      <c r="D42" s="56" t="str">
        <v>Middle East &amp; North Africa</v>
      </c>
      <c r="E42" s="117" t="str">
        <v>High income</v>
      </c>
      <c r="F42" s="44">
        <v>69.656524426851533</v>
      </c>
      <c r="G42" s="44">
        <v>183.05003240919942</v>
      </c>
      <c r="H42" s="44">
        <v>153.90667489063208</v>
      </c>
      <c r="I42" s="44">
        <v>1.1725076251857522</v>
      </c>
      <c r="J42" s="44">
        <v>183.05003240919942</v>
      </c>
      <c r="K42" s="44">
        <v>153.90667489063208</v>
      </c>
      <c r="L42" s="44">
        <v>386.46125192258035</v>
      </c>
      <c r="M42" s="44">
        <v>202.50878275083176</v>
      </c>
      <c r="N42" s="44">
        <v>3.3729407228166459</v>
      </c>
      <c r="O42" s="44">
        <v>4.9289279581529488</v>
      </c>
      <c r="P42" s="44">
        <v>130.30626192258038</v>
      </c>
      <c r="Q42" s="44">
        <v>202.50878275083176</v>
      </c>
      <c r="R42" s="44">
        <v>3.3729407228166459</v>
      </c>
      <c r="S42" s="44">
        <v>4.9289279581529488</v>
      </c>
      <c r="T42" s="44">
        <f t="shared" si="7"/>
        <v>406.61323172668301</v>
      </c>
      <c r="U42" s="44">
        <f t="shared" si="8"/>
        <v>338.12921492501721</v>
      </c>
      <c r="V42" s="44">
        <f t="shared" si="9"/>
        <v>597.27190335438172</v>
      </c>
      <c r="W42" s="44">
        <f t="shared" si="10"/>
        <v>341.11691335438167</v>
      </c>
      <c r="X42" s="44" t="str">
        <f t="shared" si="11"/>
        <v>Incineration</v>
      </c>
      <c r="Y42" s="44" t="str">
        <f t="shared" si="12"/>
        <v>Incineration</v>
      </c>
      <c r="Z42" s="44">
        <f t="shared" si="13"/>
        <v>0</v>
      </c>
      <c r="AA42" s="44">
        <f t="shared" si="14"/>
        <v>3.3729407228166459</v>
      </c>
      <c r="AB42" s="44">
        <f t="shared" si="15"/>
        <v>4.9289279581529488</v>
      </c>
      <c r="AC42" s="44">
        <f t="shared" si="16"/>
        <v>202.50878275083176</v>
      </c>
      <c r="AD42" s="44">
        <f t="shared" si="17"/>
        <v>386.46125192258035</v>
      </c>
      <c r="AE42" s="44">
        <f t="shared" si="18"/>
        <v>0</v>
      </c>
      <c r="AF42" s="44">
        <f t="shared" si="19"/>
        <v>3.3729407228166459</v>
      </c>
      <c r="AG42" s="44">
        <f t="shared" si="20"/>
        <v>4.9289279581529488</v>
      </c>
      <c r="AH42" s="44">
        <f t="shared" si="21"/>
        <v>202.50878275083176</v>
      </c>
      <c r="AI42" s="44">
        <f t="shared" si="22"/>
        <v>130.30626192258038</v>
      </c>
      <c r="AJ42" s="185"/>
      <c r="AK42" s="13" t="s">
        <v>26</v>
      </c>
      <c r="AL42" s="13" t="s">
        <v>579</v>
      </c>
      <c r="AM42" s="124" t="str">
        <f t="shared" si="76"/>
        <v>Middle East &amp; North Africa_High income</v>
      </c>
      <c r="AN42" s="119">
        <f t="shared" si="56"/>
        <v>69.656524426851533</v>
      </c>
      <c r="AO42" s="119">
        <f t="shared" si="57"/>
        <v>183.05003240919942</v>
      </c>
      <c r="AP42" s="119">
        <f t="shared" si="58"/>
        <v>153.90667489063208</v>
      </c>
      <c r="AQ42" s="119">
        <f t="shared" si="59"/>
        <v>1.1725076251857522</v>
      </c>
      <c r="AR42" s="119">
        <f t="shared" si="60"/>
        <v>183.05003240919942</v>
      </c>
      <c r="AS42" s="119">
        <f t="shared" si="61"/>
        <v>153.90667489063208</v>
      </c>
      <c r="AT42" s="119">
        <f t="shared" si="62"/>
        <v>386.46125192258035</v>
      </c>
      <c r="AU42" s="119">
        <f t="shared" si="63"/>
        <v>202.50878275083176</v>
      </c>
      <c r="AV42" s="119">
        <f t="shared" si="64"/>
        <v>3.3729407228166459</v>
      </c>
      <c r="AW42" s="119">
        <f t="shared" si="65"/>
        <v>4.9289279581529488</v>
      </c>
      <c r="AX42" s="119">
        <f t="shared" si="66"/>
        <v>130.30626192258038</v>
      </c>
      <c r="AY42" s="119">
        <f t="shared" si="67"/>
        <v>202.50878275083176</v>
      </c>
      <c r="AZ42" s="119">
        <f t="shared" si="68"/>
        <v>3.3729407228166459</v>
      </c>
      <c r="BA42" s="119">
        <f t="shared" si="69"/>
        <v>4.9289279581529488</v>
      </c>
      <c r="BB42" s="95">
        <f t="shared" si="77"/>
        <v>0</v>
      </c>
      <c r="BC42" s="95">
        <f t="shared" si="78"/>
        <v>3.3729407228166459</v>
      </c>
      <c r="BD42" s="95">
        <f t="shared" si="79"/>
        <v>4.9289279581529488</v>
      </c>
      <c r="BE42" s="95">
        <f t="shared" si="80"/>
        <v>202.50878275083176</v>
      </c>
      <c r="BF42" s="95">
        <f t="shared" si="81"/>
        <v>386.46125192258035</v>
      </c>
      <c r="BG42" s="95">
        <f t="shared" si="82"/>
        <v>0</v>
      </c>
      <c r="BH42" s="95">
        <f t="shared" si="83"/>
        <v>3.3729407228166459</v>
      </c>
      <c r="BI42" s="95">
        <f t="shared" si="84"/>
        <v>4.9289279581529488</v>
      </c>
      <c r="BJ42" s="95">
        <f t="shared" si="85"/>
        <v>202.50878275083176</v>
      </c>
      <c r="BK42" s="95">
        <f t="shared" si="86"/>
        <v>130.30626192258038</v>
      </c>
      <c r="BM42" s="95">
        <f t="shared" si="70"/>
        <v>406.61323172668301</v>
      </c>
      <c r="BN42" s="95">
        <f t="shared" si="71"/>
        <v>338.12921492501721</v>
      </c>
      <c r="BO42" s="95">
        <f t="shared" si="72"/>
        <v>597.27190335438172</v>
      </c>
      <c r="BP42" s="95">
        <f t="shared" si="73"/>
        <v>341.11691335438167</v>
      </c>
      <c r="BQ42" s="44" t="str">
        <f t="shared" si="74"/>
        <v>Incineration</v>
      </c>
      <c r="BR42" s="44" t="str">
        <f t="shared" si="75"/>
        <v>Incineration</v>
      </c>
    </row>
    <row r="43" spans="3:70" ht="14.5" customHeight="1" x14ac:dyDescent="0.2">
      <c r="C43" s="8" t="str">
        <v>Italy</v>
      </c>
      <c r="D43" s="56" t="str">
        <v>Europe &amp; Central Asia</v>
      </c>
      <c r="E43" s="117" t="str">
        <v>High income</v>
      </c>
      <c r="F43" s="44">
        <v>65.68728310422992</v>
      </c>
      <c r="G43" s="44">
        <v>187.00281170809052</v>
      </c>
      <c r="H43" s="44">
        <v>43.335226883141225</v>
      </c>
      <c r="I43" s="44">
        <v>1.0863768212547527</v>
      </c>
      <c r="J43" s="44">
        <v>187.00281170809052</v>
      </c>
      <c r="K43" s="44">
        <v>43.335226883141225</v>
      </c>
      <c r="L43" s="44">
        <v>384.2925026798822</v>
      </c>
      <c r="M43" s="44">
        <v>30.375159030239168</v>
      </c>
      <c r="N43" s="44">
        <v>4.893025624972406</v>
      </c>
      <c r="O43" s="44">
        <v>4.9289279581529488</v>
      </c>
      <c r="P43" s="44">
        <v>81.57488203211777</v>
      </c>
      <c r="Q43" s="44">
        <v>30.375159030239168</v>
      </c>
      <c r="R43" s="44">
        <v>4.893025624972406</v>
      </c>
      <c r="S43" s="44">
        <v>4.9289279581529488</v>
      </c>
      <c r="T43" s="44">
        <f t="shared" si="7"/>
        <v>296.02532169546168</v>
      </c>
      <c r="U43" s="44">
        <f t="shared" si="8"/>
        <v>231.4244154124865</v>
      </c>
      <c r="V43" s="44">
        <f t="shared" si="9"/>
        <v>424.48961529324669</v>
      </c>
      <c r="W43" s="44">
        <f t="shared" si="10"/>
        <v>121.77199464548231</v>
      </c>
      <c r="X43" s="44" t="str">
        <f t="shared" si="11"/>
        <v>Incineration</v>
      </c>
      <c r="Y43" s="44" t="str">
        <f t="shared" si="12"/>
        <v>Landfill</v>
      </c>
      <c r="Z43" s="44">
        <f t="shared" si="13"/>
        <v>0</v>
      </c>
      <c r="AA43" s="44">
        <f t="shared" si="14"/>
        <v>4.893025624972406</v>
      </c>
      <c r="AB43" s="44">
        <f t="shared" si="15"/>
        <v>4.9289279581529488</v>
      </c>
      <c r="AC43" s="44">
        <f t="shared" si="16"/>
        <v>30.375159030239168</v>
      </c>
      <c r="AD43" s="44">
        <f t="shared" si="17"/>
        <v>384.2925026798822</v>
      </c>
      <c r="AE43" s="44">
        <f t="shared" si="18"/>
        <v>1.0863768212547527</v>
      </c>
      <c r="AF43" s="44">
        <f t="shared" si="19"/>
        <v>0</v>
      </c>
      <c r="AG43" s="44">
        <f t="shared" si="20"/>
        <v>0</v>
      </c>
      <c r="AH43" s="44">
        <f t="shared" si="21"/>
        <v>43.335226883141225</v>
      </c>
      <c r="AI43" s="44">
        <f t="shared" si="22"/>
        <v>187.00281170809052</v>
      </c>
      <c r="AJ43" s="185"/>
      <c r="AK43" s="13" t="s">
        <v>49</v>
      </c>
      <c r="AL43" s="13" t="s">
        <v>579</v>
      </c>
      <c r="AM43" s="124" t="str">
        <f t="shared" si="76"/>
        <v>North America_High income</v>
      </c>
      <c r="AN43" s="119">
        <f t="shared" si="56"/>
        <v>26.84625272491801</v>
      </c>
      <c r="AO43" s="119">
        <f t="shared" si="57"/>
        <v>187.00281170809052</v>
      </c>
      <c r="AP43" s="119">
        <f t="shared" si="58"/>
        <v>24.324272488799807</v>
      </c>
      <c r="AQ43" s="119">
        <f t="shared" si="59"/>
        <v>0.45021666060421506</v>
      </c>
      <c r="AR43" s="119">
        <f t="shared" si="60"/>
        <v>187.00281170809052</v>
      </c>
      <c r="AS43" s="119">
        <f t="shared" si="61"/>
        <v>24.324272488799807</v>
      </c>
      <c r="AT43" s="119">
        <f t="shared" si="62"/>
        <v>382.7843964986688</v>
      </c>
      <c r="AU43" s="119">
        <f t="shared" si="63"/>
        <v>3.9263589700230761</v>
      </c>
      <c r="AV43" s="119">
        <f t="shared" si="64"/>
        <v>5.8717280788308903</v>
      </c>
      <c r="AW43" s="119">
        <f t="shared" si="65"/>
        <v>4.9289279581529488</v>
      </c>
      <c r="AX43" s="119">
        <f t="shared" si="66"/>
        <v>126.62940649866883</v>
      </c>
      <c r="AY43" s="119">
        <f t="shared" si="67"/>
        <v>3.9263589700230761</v>
      </c>
      <c r="AZ43" s="119">
        <f t="shared" si="68"/>
        <v>5.8717280788308903</v>
      </c>
      <c r="BA43" s="119">
        <f t="shared" si="69"/>
        <v>4.9289279581529488</v>
      </c>
      <c r="BB43" s="95">
        <f t="shared" si="77"/>
        <v>0</v>
      </c>
      <c r="BC43" s="95">
        <f t="shared" si="78"/>
        <v>5.8717280788308903</v>
      </c>
      <c r="BD43" s="95">
        <f t="shared" si="79"/>
        <v>4.9289279581529488</v>
      </c>
      <c r="BE43" s="95">
        <f t="shared" si="80"/>
        <v>3.9263589700230761</v>
      </c>
      <c r="BF43" s="95">
        <f t="shared" si="81"/>
        <v>382.7843964986688</v>
      </c>
      <c r="BG43" s="95">
        <f t="shared" si="82"/>
        <v>0.45021666060421506</v>
      </c>
      <c r="BH43" s="95">
        <f t="shared" si="83"/>
        <v>0</v>
      </c>
      <c r="BI43" s="95">
        <f t="shared" si="84"/>
        <v>0</v>
      </c>
      <c r="BJ43" s="95">
        <f t="shared" si="85"/>
        <v>24.324272488799807</v>
      </c>
      <c r="BK43" s="95">
        <f t="shared" si="86"/>
        <v>187.00281170809052</v>
      </c>
      <c r="BM43" s="95">
        <f t="shared" si="70"/>
        <v>238.17333692180833</v>
      </c>
      <c r="BN43" s="95">
        <f t="shared" si="71"/>
        <v>211.77730085749454</v>
      </c>
      <c r="BO43" s="95">
        <f t="shared" si="72"/>
        <v>397.51141150567571</v>
      </c>
      <c r="BP43" s="95">
        <f t="shared" si="73"/>
        <v>141.35642150567574</v>
      </c>
      <c r="BQ43" s="44" t="str">
        <f t="shared" si="74"/>
        <v>Incineration</v>
      </c>
      <c r="BR43" s="44" t="str">
        <f t="shared" si="75"/>
        <v>Landfill</v>
      </c>
    </row>
    <row r="44" spans="3:70" ht="14.5" customHeight="1" x14ac:dyDescent="0.2">
      <c r="C44" s="8" t="str">
        <v>Jamaica</v>
      </c>
      <c r="D44" s="56" t="str">
        <v>Latin America &amp; Caribbean</v>
      </c>
      <c r="E44" s="117" t="str">
        <v>Upper middle income</v>
      </c>
      <c r="F44" s="44">
        <v>17.475065796705618</v>
      </c>
      <c r="G44" s="44">
        <v>191.70380069770326</v>
      </c>
      <c r="H44" s="44">
        <v>26.248612574492679</v>
      </c>
      <c r="I44" s="44">
        <v>0.29452358084335312</v>
      </c>
      <c r="J44" s="44">
        <v>191.70380069770326</v>
      </c>
      <c r="K44" s="44">
        <v>26.248612574492679</v>
      </c>
      <c r="L44" s="44">
        <v>387.80522999999999</v>
      </c>
      <c r="M44" s="44">
        <v>0</v>
      </c>
      <c r="N44" s="44">
        <v>1.62423704525629</v>
      </c>
      <c r="O44" s="44">
        <v>4.9289279581529488</v>
      </c>
      <c r="P44" s="44">
        <v>131.65024000000003</v>
      </c>
      <c r="Q44" s="44">
        <v>0</v>
      </c>
      <c r="R44" s="44">
        <v>1.62423704525629</v>
      </c>
      <c r="S44" s="44">
        <v>4.9289279581529488</v>
      </c>
      <c r="T44" s="44">
        <f t="shared" si="7"/>
        <v>235.42747906890156</v>
      </c>
      <c r="U44" s="44">
        <f t="shared" si="8"/>
        <v>218.2469368530393</v>
      </c>
      <c r="V44" s="44">
        <f t="shared" si="9"/>
        <v>394.35839500340921</v>
      </c>
      <c r="W44" s="44">
        <f t="shared" si="10"/>
        <v>138.20340500340924</v>
      </c>
      <c r="X44" s="44" t="str">
        <f t="shared" si="11"/>
        <v>Incineration</v>
      </c>
      <c r="Y44" s="44" t="str">
        <f t="shared" si="12"/>
        <v>Landfill</v>
      </c>
      <c r="Z44" s="44">
        <f t="shared" si="13"/>
        <v>0</v>
      </c>
      <c r="AA44" s="44">
        <f t="shared" si="14"/>
        <v>1.62423704525629</v>
      </c>
      <c r="AB44" s="44">
        <f t="shared" si="15"/>
        <v>4.9289279581529488</v>
      </c>
      <c r="AC44" s="44">
        <f t="shared" si="16"/>
        <v>0</v>
      </c>
      <c r="AD44" s="44">
        <f t="shared" si="17"/>
        <v>387.80522999999999</v>
      </c>
      <c r="AE44" s="44">
        <f t="shared" si="18"/>
        <v>0.29452358084335312</v>
      </c>
      <c r="AF44" s="44">
        <f t="shared" si="19"/>
        <v>0</v>
      </c>
      <c r="AG44" s="44">
        <f t="shared" si="20"/>
        <v>0</v>
      </c>
      <c r="AH44" s="44">
        <f t="shared" si="21"/>
        <v>26.248612574492679</v>
      </c>
      <c r="AI44" s="44">
        <f t="shared" si="22"/>
        <v>191.70380069770326</v>
      </c>
      <c r="AJ44" s="185"/>
      <c r="AK44" s="13" t="s">
        <v>22</v>
      </c>
      <c r="AL44" s="13" t="s">
        <v>580</v>
      </c>
      <c r="AM44" s="124" t="str">
        <f t="shared" si="76"/>
        <v>South Asia_Lower middle income</v>
      </c>
      <c r="AN44" s="119">
        <f t="shared" si="56"/>
        <v>18.682549411015433</v>
      </c>
      <c r="AO44" s="119">
        <f t="shared" si="57"/>
        <v>181.47379975685718</v>
      </c>
      <c r="AP44" s="119">
        <f t="shared" si="58"/>
        <v>16.163512715224211</v>
      </c>
      <c r="AQ44" s="119">
        <f t="shared" si="59"/>
        <v>0.30633780951627371</v>
      </c>
      <c r="AR44" s="119">
        <f t="shared" si="60"/>
        <v>181.47379975685718</v>
      </c>
      <c r="AS44" s="119">
        <f t="shared" si="61"/>
        <v>16.163512715224211</v>
      </c>
      <c r="AT44" s="119">
        <f t="shared" si="62"/>
        <v>387.80522999999999</v>
      </c>
      <c r="AU44" s="119">
        <f t="shared" si="63"/>
        <v>0</v>
      </c>
      <c r="AV44" s="119">
        <f t="shared" si="64"/>
        <v>25.353014152547104</v>
      </c>
      <c r="AW44" s="119">
        <f t="shared" si="65"/>
        <v>4.9289279581529488</v>
      </c>
      <c r="AX44" s="119">
        <f t="shared" si="66"/>
        <v>131.65024000000003</v>
      </c>
      <c r="AY44" s="119">
        <f t="shared" si="67"/>
        <v>0</v>
      </c>
      <c r="AZ44" s="119">
        <f t="shared" si="68"/>
        <v>25.353014152547104</v>
      </c>
      <c r="BA44" s="119">
        <f t="shared" si="69"/>
        <v>4.9289279581529488</v>
      </c>
      <c r="BB44" s="95">
        <f t="shared" si="77"/>
        <v>0</v>
      </c>
      <c r="BC44" s="95">
        <f t="shared" si="78"/>
        <v>25.353014152547104</v>
      </c>
      <c r="BD44" s="95">
        <f t="shared" si="79"/>
        <v>4.9289279581529488</v>
      </c>
      <c r="BE44" s="95">
        <f t="shared" si="80"/>
        <v>0</v>
      </c>
      <c r="BF44" s="95">
        <f t="shared" si="81"/>
        <v>387.80522999999999</v>
      </c>
      <c r="BG44" s="95">
        <f t="shared" si="82"/>
        <v>0.30633780951627371</v>
      </c>
      <c r="BH44" s="95">
        <f t="shared" si="83"/>
        <v>0</v>
      </c>
      <c r="BI44" s="95">
        <f t="shared" si="84"/>
        <v>0</v>
      </c>
      <c r="BJ44" s="95">
        <f t="shared" si="85"/>
        <v>16.163512715224211</v>
      </c>
      <c r="BK44" s="95">
        <f t="shared" si="86"/>
        <v>181.47379975685718</v>
      </c>
      <c r="BM44" s="95">
        <f t="shared" si="70"/>
        <v>216.31986188309682</v>
      </c>
      <c r="BN44" s="95">
        <f t="shared" si="71"/>
        <v>197.94365028159766</v>
      </c>
      <c r="BO44" s="95">
        <f t="shared" si="72"/>
        <v>418.08717211070007</v>
      </c>
      <c r="BP44" s="95">
        <f t="shared" si="73"/>
        <v>161.93218211070007</v>
      </c>
      <c r="BQ44" s="44" t="str">
        <f t="shared" si="74"/>
        <v>Incineration</v>
      </c>
      <c r="BR44" s="44" t="str">
        <f t="shared" si="75"/>
        <v>Landfill</v>
      </c>
    </row>
    <row r="45" spans="3:70" ht="14.5" customHeight="1" x14ac:dyDescent="0.2">
      <c r="C45" s="8" t="str">
        <v>Japan</v>
      </c>
      <c r="D45" s="56" t="str">
        <v>East Asia &amp; Pacific</v>
      </c>
      <c r="E45" s="117" t="str">
        <v>High income</v>
      </c>
      <c r="F45" s="44">
        <v>39.571923440091616</v>
      </c>
      <c r="G45" s="44">
        <v>187.00281170809052</v>
      </c>
      <c r="H45" s="44">
        <v>14.883744357578292</v>
      </c>
      <c r="I45" s="44">
        <v>0.66239425473184965</v>
      </c>
      <c r="J45" s="44">
        <v>187.00281170809052</v>
      </c>
      <c r="K45" s="44">
        <v>14.883744357578292</v>
      </c>
      <c r="L45" s="44">
        <v>333.45399552542318</v>
      </c>
      <c r="M45" s="44">
        <v>75.161053177296893</v>
      </c>
      <c r="N45" s="44">
        <v>2.8034958178543286</v>
      </c>
      <c r="O45" s="44">
        <v>4.9289279581529488</v>
      </c>
      <c r="P45" s="44">
        <v>77.299005525423212</v>
      </c>
      <c r="Q45" s="44">
        <v>75.161053177296893</v>
      </c>
      <c r="R45" s="44">
        <v>2.8034958178543286</v>
      </c>
      <c r="S45" s="44">
        <v>4.9289279581529488</v>
      </c>
      <c r="T45" s="44">
        <f t="shared" si="7"/>
        <v>241.45847950576041</v>
      </c>
      <c r="U45" s="44">
        <f t="shared" si="8"/>
        <v>202.54895032040065</v>
      </c>
      <c r="V45" s="44">
        <f t="shared" si="9"/>
        <v>416.34747247872735</v>
      </c>
      <c r="W45" s="44">
        <f t="shared" si="10"/>
        <v>160.19248247872738</v>
      </c>
      <c r="X45" s="44" t="str">
        <f t="shared" si="11"/>
        <v>Incineration</v>
      </c>
      <c r="Y45" s="44" t="str">
        <f t="shared" si="12"/>
        <v>Landfill</v>
      </c>
      <c r="Z45" s="44">
        <f t="shared" si="13"/>
        <v>0</v>
      </c>
      <c r="AA45" s="44">
        <f t="shared" si="14"/>
        <v>2.8034958178543286</v>
      </c>
      <c r="AB45" s="44">
        <f t="shared" si="15"/>
        <v>4.9289279581529488</v>
      </c>
      <c r="AC45" s="44">
        <f t="shared" si="16"/>
        <v>75.161053177296893</v>
      </c>
      <c r="AD45" s="44">
        <f t="shared" si="17"/>
        <v>333.45399552542318</v>
      </c>
      <c r="AE45" s="44">
        <f t="shared" si="18"/>
        <v>0.66239425473184965</v>
      </c>
      <c r="AF45" s="44">
        <f t="shared" si="19"/>
        <v>0</v>
      </c>
      <c r="AG45" s="44">
        <f t="shared" si="20"/>
        <v>0</v>
      </c>
      <c r="AH45" s="44">
        <f t="shared" si="21"/>
        <v>14.883744357578292</v>
      </c>
      <c r="AI45" s="44">
        <f t="shared" si="22"/>
        <v>187.00281170809052</v>
      </c>
      <c r="AJ45" s="185"/>
      <c r="AK45" s="13" t="s">
        <v>31</v>
      </c>
      <c r="AL45" s="13" t="s">
        <v>578</v>
      </c>
      <c r="AM45" s="124" t="str">
        <f t="shared" si="76"/>
        <v>Sub-Saharan Africa_Upper middle income</v>
      </c>
      <c r="AN45" s="119">
        <f t="shared" si="56"/>
        <v>28.925537175275039</v>
      </c>
      <c r="AO45" s="119">
        <f t="shared" si="57"/>
        <v>96.257196814715272</v>
      </c>
      <c r="AP45" s="119">
        <f t="shared" si="58"/>
        <v>20.369852633192828</v>
      </c>
      <c r="AQ45" s="119">
        <f t="shared" si="59"/>
        <v>0.48750905351587148</v>
      </c>
      <c r="AR45" s="119">
        <f t="shared" si="60"/>
        <v>96.257196814715272</v>
      </c>
      <c r="AS45" s="119">
        <f t="shared" si="61"/>
        <v>20.369852633192828</v>
      </c>
      <c r="AT45" s="119">
        <f t="shared" si="62"/>
        <v>387.80522999999999</v>
      </c>
      <c r="AU45" s="119">
        <f t="shared" si="63"/>
        <v>0</v>
      </c>
      <c r="AV45" s="119">
        <f t="shared" si="64"/>
        <v>1.3825221310123885</v>
      </c>
      <c r="AW45" s="119">
        <f t="shared" si="65"/>
        <v>4.9289279581529488</v>
      </c>
      <c r="AX45" s="119">
        <f t="shared" si="66"/>
        <v>131.65024000000003</v>
      </c>
      <c r="AY45" s="119">
        <f t="shared" si="67"/>
        <v>0</v>
      </c>
      <c r="AZ45" s="119">
        <f t="shared" si="68"/>
        <v>1.3825221310123885</v>
      </c>
      <c r="BA45" s="119">
        <f t="shared" si="69"/>
        <v>4.9289279581529488</v>
      </c>
      <c r="BB45" s="95">
        <f t="shared" si="77"/>
        <v>0</v>
      </c>
      <c r="BC45" s="95">
        <f t="shared" si="78"/>
        <v>1.3825221310123885</v>
      </c>
      <c r="BD45" s="95">
        <f t="shared" si="79"/>
        <v>4.9289279581529488</v>
      </c>
      <c r="BE45" s="95">
        <f t="shared" si="80"/>
        <v>0</v>
      </c>
      <c r="BF45" s="95">
        <f t="shared" si="81"/>
        <v>387.80522999999999</v>
      </c>
      <c r="BG45" s="95">
        <f t="shared" si="82"/>
        <v>0</v>
      </c>
      <c r="BH45" s="95">
        <f t="shared" si="83"/>
        <v>1.3825221310123885</v>
      </c>
      <c r="BI45" s="95">
        <f t="shared" si="84"/>
        <v>4.9289279581529488</v>
      </c>
      <c r="BJ45" s="95">
        <f t="shared" si="85"/>
        <v>0</v>
      </c>
      <c r="BK45" s="95">
        <f t="shared" si="86"/>
        <v>131.65024000000003</v>
      </c>
      <c r="BM45" s="95">
        <f t="shared" si="70"/>
        <v>145.55258662318315</v>
      </c>
      <c r="BN45" s="95">
        <f t="shared" si="71"/>
        <v>117.11455850142397</v>
      </c>
      <c r="BO45" s="95">
        <f t="shared" si="72"/>
        <v>394.1166800891653</v>
      </c>
      <c r="BP45" s="95">
        <f t="shared" si="73"/>
        <v>137.96169008916536</v>
      </c>
      <c r="BQ45" s="44" t="str">
        <f t="shared" si="74"/>
        <v>Incineration</v>
      </c>
      <c r="BR45" s="44" t="str">
        <f t="shared" si="75"/>
        <v>Incineration</v>
      </c>
    </row>
    <row r="46" spans="3:70" ht="14.5" customHeight="1" x14ac:dyDescent="0.2">
      <c r="C46" s="8" t="str">
        <v>Jordan</v>
      </c>
      <c r="D46" s="56" t="str">
        <v>Middle East &amp; North Africa</v>
      </c>
      <c r="E46" s="117" t="str">
        <v>Lower middle income</v>
      </c>
      <c r="F46" s="44">
        <v>11.788358879211817</v>
      </c>
      <c r="G46" s="44">
        <v>183.05003240919942</v>
      </c>
      <c r="H46" s="44">
        <v>16.035827290258691</v>
      </c>
      <c r="I46" s="44">
        <v>0.19496315331975875</v>
      </c>
      <c r="J46" s="44">
        <v>183.05003240919942</v>
      </c>
      <c r="K46" s="44">
        <v>16.035827290258691</v>
      </c>
      <c r="L46" s="44">
        <v>387.74407519489279</v>
      </c>
      <c r="M46" s="44">
        <v>0</v>
      </c>
      <c r="N46" s="44">
        <v>4.0026763251670285</v>
      </c>
      <c r="O46" s="44">
        <v>4.9289279581529488</v>
      </c>
      <c r="P46" s="44">
        <v>55.11660596510724</v>
      </c>
      <c r="Q46" s="44">
        <v>0</v>
      </c>
      <c r="R46" s="44">
        <v>4.0026763251670285</v>
      </c>
      <c r="S46" s="44">
        <v>4.9289279581529488</v>
      </c>
      <c r="T46" s="44">
        <f t="shared" si="7"/>
        <v>210.87421857866991</v>
      </c>
      <c r="U46" s="44">
        <f t="shared" si="8"/>
        <v>199.28082285277785</v>
      </c>
      <c r="V46" s="44">
        <f t="shared" si="9"/>
        <v>396.67567947821277</v>
      </c>
      <c r="W46" s="44">
        <f t="shared" si="10"/>
        <v>64.048210248427225</v>
      </c>
      <c r="X46" s="44" t="str">
        <f t="shared" si="11"/>
        <v>Incineration</v>
      </c>
      <c r="Y46" s="44" t="str">
        <f t="shared" si="12"/>
        <v>Landfill</v>
      </c>
      <c r="Z46" s="44">
        <f t="shared" si="13"/>
        <v>0</v>
      </c>
      <c r="AA46" s="44">
        <f t="shared" si="14"/>
        <v>4.0026763251670285</v>
      </c>
      <c r="AB46" s="44">
        <f t="shared" si="15"/>
        <v>4.9289279581529488</v>
      </c>
      <c r="AC46" s="44">
        <f t="shared" si="16"/>
        <v>0</v>
      </c>
      <c r="AD46" s="44">
        <f t="shared" si="17"/>
        <v>387.74407519489279</v>
      </c>
      <c r="AE46" s="44">
        <f t="shared" si="18"/>
        <v>0.19496315331975875</v>
      </c>
      <c r="AF46" s="44">
        <f t="shared" si="19"/>
        <v>0</v>
      </c>
      <c r="AG46" s="44">
        <f t="shared" si="20"/>
        <v>0</v>
      </c>
      <c r="AH46" s="44">
        <f t="shared" si="21"/>
        <v>16.035827290258691</v>
      </c>
      <c r="AI46" s="44">
        <f t="shared" si="22"/>
        <v>183.05003240919942</v>
      </c>
      <c r="AJ46" s="185"/>
    </row>
    <row r="47" spans="3:70" ht="14.5" customHeight="1" x14ac:dyDescent="0.2">
      <c r="C47" s="8" t="str">
        <v>Korea, Rep.</v>
      </c>
      <c r="D47" s="56" t="str">
        <v>East Asia &amp; Pacific</v>
      </c>
      <c r="E47" s="117" t="str">
        <v>High income</v>
      </c>
      <c r="F47" s="44">
        <v>91.903129757406873</v>
      </c>
      <c r="G47" s="44">
        <v>178.32133445217278</v>
      </c>
      <c r="H47" s="44">
        <v>387.70478954118727</v>
      </c>
      <c r="I47" s="44">
        <v>1.5489291532147225</v>
      </c>
      <c r="J47" s="44">
        <v>178.32133445217278</v>
      </c>
      <c r="K47" s="44">
        <v>387.70478954118727</v>
      </c>
      <c r="L47" s="44">
        <v>369.99741046427403</v>
      </c>
      <c r="M47" s="44">
        <v>272.14374904568507</v>
      </c>
      <c r="N47" s="44">
        <v>3.3237770815962864</v>
      </c>
      <c r="O47" s="44">
        <v>4.9289279581529488</v>
      </c>
      <c r="P47" s="44">
        <v>113.84242046427407</v>
      </c>
      <c r="Q47" s="44">
        <v>272.14374904568507</v>
      </c>
      <c r="R47" s="44">
        <v>3.3237770815962864</v>
      </c>
      <c r="S47" s="44">
        <v>4.9289279581529488</v>
      </c>
      <c r="T47" s="44">
        <f t="shared" si="7"/>
        <v>657.92925375076697</v>
      </c>
      <c r="U47" s="44">
        <f t="shared" si="8"/>
        <v>567.57505314657476</v>
      </c>
      <c r="V47" s="44">
        <f t="shared" si="9"/>
        <v>650.39386454970838</v>
      </c>
      <c r="W47" s="44">
        <f t="shared" si="10"/>
        <v>394.23887454970838</v>
      </c>
      <c r="X47" s="44" t="str">
        <f t="shared" si="11"/>
        <v>Landfill</v>
      </c>
      <c r="Y47" s="44" t="str">
        <f t="shared" si="12"/>
        <v>Landfill</v>
      </c>
      <c r="Z47" s="44">
        <f t="shared" si="13"/>
        <v>91.903129757406873</v>
      </c>
      <c r="AA47" s="44">
        <f t="shared" si="14"/>
        <v>0</v>
      </c>
      <c r="AB47" s="44">
        <f t="shared" si="15"/>
        <v>0</v>
      </c>
      <c r="AC47" s="44">
        <f t="shared" si="16"/>
        <v>387.70478954118727</v>
      </c>
      <c r="AD47" s="44">
        <f t="shared" si="17"/>
        <v>178.32133445217278</v>
      </c>
      <c r="AE47" s="44">
        <f t="shared" si="18"/>
        <v>1.5489291532147225</v>
      </c>
      <c r="AF47" s="44">
        <f t="shared" si="19"/>
        <v>0</v>
      </c>
      <c r="AG47" s="44">
        <f t="shared" si="20"/>
        <v>0</v>
      </c>
      <c r="AH47" s="44">
        <f t="shared" si="21"/>
        <v>387.70478954118727</v>
      </c>
      <c r="AI47" s="44">
        <f t="shared" si="22"/>
        <v>178.32133445217278</v>
      </c>
      <c r="AJ47" s="185"/>
    </row>
    <row r="48" spans="3:70" ht="14.5" customHeight="1" x14ac:dyDescent="0.25">
      <c r="C48" s="8" t="str">
        <v>Latvia</v>
      </c>
      <c r="D48" s="56" t="str">
        <v>Europe &amp; Central Asia</v>
      </c>
      <c r="E48" s="117" t="str">
        <v>High income</v>
      </c>
      <c r="F48" s="44">
        <v>33.762051638281903</v>
      </c>
      <c r="G48" s="44">
        <v>187.00281170809052</v>
      </c>
      <c r="H48" s="44">
        <v>4.3069350467346963</v>
      </c>
      <c r="I48" s="44">
        <v>0.56902334221823425</v>
      </c>
      <c r="J48" s="44">
        <v>187.00281170809052</v>
      </c>
      <c r="K48" s="44">
        <v>4.3069350467346963</v>
      </c>
      <c r="L48" s="44">
        <v>387.79914719766032</v>
      </c>
      <c r="M48" s="44">
        <v>0</v>
      </c>
      <c r="N48" s="44">
        <v>4.0342444809633635</v>
      </c>
      <c r="O48" s="44">
        <v>4.9289279581529488</v>
      </c>
      <c r="P48" s="44">
        <v>112.36012689033974</v>
      </c>
      <c r="Q48" s="44">
        <v>0</v>
      </c>
      <c r="R48" s="44">
        <v>4.0342444809633635</v>
      </c>
      <c r="S48" s="44">
        <v>4.9289279581529488</v>
      </c>
      <c r="T48" s="44">
        <f t="shared" si="7"/>
        <v>225.07179839310712</v>
      </c>
      <c r="U48" s="44">
        <f t="shared" si="8"/>
        <v>191.87877009704346</v>
      </c>
      <c r="V48" s="44">
        <f t="shared" si="9"/>
        <v>396.76231963677662</v>
      </c>
      <c r="W48" s="44">
        <f t="shared" si="10"/>
        <v>121.32329932945606</v>
      </c>
      <c r="X48" s="44" t="str">
        <f t="shared" si="11"/>
        <v>Incineration</v>
      </c>
      <c r="Y48" s="44" t="str">
        <f t="shared" si="12"/>
        <v>Landfill</v>
      </c>
      <c r="Z48" s="44">
        <f t="shared" si="13"/>
        <v>0</v>
      </c>
      <c r="AA48" s="44">
        <f t="shared" si="14"/>
        <v>4.0342444809633635</v>
      </c>
      <c r="AB48" s="44">
        <f t="shared" si="15"/>
        <v>4.9289279581529488</v>
      </c>
      <c r="AC48" s="44">
        <f t="shared" si="16"/>
        <v>0</v>
      </c>
      <c r="AD48" s="44">
        <f t="shared" si="17"/>
        <v>387.79914719766032</v>
      </c>
      <c r="AE48" s="44">
        <f t="shared" si="18"/>
        <v>0.56902334221823425</v>
      </c>
      <c r="AF48" s="44">
        <f t="shared" si="19"/>
        <v>0</v>
      </c>
      <c r="AG48" s="44">
        <f t="shared" si="20"/>
        <v>0</v>
      </c>
      <c r="AH48" s="44">
        <f t="shared" si="21"/>
        <v>4.3069350467346963</v>
      </c>
      <c r="AI48" s="44">
        <f t="shared" si="22"/>
        <v>187.00281170809052</v>
      </c>
      <c r="AJ48" s="185"/>
      <c r="AL48" s="118" t="s">
        <v>588</v>
      </c>
    </row>
    <row r="49" spans="3:70" ht="14.5" customHeight="1" x14ac:dyDescent="0.2">
      <c r="C49" s="8" t="str">
        <v>Lithuania</v>
      </c>
      <c r="D49" s="56" t="str">
        <v>Europe &amp; Central Asia</v>
      </c>
      <c r="E49" s="117" t="str">
        <v>High income</v>
      </c>
      <c r="F49" s="44">
        <v>41.760542674782592</v>
      </c>
      <c r="G49" s="44">
        <v>187.00281170809052</v>
      </c>
      <c r="H49" s="44">
        <v>9.8486515548017319</v>
      </c>
      <c r="I49" s="44">
        <v>0.70382937092330211</v>
      </c>
      <c r="J49" s="44">
        <v>187.00281170809052</v>
      </c>
      <c r="K49" s="44">
        <v>9.8486515548017319</v>
      </c>
      <c r="L49" s="44">
        <v>387.70325033565666</v>
      </c>
      <c r="M49" s="44">
        <v>6.7531172272897715</v>
      </c>
      <c r="N49" s="44">
        <v>3.6006581031416669</v>
      </c>
      <c r="O49" s="44">
        <v>4.9289279581529488</v>
      </c>
      <c r="P49" s="44">
        <v>106.66290012834338</v>
      </c>
      <c r="Q49" s="44">
        <v>6.7531172272897715</v>
      </c>
      <c r="R49" s="44">
        <v>3.6006581031416669</v>
      </c>
      <c r="S49" s="44">
        <v>4.9289279581529488</v>
      </c>
      <c r="T49" s="44">
        <f t="shared" si="7"/>
        <v>238.61200593767484</v>
      </c>
      <c r="U49" s="44">
        <f t="shared" si="8"/>
        <v>197.55529263381555</v>
      </c>
      <c r="V49" s="44">
        <f t="shared" si="9"/>
        <v>402.98595362424101</v>
      </c>
      <c r="W49" s="44">
        <f t="shared" si="10"/>
        <v>121.94560341692778</v>
      </c>
      <c r="X49" s="44" t="str">
        <f t="shared" si="11"/>
        <v>Incineration</v>
      </c>
      <c r="Y49" s="44" t="str">
        <f t="shared" si="12"/>
        <v>Landfill</v>
      </c>
      <c r="Z49" s="44">
        <f t="shared" si="13"/>
        <v>0</v>
      </c>
      <c r="AA49" s="44">
        <f t="shared" si="14"/>
        <v>3.6006581031416669</v>
      </c>
      <c r="AB49" s="44">
        <f t="shared" si="15"/>
        <v>4.9289279581529488</v>
      </c>
      <c r="AC49" s="44">
        <f t="shared" si="16"/>
        <v>6.7531172272897715</v>
      </c>
      <c r="AD49" s="44">
        <f t="shared" si="17"/>
        <v>387.70325033565666</v>
      </c>
      <c r="AE49" s="44">
        <f t="shared" si="18"/>
        <v>0.70382937092330211</v>
      </c>
      <c r="AF49" s="44">
        <f t="shared" si="19"/>
        <v>0</v>
      </c>
      <c r="AG49" s="44">
        <f t="shared" si="20"/>
        <v>0</v>
      </c>
      <c r="AH49" s="44">
        <f t="shared" si="21"/>
        <v>9.8486515548017319</v>
      </c>
      <c r="AI49" s="44">
        <f t="shared" si="22"/>
        <v>187.00281170809052</v>
      </c>
      <c r="AJ49" s="185"/>
    </row>
    <row r="50" spans="3:70" ht="14.5" customHeight="1" x14ac:dyDescent="0.2">
      <c r="C50" s="8" t="str">
        <v>Malaysia</v>
      </c>
      <c r="D50" s="56" t="str">
        <v>East Asia &amp; Pacific</v>
      </c>
      <c r="E50" s="117" t="str">
        <v>Upper middle income</v>
      </c>
      <c r="F50" s="44">
        <v>47.106298079363619</v>
      </c>
      <c r="G50" s="44">
        <v>172.44332499552027</v>
      </c>
      <c r="H50" s="44">
        <v>8.7449281975582416</v>
      </c>
      <c r="I50" s="44">
        <v>0.77861649717956405</v>
      </c>
      <c r="J50" s="44">
        <v>172.44332499552027</v>
      </c>
      <c r="K50" s="44">
        <v>8.7449281975582416</v>
      </c>
      <c r="L50" s="44">
        <v>385.31072123433688</v>
      </c>
      <c r="M50" s="44">
        <v>3.75855436915234</v>
      </c>
      <c r="N50" s="44">
        <v>5.2446733125652054</v>
      </c>
      <c r="O50" s="44">
        <v>4.9289279581529488</v>
      </c>
      <c r="P50" s="44">
        <v>48.359028189663135</v>
      </c>
      <c r="Q50" s="44">
        <v>3.75855436915234</v>
      </c>
      <c r="R50" s="44">
        <v>5.2446733125652054</v>
      </c>
      <c r="S50" s="44">
        <v>4.9289279581529488</v>
      </c>
      <c r="T50" s="44">
        <f t="shared" si="7"/>
        <v>228.29455127244213</v>
      </c>
      <c r="U50" s="44">
        <f t="shared" si="8"/>
        <v>181.96686969025808</v>
      </c>
      <c r="V50" s="44">
        <f t="shared" si="9"/>
        <v>399.24287687420741</v>
      </c>
      <c r="W50" s="44">
        <f t="shared" si="10"/>
        <v>62.29118382953363</v>
      </c>
      <c r="X50" s="44" t="str">
        <f t="shared" si="11"/>
        <v>Incineration</v>
      </c>
      <c r="Y50" s="44" t="str">
        <f t="shared" si="12"/>
        <v>Landfill</v>
      </c>
      <c r="Z50" s="44">
        <f t="shared" si="13"/>
        <v>0</v>
      </c>
      <c r="AA50" s="44">
        <f t="shared" si="14"/>
        <v>5.2446733125652054</v>
      </c>
      <c r="AB50" s="44">
        <f t="shared" si="15"/>
        <v>4.9289279581529488</v>
      </c>
      <c r="AC50" s="44">
        <f t="shared" si="16"/>
        <v>3.75855436915234</v>
      </c>
      <c r="AD50" s="44">
        <f t="shared" si="17"/>
        <v>385.31072123433688</v>
      </c>
      <c r="AE50" s="44">
        <f t="shared" si="18"/>
        <v>0.77861649717956405</v>
      </c>
      <c r="AF50" s="44">
        <f t="shared" si="19"/>
        <v>0</v>
      </c>
      <c r="AG50" s="44">
        <f t="shared" si="20"/>
        <v>0</v>
      </c>
      <c r="AH50" s="44">
        <f t="shared" si="21"/>
        <v>8.7449281975582416</v>
      </c>
      <c r="AI50" s="44">
        <f t="shared" si="22"/>
        <v>172.44332499552027</v>
      </c>
      <c r="AJ50" s="185"/>
      <c r="AK50" s="13" t="s">
        <v>22</v>
      </c>
      <c r="AL50" s="94" t="s">
        <v>586</v>
      </c>
      <c r="AM50" s="124" t="str">
        <f>AK50&amp;"_"&amp;AL50</f>
        <v>South Asia_Low income</v>
      </c>
      <c r="AN50" s="95">
        <f t="shared" ref="AN50:AW57" si="87">AVERAGE(INDEX(AN$14:AN$20,MATCH($AK50,Interim_Regions,0)),IF($AL50="Low income",INDEX(AN$25:AN$27,MATCH($AL$51,Interim_Income,0)),INDEX(AN$25:AN$27,MATCH($AL50,Interim_Income,0))))</f>
        <v>18.188477578406633</v>
      </c>
      <c r="AO50" s="95">
        <f t="shared" si="87"/>
        <v>179.15030978190379</v>
      </c>
      <c r="AP50" s="95">
        <f t="shared" si="87"/>
        <v>45.963541258569471</v>
      </c>
      <c r="AQ50" s="95">
        <f t="shared" si="87"/>
        <v>0.29905434226945427</v>
      </c>
      <c r="AR50" s="95">
        <f t="shared" si="87"/>
        <v>179.15030978190379</v>
      </c>
      <c r="AS50" s="95">
        <f t="shared" si="87"/>
        <v>45.963541258569471</v>
      </c>
      <c r="AT50" s="95">
        <f t="shared" si="87"/>
        <v>386.36066988979189</v>
      </c>
      <c r="AU50" s="95">
        <f t="shared" si="87"/>
        <v>3.0069383810950008</v>
      </c>
      <c r="AV50" s="95">
        <f t="shared" si="87"/>
        <v>18.28083197682821</v>
      </c>
      <c r="AW50" s="95">
        <f t="shared" si="87"/>
        <v>4.9289279581529488</v>
      </c>
      <c r="AX50" s="95">
        <f t="shared" ref="AX50:BA57" si="88">AVERAGE(INDEX(AX$14:AX$20,MATCH($AK50,Interim_Regions,0)),IF($AL50="Low income",INDEX(AX$25:AX$27,MATCH($AL$51,Interim_Income,0)),INDEX(AX$25:AX$27,MATCH($AL50,Interim_Income,0))))</f>
        <v>124.01862912013361</v>
      </c>
      <c r="AY50" s="95">
        <f t="shared" si="88"/>
        <v>3.0069383810950008</v>
      </c>
      <c r="AZ50" s="95">
        <f t="shared" si="88"/>
        <v>18.28083197682821</v>
      </c>
      <c r="BA50" s="95">
        <f t="shared" si="88"/>
        <v>4.9289279581529488</v>
      </c>
      <c r="BB50" s="95">
        <f t="shared" ref="BB50:BB57" si="89">IF(BQ50="Incineration",0,AN50)</f>
        <v>0</v>
      </c>
      <c r="BC50" s="95">
        <f t="shared" ref="BC50:BC57" si="90">IF(BQ50="Incineration",AV50,0)</f>
        <v>18.28083197682821</v>
      </c>
      <c r="BD50" s="95">
        <f t="shared" ref="BD50:BD57" si="91">IF(BQ50="Incineration",AW50,0)</f>
        <v>4.9289279581529488</v>
      </c>
      <c r="BE50" s="95">
        <f t="shared" ref="BE50:BE57" si="92">IF(BQ50="Incineration",AU50,AP50)</f>
        <v>3.0069383810950008</v>
      </c>
      <c r="BF50" s="95">
        <f t="shared" ref="BF50:BF57" si="93">IF(BQ50="Incineration",AT50,AO50)</f>
        <v>386.36066988979189</v>
      </c>
      <c r="BG50" s="95">
        <f t="shared" ref="BG50:BG57" si="94">IF(BR50="Incineration",0,AQ50)</f>
        <v>0.29905434226945427</v>
      </c>
      <c r="BH50" s="95">
        <f t="shared" ref="BH50:BH57" si="95">IF(BR50="Incineration",AZ50,0)</f>
        <v>0</v>
      </c>
      <c r="BI50" s="95">
        <f t="shared" ref="BI50:BI57" si="96">IF(BR50="Incineration",BA50,0)</f>
        <v>0</v>
      </c>
      <c r="BJ50" s="95">
        <f t="shared" ref="BJ50:BJ57" si="97">IF(BR50="Incineration",AY50,AS50)</f>
        <v>45.963541258569471</v>
      </c>
      <c r="BK50" s="95">
        <f t="shared" ref="BK50:BK57" si="98">IF(BR50="Incineration",AX50,AR50)</f>
        <v>179.15030978190379</v>
      </c>
      <c r="BM50" s="95">
        <f t="shared" ref="BM50:BM57" si="99">SUM(AN50:AP50)</f>
        <v>243.3023286188799</v>
      </c>
      <c r="BN50" s="95">
        <f t="shared" ref="BN50:BN57" si="100">SUM(AQ50:AS50)</f>
        <v>225.41290538274271</v>
      </c>
      <c r="BO50" s="95">
        <f t="shared" ref="BO50:BO57" si="101">SUM(AT50:AW50)</f>
        <v>412.57736820586803</v>
      </c>
      <c r="BP50" s="95">
        <f t="shared" ref="BP50:BP57" si="102">SUM(AX50:BA50)</f>
        <v>150.23532743620976</v>
      </c>
      <c r="BQ50" s="44" t="str">
        <f t="shared" ref="BQ50:BQ57" si="103">IF(MAX(BM50,BO50)=BM50,BM$10,BO$10)</f>
        <v>Incineration</v>
      </c>
      <c r="BR50" s="44" t="str">
        <f t="shared" ref="BR50:BR57" si="104">IF(MAX(BN50,BP50)=BN50,BN$10,BP$10)</f>
        <v>Landfill</v>
      </c>
    </row>
    <row r="51" spans="3:70" ht="14.5" customHeight="1" x14ac:dyDescent="0.2">
      <c r="C51" s="8" t="str">
        <v>Mauritius</v>
      </c>
      <c r="D51" s="56" t="str">
        <v>Sub-Saharan Africa</v>
      </c>
      <c r="E51" s="117" t="str">
        <v>Upper middle income</v>
      </c>
      <c r="F51" s="44">
        <v>44.847679566063562</v>
      </c>
      <c r="G51" s="44">
        <v>9.4643612202311207</v>
      </c>
      <c r="H51" s="44">
        <v>28.726036410276929</v>
      </c>
      <c r="I51" s="44">
        <v>0.75585976796736343</v>
      </c>
      <c r="J51" s="44">
        <v>9.4643612202311207</v>
      </c>
      <c r="K51" s="44">
        <v>28.726036410276929</v>
      </c>
      <c r="L51" s="44">
        <v>387.80522999999999</v>
      </c>
      <c r="M51" s="44">
        <v>0</v>
      </c>
      <c r="N51" s="44">
        <v>1.5197151695252897</v>
      </c>
      <c r="O51" s="44">
        <v>4.9289279581529488</v>
      </c>
      <c r="P51" s="44">
        <v>131.65024000000003</v>
      </c>
      <c r="Q51" s="44">
        <v>0</v>
      </c>
      <c r="R51" s="44">
        <v>1.5197151695252897</v>
      </c>
      <c r="S51" s="44">
        <v>4.9289279581529488</v>
      </c>
      <c r="T51" s="44">
        <f t="shared" si="7"/>
        <v>83.038077196571606</v>
      </c>
      <c r="U51" s="44">
        <f t="shared" si="8"/>
        <v>38.94625739847541</v>
      </c>
      <c r="V51" s="44">
        <f t="shared" si="9"/>
        <v>394.25387312767822</v>
      </c>
      <c r="W51" s="44">
        <f t="shared" si="10"/>
        <v>138.09888312767825</v>
      </c>
      <c r="X51" s="44" t="str">
        <f t="shared" si="11"/>
        <v>Incineration</v>
      </c>
      <c r="Y51" s="44" t="str">
        <f t="shared" si="12"/>
        <v>Incineration</v>
      </c>
      <c r="Z51" s="44">
        <f t="shared" si="13"/>
        <v>0</v>
      </c>
      <c r="AA51" s="44">
        <f t="shared" si="14"/>
        <v>1.5197151695252897</v>
      </c>
      <c r="AB51" s="44">
        <f t="shared" si="15"/>
        <v>4.9289279581529488</v>
      </c>
      <c r="AC51" s="44">
        <f t="shared" si="16"/>
        <v>0</v>
      </c>
      <c r="AD51" s="44">
        <f t="shared" si="17"/>
        <v>387.80522999999999</v>
      </c>
      <c r="AE51" s="44">
        <f t="shared" si="18"/>
        <v>0</v>
      </c>
      <c r="AF51" s="44">
        <f t="shared" si="19"/>
        <v>1.5197151695252897</v>
      </c>
      <c r="AG51" s="44">
        <f t="shared" si="20"/>
        <v>4.9289279581529488</v>
      </c>
      <c r="AH51" s="44">
        <f t="shared" si="21"/>
        <v>0</v>
      </c>
      <c r="AI51" s="44">
        <f t="shared" si="22"/>
        <v>131.65024000000003</v>
      </c>
      <c r="AJ51" s="185"/>
      <c r="AK51" s="13" t="s">
        <v>31</v>
      </c>
      <c r="AL51" s="13" t="s">
        <v>580</v>
      </c>
      <c r="AM51" s="124" t="str">
        <f t="shared" ref="AM51:AM57" si="105">AK51&amp;"_"&amp;AL51</f>
        <v>Sub-Saharan Africa_Lower middle income</v>
      </c>
      <c r="AN51" s="95">
        <f t="shared" si="87"/>
        <v>23.309971460536438</v>
      </c>
      <c r="AO51" s="95">
        <f t="shared" si="87"/>
        <v>136.54200831083281</v>
      </c>
      <c r="AP51" s="95">
        <f t="shared" si="87"/>
        <v>48.066711217553774</v>
      </c>
      <c r="AQ51" s="95">
        <f t="shared" si="87"/>
        <v>0.38963996426925313</v>
      </c>
      <c r="AR51" s="95">
        <f t="shared" si="87"/>
        <v>136.54200831083281</v>
      </c>
      <c r="AS51" s="95">
        <f t="shared" si="87"/>
        <v>48.066711217553774</v>
      </c>
      <c r="AT51" s="95">
        <f t="shared" si="87"/>
        <v>386.36066988979189</v>
      </c>
      <c r="AU51" s="95">
        <f t="shared" si="87"/>
        <v>3.0069383810950008</v>
      </c>
      <c r="AV51" s="95">
        <f t="shared" si="87"/>
        <v>6.2955859660608509</v>
      </c>
      <c r="AW51" s="95">
        <f t="shared" si="87"/>
        <v>4.9289279581529488</v>
      </c>
      <c r="AX51" s="95">
        <f t="shared" si="88"/>
        <v>124.01862912013361</v>
      </c>
      <c r="AY51" s="95">
        <f t="shared" si="88"/>
        <v>3.0069383810950008</v>
      </c>
      <c r="AZ51" s="95">
        <f t="shared" si="88"/>
        <v>6.2955859660608509</v>
      </c>
      <c r="BA51" s="95">
        <f t="shared" si="88"/>
        <v>4.9289279581529488</v>
      </c>
      <c r="BB51" s="95">
        <f t="shared" si="89"/>
        <v>0</v>
      </c>
      <c r="BC51" s="95">
        <f t="shared" si="90"/>
        <v>6.2955859660608509</v>
      </c>
      <c r="BD51" s="95">
        <f t="shared" si="91"/>
        <v>4.9289279581529488</v>
      </c>
      <c r="BE51" s="95">
        <f t="shared" si="92"/>
        <v>3.0069383810950008</v>
      </c>
      <c r="BF51" s="95">
        <f t="shared" si="93"/>
        <v>386.36066988979189</v>
      </c>
      <c r="BG51" s="95">
        <f t="shared" si="94"/>
        <v>0.38963996426925313</v>
      </c>
      <c r="BH51" s="95">
        <f t="shared" si="95"/>
        <v>0</v>
      </c>
      <c r="BI51" s="95">
        <f t="shared" si="96"/>
        <v>0</v>
      </c>
      <c r="BJ51" s="95">
        <f t="shared" si="97"/>
        <v>48.066711217553774</v>
      </c>
      <c r="BK51" s="95">
        <f t="shared" si="98"/>
        <v>136.54200831083281</v>
      </c>
      <c r="BM51" s="95">
        <f t="shared" si="99"/>
        <v>207.91869098892303</v>
      </c>
      <c r="BN51" s="95">
        <f t="shared" si="100"/>
        <v>184.99835949265585</v>
      </c>
      <c r="BO51" s="95">
        <f t="shared" si="101"/>
        <v>400.59212219510067</v>
      </c>
      <c r="BP51" s="95">
        <f t="shared" si="102"/>
        <v>138.2500814254424</v>
      </c>
      <c r="BQ51" s="44" t="str">
        <f t="shared" si="103"/>
        <v>Incineration</v>
      </c>
      <c r="BR51" s="44" t="str">
        <f t="shared" si="104"/>
        <v>Landfill</v>
      </c>
    </row>
    <row r="52" spans="3:70" ht="14.5" customHeight="1" x14ac:dyDescent="0.2">
      <c r="C52" s="8" t="str">
        <v>Mexico</v>
      </c>
      <c r="D52" s="56" t="str">
        <v>Latin America &amp; Caribbean</v>
      </c>
      <c r="E52" s="117" t="str">
        <v>Upper middle income</v>
      </c>
      <c r="F52" s="44">
        <v>19.261863209537939</v>
      </c>
      <c r="G52" s="44">
        <v>42.920443416545837</v>
      </c>
      <c r="H52" s="44">
        <v>3.7218940666371929</v>
      </c>
      <c r="I52" s="44">
        <v>0.32463814398097651</v>
      </c>
      <c r="J52" s="44">
        <v>42.920443416545837</v>
      </c>
      <c r="K52" s="44">
        <v>3.7218940666371929</v>
      </c>
      <c r="L52" s="44">
        <v>382.48458895500346</v>
      </c>
      <c r="M52" s="44">
        <v>2.5099715358478929</v>
      </c>
      <c r="N52" s="44">
        <v>4.0764802547292067</v>
      </c>
      <c r="O52" s="44">
        <v>4.9289279581529488</v>
      </c>
      <c r="P52" s="44">
        <v>126.32959895500349</v>
      </c>
      <c r="Q52" s="44">
        <v>2.5099715358478929</v>
      </c>
      <c r="R52" s="44">
        <v>4.0764802547292067</v>
      </c>
      <c r="S52" s="44">
        <v>4.9289279581529488</v>
      </c>
      <c r="T52" s="44">
        <f t="shared" si="7"/>
        <v>65.904200692720963</v>
      </c>
      <c r="U52" s="44">
        <f t="shared" si="8"/>
        <v>46.966975627164004</v>
      </c>
      <c r="V52" s="44">
        <f t="shared" si="9"/>
        <v>393.99996870373354</v>
      </c>
      <c r="W52" s="44">
        <f t="shared" si="10"/>
        <v>137.84497870373352</v>
      </c>
      <c r="X52" s="44" t="str">
        <f t="shared" si="11"/>
        <v>Incineration</v>
      </c>
      <c r="Y52" s="44" t="str">
        <f t="shared" si="12"/>
        <v>Incineration</v>
      </c>
      <c r="Z52" s="44">
        <f t="shared" si="13"/>
        <v>0</v>
      </c>
      <c r="AA52" s="44">
        <f t="shared" si="14"/>
        <v>4.0764802547292067</v>
      </c>
      <c r="AB52" s="44">
        <f t="shared" si="15"/>
        <v>4.9289279581529488</v>
      </c>
      <c r="AC52" s="44">
        <f t="shared" si="16"/>
        <v>2.5099715358478929</v>
      </c>
      <c r="AD52" s="44">
        <f t="shared" si="17"/>
        <v>382.48458895500346</v>
      </c>
      <c r="AE52" s="44">
        <f t="shared" si="18"/>
        <v>0</v>
      </c>
      <c r="AF52" s="44">
        <f t="shared" si="19"/>
        <v>4.0764802547292067</v>
      </c>
      <c r="AG52" s="44">
        <f t="shared" si="20"/>
        <v>4.9289279581529488</v>
      </c>
      <c r="AH52" s="44">
        <f t="shared" si="21"/>
        <v>2.5099715358478929</v>
      </c>
      <c r="AI52" s="44">
        <f t="shared" si="22"/>
        <v>126.32959895500349</v>
      </c>
      <c r="AJ52" s="185"/>
      <c r="AK52" s="13" t="s">
        <v>31</v>
      </c>
      <c r="AL52" s="94" t="s">
        <v>586</v>
      </c>
      <c r="AM52" s="124" t="str">
        <f t="shared" si="105"/>
        <v>Sub-Saharan Africa_Low income</v>
      </c>
      <c r="AN52" s="95">
        <f t="shared" si="87"/>
        <v>23.309971460536438</v>
      </c>
      <c r="AO52" s="95">
        <f t="shared" si="87"/>
        <v>136.54200831083281</v>
      </c>
      <c r="AP52" s="95">
        <f t="shared" si="87"/>
        <v>48.066711217553774</v>
      </c>
      <c r="AQ52" s="95">
        <f t="shared" si="87"/>
        <v>0.38963996426925313</v>
      </c>
      <c r="AR52" s="95">
        <f t="shared" si="87"/>
        <v>136.54200831083281</v>
      </c>
      <c r="AS52" s="95">
        <f t="shared" si="87"/>
        <v>48.066711217553774</v>
      </c>
      <c r="AT52" s="95">
        <f t="shared" si="87"/>
        <v>386.36066988979189</v>
      </c>
      <c r="AU52" s="95">
        <f t="shared" si="87"/>
        <v>3.0069383810950008</v>
      </c>
      <c r="AV52" s="95">
        <f t="shared" si="87"/>
        <v>6.2955859660608509</v>
      </c>
      <c r="AW52" s="95">
        <f t="shared" si="87"/>
        <v>4.9289279581529488</v>
      </c>
      <c r="AX52" s="95">
        <f t="shared" si="88"/>
        <v>124.01862912013361</v>
      </c>
      <c r="AY52" s="95">
        <f t="shared" si="88"/>
        <v>3.0069383810950008</v>
      </c>
      <c r="AZ52" s="95">
        <f t="shared" si="88"/>
        <v>6.2955859660608509</v>
      </c>
      <c r="BA52" s="95">
        <f t="shared" si="88"/>
        <v>4.9289279581529488</v>
      </c>
      <c r="BB52" s="95">
        <f t="shared" si="89"/>
        <v>0</v>
      </c>
      <c r="BC52" s="95">
        <f t="shared" si="90"/>
        <v>6.2955859660608509</v>
      </c>
      <c r="BD52" s="95">
        <f t="shared" si="91"/>
        <v>4.9289279581529488</v>
      </c>
      <c r="BE52" s="95">
        <f t="shared" si="92"/>
        <v>3.0069383810950008</v>
      </c>
      <c r="BF52" s="95">
        <f t="shared" si="93"/>
        <v>386.36066988979189</v>
      </c>
      <c r="BG52" s="95">
        <f t="shared" si="94"/>
        <v>0.38963996426925313</v>
      </c>
      <c r="BH52" s="95">
        <f t="shared" si="95"/>
        <v>0</v>
      </c>
      <c r="BI52" s="95">
        <f t="shared" si="96"/>
        <v>0</v>
      </c>
      <c r="BJ52" s="95">
        <f t="shared" si="97"/>
        <v>48.066711217553774</v>
      </c>
      <c r="BK52" s="95">
        <f t="shared" si="98"/>
        <v>136.54200831083281</v>
      </c>
      <c r="BM52" s="95">
        <f t="shared" si="99"/>
        <v>207.91869098892303</v>
      </c>
      <c r="BN52" s="95">
        <f t="shared" si="100"/>
        <v>184.99835949265585</v>
      </c>
      <c r="BO52" s="95">
        <f t="shared" si="101"/>
        <v>400.59212219510067</v>
      </c>
      <c r="BP52" s="95">
        <f t="shared" si="102"/>
        <v>138.2500814254424</v>
      </c>
      <c r="BQ52" s="44" t="str">
        <f t="shared" si="103"/>
        <v>Incineration</v>
      </c>
      <c r="BR52" s="44" t="str">
        <f t="shared" si="104"/>
        <v>Landfill</v>
      </c>
    </row>
    <row r="53" spans="3:70" ht="14.5" customHeight="1" x14ac:dyDescent="0.2">
      <c r="C53" s="8" t="str">
        <v>Netherlands</v>
      </c>
      <c r="D53" s="56" t="str">
        <v>Europe &amp; Central Asia</v>
      </c>
      <c r="E53" s="117" t="str">
        <v>High income</v>
      </c>
      <c r="F53" s="44">
        <v>11.386615891288072</v>
      </c>
      <c r="G53" s="44">
        <v>187.00281170809052</v>
      </c>
      <c r="H53" s="44">
        <v>2825.8667321963458</v>
      </c>
      <c r="I53" s="44">
        <v>0.18073993478235037</v>
      </c>
      <c r="J53" s="44">
        <v>187.00281170809052</v>
      </c>
      <c r="K53" s="44">
        <v>2825.8667321963458</v>
      </c>
      <c r="L53" s="44">
        <v>384.16309766809036</v>
      </c>
      <c r="M53" s="44">
        <v>119.70225174831582</v>
      </c>
      <c r="N53" s="44">
        <v>3.1588549026789909</v>
      </c>
      <c r="O53" s="44">
        <v>4.9289279581529488</v>
      </c>
      <c r="P53" s="44">
        <v>89.273551859909702</v>
      </c>
      <c r="Q53" s="44">
        <v>119.70225174831582</v>
      </c>
      <c r="R53" s="44">
        <v>3.1588549026789909</v>
      </c>
      <c r="S53" s="44">
        <v>4.9289279581529488</v>
      </c>
      <c r="T53" s="44">
        <f t="shared" si="7"/>
        <v>3024.2561597957242</v>
      </c>
      <c r="U53" s="44">
        <f t="shared" si="8"/>
        <v>3013.0502838392185</v>
      </c>
      <c r="V53" s="44">
        <f t="shared" si="9"/>
        <v>511.95313227723807</v>
      </c>
      <c r="W53" s="44">
        <f t="shared" si="10"/>
        <v>217.06358646905747</v>
      </c>
      <c r="X53" s="44" t="str">
        <f t="shared" si="11"/>
        <v>Landfill</v>
      </c>
      <c r="Y53" s="44" t="str">
        <f t="shared" si="12"/>
        <v>Landfill</v>
      </c>
      <c r="Z53" s="44">
        <f t="shared" si="13"/>
        <v>11.386615891288072</v>
      </c>
      <c r="AA53" s="44">
        <f t="shared" si="14"/>
        <v>0</v>
      </c>
      <c r="AB53" s="44">
        <f t="shared" si="15"/>
        <v>0</v>
      </c>
      <c r="AC53" s="44">
        <f t="shared" si="16"/>
        <v>2825.8667321963458</v>
      </c>
      <c r="AD53" s="44">
        <f t="shared" si="17"/>
        <v>187.00281170809052</v>
      </c>
      <c r="AE53" s="44">
        <f t="shared" si="18"/>
        <v>0.18073993478235037</v>
      </c>
      <c r="AF53" s="44">
        <f t="shared" si="19"/>
        <v>0</v>
      </c>
      <c r="AG53" s="44">
        <f t="shared" si="20"/>
        <v>0</v>
      </c>
      <c r="AH53" s="44">
        <f t="shared" si="21"/>
        <v>2825.8667321963458</v>
      </c>
      <c r="AI53" s="44">
        <f t="shared" si="22"/>
        <v>187.00281170809052</v>
      </c>
      <c r="AJ53" s="185"/>
      <c r="AK53" s="13" t="s">
        <v>26</v>
      </c>
      <c r="AL53" s="13" t="s">
        <v>578</v>
      </c>
      <c r="AM53" s="124" t="str">
        <f t="shared" si="105"/>
        <v>Middle East &amp; North Africa_Upper middle income</v>
      </c>
      <c r="AN53" s="95">
        <f t="shared" si="87"/>
        <v>30.294715124539458</v>
      </c>
      <c r="AO53" s="95">
        <f t="shared" si="87"/>
        <v>158.10218942291891</v>
      </c>
      <c r="AP53" s="95">
        <f t="shared" si="87"/>
        <v>42.620212096282287</v>
      </c>
      <c r="AQ53" s="95">
        <f t="shared" si="87"/>
        <v>0.50493108962241351</v>
      </c>
      <c r="AR53" s="95">
        <f t="shared" si="87"/>
        <v>158.10218942291891</v>
      </c>
      <c r="AS53" s="95">
        <f t="shared" si="87"/>
        <v>42.620212096282287</v>
      </c>
      <c r="AT53" s="95">
        <f t="shared" si="87"/>
        <v>384.65582734226996</v>
      </c>
      <c r="AU53" s="95">
        <f t="shared" si="87"/>
        <v>36.769578376181798</v>
      </c>
      <c r="AV53" s="95">
        <f t="shared" si="87"/>
        <v>3.8160436740925889</v>
      </c>
      <c r="AW53" s="95">
        <f t="shared" si="87"/>
        <v>4.9289279581529488</v>
      </c>
      <c r="AX53" s="95">
        <f t="shared" si="88"/>
        <v>108.14207913996019</v>
      </c>
      <c r="AY53" s="95">
        <f t="shared" si="88"/>
        <v>36.769578376181798</v>
      </c>
      <c r="AZ53" s="95">
        <f t="shared" si="88"/>
        <v>3.8160436740925889</v>
      </c>
      <c r="BA53" s="95">
        <f t="shared" si="88"/>
        <v>4.9289279581529488</v>
      </c>
      <c r="BB53" s="95">
        <f t="shared" si="89"/>
        <v>0</v>
      </c>
      <c r="BC53" s="95">
        <f t="shared" si="90"/>
        <v>3.8160436740925889</v>
      </c>
      <c r="BD53" s="95">
        <f t="shared" si="91"/>
        <v>4.9289279581529488</v>
      </c>
      <c r="BE53" s="95">
        <f t="shared" si="92"/>
        <v>36.769578376181798</v>
      </c>
      <c r="BF53" s="95">
        <f t="shared" si="93"/>
        <v>384.65582734226996</v>
      </c>
      <c r="BG53" s="95">
        <f t="shared" si="94"/>
        <v>0.50493108962241351</v>
      </c>
      <c r="BH53" s="95">
        <f t="shared" si="95"/>
        <v>0</v>
      </c>
      <c r="BI53" s="95">
        <f t="shared" si="96"/>
        <v>0</v>
      </c>
      <c r="BJ53" s="95">
        <f t="shared" si="97"/>
        <v>42.620212096282287</v>
      </c>
      <c r="BK53" s="95">
        <f t="shared" si="98"/>
        <v>158.10218942291891</v>
      </c>
      <c r="BM53" s="95">
        <f t="shared" si="99"/>
        <v>231.01711664374068</v>
      </c>
      <c r="BN53" s="95">
        <f t="shared" si="100"/>
        <v>201.22733260882359</v>
      </c>
      <c r="BO53" s="95">
        <f t="shared" si="101"/>
        <v>430.17037735069732</v>
      </c>
      <c r="BP53" s="95">
        <f t="shared" si="102"/>
        <v>153.65662914838751</v>
      </c>
      <c r="BQ53" s="44" t="str">
        <f t="shared" si="103"/>
        <v>Incineration</v>
      </c>
      <c r="BR53" s="44" t="str">
        <f t="shared" si="104"/>
        <v>Landfill</v>
      </c>
    </row>
    <row r="54" spans="3:70" ht="14.5" customHeight="1" x14ac:dyDescent="0.2">
      <c r="C54" s="8" t="str">
        <v>New Zealand</v>
      </c>
      <c r="D54" s="56" t="str">
        <v>East Asia &amp; Pacific</v>
      </c>
      <c r="E54" s="117" t="str">
        <v>High income</v>
      </c>
      <c r="F54" s="44">
        <v>19.850700147398207</v>
      </c>
      <c r="G54" s="44">
        <v>187.00281170809052</v>
      </c>
      <c r="H54" s="44">
        <v>6.6372154441223481</v>
      </c>
      <c r="I54" s="44">
        <v>0.33289994036009413</v>
      </c>
      <c r="J54" s="44">
        <v>187.00281170809052</v>
      </c>
      <c r="K54" s="44">
        <v>6.6372154441223481</v>
      </c>
      <c r="L54" s="44">
        <v>387.80522999999999</v>
      </c>
      <c r="M54" s="44">
        <v>0</v>
      </c>
      <c r="N54" s="44">
        <v>1.0668727105709097</v>
      </c>
      <c r="O54" s="44">
        <v>4.9289279581529488</v>
      </c>
      <c r="P54" s="44">
        <v>131.65024000000003</v>
      </c>
      <c r="Q54" s="44">
        <v>0</v>
      </c>
      <c r="R54" s="44">
        <v>1.0668727105709097</v>
      </c>
      <c r="S54" s="44">
        <v>4.9289279581529488</v>
      </c>
      <c r="T54" s="44">
        <f t="shared" si="7"/>
        <v>213.49072729961108</v>
      </c>
      <c r="U54" s="44">
        <f t="shared" si="8"/>
        <v>193.97292709257297</v>
      </c>
      <c r="V54" s="44">
        <f t="shared" si="9"/>
        <v>393.80103066872385</v>
      </c>
      <c r="W54" s="44">
        <f t="shared" si="10"/>
        <v>137.64604066872388</v>
      </c>
      <c r="X54" s="44" t="str">
        <f t="shared" si="11"/>
        <v>Incineration</v>
      </c>
      <c r="Y54" s="44" t="str">
        <f t="shared" si="12"/>
        <v>Landfill</v>
      </c>
      <c r="Z54" s="44">
        <f t="shared" si="13"/>
        <v>0</v>
      </c>
      <c r="AA54" s="44">
        <f t="shared" si="14"/>
        <v>1.0668727105709097</v>
      </c>
      <c r="AB54" s="44">
        <f t="shared" si="15"/>
        <v>4.9289279581529488</v>
      </c>
      <c r="AC54" s="44">
        <f t="shared" si="16"/>
        <v>0</v>
      </c>
      <c r="AD54" s="44">
        <f t="shared" si="17"/>
        <v>387.80522999999999</v>
      </c>
      <c r="AE54" s="44">
        <f t="shared" si="18"/>
        <v>0.33289994036009413</v>
      </c>
      <c r="AF54" s="44">
        <f t="shared" si="19"/>
        <v>0</v>
      </c>
      <c r="AG54" s="44">
        <f t="shared" si="20"/>
        <v>0</v>
      </c>
      <c r="AH54" s="44">
        <f t="shared" si="21"/>
        <v>6.6372154441223481</v>
      </c>
      <c r="AI54" s="44">
        <f t="shared" si="22"/>
        <v>187.00281170809052</v>
      </c>
      <c r="AJ54" s="185"/>
      <c r="AK54" s="13" t="s">
        <v>28</v>
      </c>
      <c r="AL54" s="94" t="s">
        <v>586</v>
      </c>
      <c r="AM54" s="124" t="str">
        <f t="shared" si="105"/>
        <v>East Asia &amp; Pacific_Low income</v>
      </c>
      <c r="AN54" s="95">
        <f t="shared" si="87"/>
        <v>26.699525285506063</v>
      </c>
      <c r="AO54" s="95">
        <f t="shared" si="87"/>
        <v>179.95944080257644</v>
      </c>
      <c r="AP54" s="95">
        <f t="shared" si="87"/>
        <v>95.044503314672568</v>
      </c>
      <c r="AQ54" s="95">
        <f t="shared" si="87"/>
        <v>0.44297760401666381</v>
      </c>
      <c r="AR54" s="95">
        <f t="shared" si="87"/>
        <v>179.95944080257644</v>
      </c>
      <c r="AS54" s="95">
        <f t="shared" si="87"/>
        <v>95.044503314672568</v>
      </c>
      <c r="AT54" s="95">
        <f t="shared" si="87"/>
        <v>378.86939872183012</v>
      </c>
      <c r="AU54" s="95">
        <f t="shared" si="87"/>
        <v>26.267127076778895</v>
      </c>
      <c r="AV54" s="95">
        <f t="shared" si="87"/>
        <v>7.4353627579260362</v>
      </c>
      <c r="AW54" s="95">
        <f t="shared" si="87"/>
        <v>4.9289279581529479</v>
      </c>
      <c r="AX54" s="95">
        <f t="shared" si="88"/>
        <v>109.04474214476518</v>
      </c>
      <c r="AY54" s="95">
        <f t="shared" si="88"/>
        <v>26.267127076778895</v>
      </c>
      <c r="AZ54" s="95">
        <f t="shared" si="88"/>
        <v>7.4353627579260362</v>
      </c>
      <c r="BA54" s="95">
        <f t="shared" si="88"/>
        <v>4.9289279581529479</v>
      </c>
      <c r="BB54" s="95">
        <f t="shared" si="89"/>
        <v>0</v>
      </c>
      <c r="BC54" s="95">
        <f t="shared" si="90"/>
        <v>7.4353627579260362</v>
      </c>
      <c r="BD54" s="95">
        <f t="shared" si="91"/>
        <v>4.9289279581529479</v>
      </c>
      <c r="BE54" s="95">
        <f t="shared" si="92"/>
        <v>26.267127076778895</v>
      </c>
      <c r="BF54" s="95">
        <f t="shared" si="93"/>
        <v>378.86939872183012</v>
      </c>
      <c r="BG54" s="95">
        <f t="shared" si="94"/>
        <v>0.44297760401666381</v>
      </c>
      <c r="BH54" s="95">
        <f t="shared" si="95"/>
        <v>0</v>
      </c>
      <c r="BI54" s="95">
        <f t="shared" si="96"/>
        <v>0</v>
      </c>
      <c r="BJ54" s="95">
        <f t="shared" si="97"/>
        <v>95.044503314672568</v>
      </c>
      <c r="BK54" s="95">
        <f t="shared" si="98"/>
        <v>179.95944080257644</v>
      </c>
      <c r="BM54" s="95">
        <f t="shared" si="99"/>
        <v>301.7034694027551</v>
      </c>
      <c r="BN54" s="95">
        <f t="shared" si="100"/>
        <v>275.44692172126565</v>
      </c>
      <c r="BO54" s="95">
        <f t="shared" si="101"/>
        <v>417.50081651468798</v>
      </c>
      <c r="BP54" s="95">
        <f t="shared" si="102"/>
        <v>147.67615993762305</v>
      </c>
      <c r="BQ54" s="44" t="str">
        <f t="shared" si="103"/>
        <v>Incineration</v>
      </c>
      <c r="BR54" s="44" t="str">
        <f t="shared" si="104"/>
        <v>Landfill</v>
      </c>
    </row>
    <row r="55" spans="3:70" ht="14.5" customHeight="1" x14ac:dyDescent="0.2">
      <c r="C55" s="8" t="str">
        <v>Norway</v>
      </c>
      <c r="D55" s="56" t="str">
        <v>Europe &amp; Central Asia</v>
      </c>
      <c r="E55" s="117" t="str">
        <v>High income</v>
      </c>
      <c r="F55" s="44">
        <v>38.394097152096911</v>
      </c>
      <c r="G55" s="44">
        <v>180.68162788335823</v>
      </c>
      <c r="H55" s="44">
        <v>10.665392238556715</v>
      </c>
      <c r="I55" s="44">
        <v>0.64387616342025877</v>
      </c>
      <c r="J55" s="44">
        <v>180.68162788335823</v>
      </c>
      <c r="K55" s="44">
        <v>10.665392238556715</v>
      </c>
      <c r="L55" s="44">
        <v>387.69638987973929</v>
      </c>
      <c r="M55" s="44">
        <v>4.0502005291787482</v>
      </c>
      <c r="N55" s="44">
        <v>5.9022938937228169</v>
      </c>
      <c r="O55" s="44">
        <v>4.9289279581529488</v>
      </c>
      <c r="P55" s="44">
        <v>127.58414118906074</v>
      </c>
      <c r="Q55" s="44">
        <v>4.0502005291787482</v>
      </c>
      <c r="R55" s="44">
        <v>5.9022938937228169</v>
      </c>
      <c r="S55" s="44">
        <v>4.9289279581529488</v>
      </c>
      <c r="T55" s="44">
        <f t="shared" si="7"/>
        <v>229.74111727401186</v>
      </c>
      <c r="U55" s="44">
        <f t="shared" si="8"/>
        <v>191.9908962853352</v>
      </c>
      <c r="V55" s="44">
        <f t="shared" si="9"/>
        <v>402.57781226079379</v>
      </c>
      <c r="W55" s="44">
        <f t="shared" si="10"/>
        <v>142.46556357011525</v>
      </c>
      <c r="X55" s="44" t="str">
        <f t="shared" si="11"/>
        <v>Incineration</v>
      </c>
      <c r="Y55" s="44" t="str">
        <f t="shared" si="12"/>
        <v>Landfill</v>
      </c>
      <c r="Z55" s="44">
        <f t="shared" si="13"/>
        <v>0</v>
      </c>
      <c r="AA55" s="44">
        <f t="shared" si="14"/>
        <v>5.9022938937228169</v>
      </c>
      <c r="AB55" s="44">
        <f t="shared" si="15"/>
        <v>4.9289279581529488</v>
      </c>
      <c r="AC55" s="44">
        <f t="shared" si="16"/>
        <v>4.0502005291787482</v>
      </c>
      <c r="AD55" s="44">
        <f t="shared" si="17"/>
        <v>387.69638987973929</v>
      </c>
      <c r="AE55" s="44">
        <f t="shared" si="18"/>
        <v>0.64387616342025877</v>
      </c>
      <c r="AF55" s="44">
        <f t="shared" si="19"/>
        <v>0</v>
      </c>
      <c r="AG55" s="44">
        <f t="shared" si="20"/>
        <v>0</v>
      </c>
      <c r="AH55" s="44">
        <f t="shared" si="21"/>
        <v>10.665392238556715</v>
      </c>
      <c r="AI55" s="44">
        <f t="shared" si="22"/>
        <v>180.68162788335823</v>
      </c>
      <c r="AJ55" s="185"/>
      <c r="AK55" s="13" t="s">
        <v>22</v>
      </c>
      <c r="AL55" s="13" t="s">
        <v>578</v>
      </c>
      <c r="AM55" s="124" t="str">
        <f t="shared" si="105"/>
        <v>South Asia_Upper middle income</v>
      </c>
      <c r="AN55" s="95">
        <f t="shared" si="87"/>
        <v>21.991909332478929</v>
      </c>
      <c r="AO55" s="95">
        <f t="shared" si="87"/>
        <v>157.31407309674779</v>
      </c>
      <c r="AP55" s="95">
        <f t="shared" si="87"/>
        <v>22.066260864546351</v>
      </c>
      <c r="AQ55" s="95">
        <f t="shared" si="87"/>
        <v>0.36291657350195672</v>
      </c>
      <c r="AR55" s="95">
        <f t="shared" si="87"/>
        <v>157.31407309674779</v>
      </c>
      <c r="AS55" s="95">
        <f t="shared" si="87"/>
        <v>22.066260864546351</v>
      </c>
      <c r="AT55" s="95">
        <f t="shared" si="87"/>
        <v>385.33082033630194</v>
      </c>
      <c r="AU55" s="95">
        <f t="shared" si="87"/>
        <v>2.7061573585102536</v>
      </c>
      <c r="AV55" s="95">
        <f t="shared" si="87"/>
        <v>14.561894843502207</v>
      </c>
      <c r="AW55" s="95">
        <f t="shared" si="87"/>
        <v>4.9289279581529488</v>
      </c>
      <c r="AX55" s="95">
        <f t="shared" si="88"/>
        <v>121.56248533895649</v>
      </c>
      <c r="AY55" s="95">
        <f t="shared" si="88"/>
        <v>2.7061573585102536</v>
      </c>
      <c r="AZ55" s="95">
        <f t="shared" si="88"/>
        <v>14.561894843502207</v>
      </c>
      <c r="BA55" s="95">
        <f t="shared" si="88"/>
        <v>4.9289279581529488</v>
      </c>
      <c r="BB55" s="95">
        <f t="shared" si="89"/>
        <v>0</v>
      </c>
      <c r="BC55" s="95">
        <f t="shared" si="90"/>
        <v>14.561894843502207</v>
      </c>
      <c r="BD55" s="95">
        <f t="shared" si="91"/>
        <v>4.9289279581529488</v>
      </c>
      <c r="BE55" s="95">
        <f t="shared" si="92"/>
        <v>2.7061573585102536</v>
      </c>
      <c r="BF55" s="95">
        <f t="shared" si="93"/>
        <v>385.33082033630194</v>
      </c>
      <c r="BG55" s="95">
        <f t="shared" si="94"/>
        <v>0.36291657350195672</v>
      </c>
      <c r="BH55" s="95">
        <f t="shared" si="95"/>
        <v>0</v>
      </c>
      <c r="BI55" s="95">
        <f t="shared" si="96"/>
        <v>0</v>
      </c>
      <c r="BJ55" s="95">
        <f t="shared" si="97"/>
        <v>22.066260864546351</v>
      </c>
      <c r="BK55" s="95">
        <f t="shared" si="98"/>
        <v>157.31407309674779</v>
      </c>
      <c r="BM55" s="95">
        <f t="shared" si="99"/>
        <v>201.37224329377307</v>
      </c>
      <c r="BN55" s="95">
        <f t="shared" si="100"/>
        <v>179.74325053479612</v>
      </c>
      <c r="BO55" s="95">
        <f t="shared" si="101"/>
        <v>407.52780049646736</v>
      </c>
      <c r="BP55" s="95">
        <f t="shared" si="102"/>
        <v>143.75946549912189</v>
      </c>
      <c r="BQ55" s="44" t="str">
        <f t="shared" si="103"/>
        <v>Incineration</v>
      </c>
      <c r="BR55" s="44" t="str">
        <f t="shared" si="104"/>
        <v>Landfill</v>
      </c>
    </row>
    <row r="56" spans="3:70" ht="14.5" customHeight="1" x14ac:dyDescent="0.2">
      <c r="C56" s="8" t="str">
        <v>Panama</v>
      </c>
      <c r="D56" s="56" t="str">
        <v>Latin America &amp; Caribbean</v>
      </c>
      <c r="E56" s="117" t="str">
        <v>High income</v>
      </c>
      <c r="F56" s="44">
        <v>27.325838967974903</v>
      </c>
      <c r="G56" s="44">
        <v>111.34522424759668</v>
      </c>
      <c r="H56" s="44">
        <v>5.2183678953752413</v>
      </c>
      <c r="I56" s="44">
        <v>0.46054784777485791</v>
      </c>
      <c r="J56" s="44">
        <v>111.34522424759668</v>
      </c>
      <c r="K56" s="44">
        <v>5.2183678953752413</v>
      </c>
      <c r="L56" s="44">
        <v>384.58278691656943</v>
      </c>
      <c r="M56" s="44">
        <v>3.3112916281562885</v>
      </c>
      <c r="N56" s="44">
        <v>3.766588497275789</v>
      </c>
      <c r="O56" s="44">
        <v>4.9289279581529488</v>
      </c>
      <c r="P56" s="44">
        <v>128.42779691656946</v>
      </c>
      <c r="Q56" s="44">
        <v>3.3112916281562885</v>
      </c>
      <c r="R56" s="44">
        <v>3.766588497275789</v>
      </c>
      <c r="S56" s="44">
        <v>4.9289279581529488</v>
      </c>
      <c r="T56" s="44">
        <f t="shared" si="7"/>
        <v>143.88943111094682</v>
      </c>
      <c r="U56" s="44">
        <f t="shared" si="8"/>
        <v>117.02413999074678</v>
      </c>
      <c r="V56" s="44">
        <f t="shared" si="9"/>
        <v>396.58959500015447</v>
      </c>
      <c r="W56" s="44">
        <f t="shared" si="10"/>
        <v>140.43460500015448</v>
      </c>
      <c r="X56" s="44" t="str">
        <f t="shared" si="11"/>
        <v>Incineration</v>
      </c>
      <c r="Y56" s="44" t="str">
        <f t="shared" si="12"/>
        <v>Incineration</v>
      </c>
      <c r="Z56" s="44">
        <f t="shared" si="13"/>
        <v>0</v>
      </c>
      <c r="AA56" s="44">
        <f t="shared" si="14"/>
        <v>3.766588497275789</v>
      </c>
      <c r="AB56" s="44">
        <f t="shared" si="15"/>
        <v>4.9289279581529488</v>
      </c>
      <c r="AC56" s="44">
        <f t="shared" si="16"/>
        <v>3.3112916281562885</v>
      </c>
      <c r="AD56" s="44">
        <f t="shared" si="17"/>
        <v>384.58278691656943</v>
      </c>
      <c r="AE56" s="44">
        <f t="shared" si="18"/>
        <v>0</v>
      </c>
      <c r="AF56" s="44">
        <f t="shared" si="19"/>
        <v>3.766588497275789</v>
      </c>
      <c r="AG56" s="44">
        <f t="shared" si="20"/>
        <v>4.9289279581529488</v>
      </c>
      <c r="AH56" s="44">
        <f t="shared" si="21"/>
        <v>3.3112916281562885</v>
      </c>
      <c r="AI56" s="44">
        <f t="shared" si="22"/>
        <v>128.42779691656946</v>
      </c>
      <c r="AJ56" s="185"/>
      <c r="AK56" s="13" t="s">
        <v>31</v>
      </c>
      <c r="AL56" s="13" t="s">
        <v>579</v>
      </c>
      <c r="AM56" s="124" t="str">
        <f t="shared" si="105"/>
        <v>Sub-Saharan Africa_High income</v>
      </c>
      <c r="AN56" s="95">
        <f t="shared" si="87"/>
        <v>31.215670288295101</v>
      </c>
      <c r="AO56" s="95">
        <f t="shared" si="87"/>
        <v>139.45035226903551</v>
      </c>
      <c r="AP56" s="95">
        <f t="shared" si="87"/>
        <v>150.73786232264663</v>
      </c>
      <c r="AQ56" s="95">
        <f t="shared" si="87"/>
        <v>0.52326437791710934</v>
      </c>
      <c r="AR56" s="95">
        <f t="shared" si="87"/>
        <v>139.45035226903551</v>
      </c>
      <c r="AS56" s="95">
        <f t="shared" si="87"/>
        <v>150.73786232264663</v>
      </c>
      <c r="AT56" s="95">
        <f t="shared" si="87"/>
        <v>385.6670750543376</v>
      </c>
      <c r="AU56" s="95">
        <f t="shared" si="87"/>
        <v>17.340901974284311</v>
      </c>
      <c r="AV56" s="95">
        <f t="shared" si="87"/>
        <v>2.5446256359533139</v>
      </c>
      <c r="AW56" s="95">
        <f t="shared" si="87"/>
        <v>4.9289279581529488</v>
      </c>
      <c r="AX56" s="95">
        <f t="shared" si="88"/>
        <v>118.10865074494437</v>
      </c>
      <c r="AY56" s="95">
        <f t="shared" si="88"/>
        <v>17.340901974284311</v>
      </c>
      <c r="AZ56" s="95">
        <f t="shared" si="88"/>
        <v>2.5446256359533139</v>
      </c>
      <c r="BA56" s="95">
        <f t="shared" si="88"/>
        <v>4.9289279581529488</v>
      </c>
      <c r="BB56" s="95">
        <f t="shared" si="89"/>
        <v>0</v>
      </c>
      <c r="BC56" s="95">
        <f t="shared" si="90"/>
        <v>2.5446256359533139</v>
      </c>
      <c r="BD56" s="95">
        <f t="shared" si="91"/>
        <v>4.9289279581529488</v>
      </c>
      <c r="BE56" s="95">
        <f t="shared" si="92"/>
        <v>17.340901974284311</v>
      </c>
      <c r="BF56" s="95">
        <f t="shared" si="93"/>
        <v>385.6670750543376</v>
      </c>
      <c r="BG56" s="95">
        <f t="shared" si="94"/>
        <v>0.52326437791710934</v>
      </c>
      <c r="BH56" s="95">
        <f t="shared" si="95"/>
        <v>0</v>
      </c>
      <c r="BI56" s="95">
        <f t="shared" si="96"/>
        <v>0</v>
      </c>
      <c r="BJ56" s="95">
        <f t="shared" si="97"/>
        <v>150.73786232264663</v>
      </c>
      <c r="BK56" s="95">
        <f t="shared" si="98"/>
        <v>139.45035226903551</v>
      </c>
      <c r="BM56" s="95">
        <f t="shared" si="99"/>
        <v>321.40388487997723</v>
      </c>
      <c r="BN56" s="95">
        <f t="shared" si="100"/>
        <v>290.71147896959928</v>
      </c>
      <c r="BO56" s="95">
        <f t="shared" si="101"/>
        <v>410.48153062272814</v>
      </c>
      <c r="BP56" s="95">
        <f t="shared" si="102"/>
        <v>142.92310631333493</v>
      </c>
      <c r="BQ56" s="44" t="str">
        <f t="shared" si="103"/>
        <v>Incineration</v>
      </c>
      <c r="BR56" s="44" t="str">
        <f t="shared" si="104"/>
        <v>Landfill</v>
      </c>
    </row>
    <row r="57" spans="3:70" ht="14.5" customHeight="1" x14ac:dyDescent="0.2">
      <c r="C57" s="8" t="str">
        <v>Peru</v>
      </c>
      <c r="D57" s="56" t="str">
        <v>Latin America &amp; Caribbean</v>
      </c>
      <c r="E57" s="117" t="str">
        <v>Upper middle income</v>
      </c>
      <c r="F57" s="44">
        <v>12.619966233542497</v>
      </c>
      <c r="G57" s="44">
        <v>145.42120363021866</v>
      </c>
      <c r="H57" s="44">
        <v>1.6863207138223091</v>
      </c>
      <c r="I57" s="44">
        <v>0.21267148872987857</v>
      </c>
      <c r="J57" s="44">
        <v>145.42120363021866</v>
      </c>
      <c r="K57" s="44">
        <v>1.6863207138223091</v>
      </c>
      <c r="L57" s="44">
        <v>387.77474864128544</v>
      </c>
      <c r="M57" s="44">
        <v>1.3136438360675786</v>
      </c>
      <c r="N57" s="44">
        <v>4.1565702473597916</v>
      </c>
      <c r="O57" s="44">
        <v>4.9289279581529488</v>
      </c>
      <c r="P57" s="44">
        <v>96.035058102714572</v>
      </c>
      <c r="Q57" s="44">
        <v>1.3136438360675786</v>
      </c>
      <c r="R57" s="44">
        <v>4.1565702473597916</v>
      </c>
      <c r="S57" s="44">
        <v>4.9289279581529488</v>
      </c>
      <c r="T57" s="44">
        <f t="shared" si="7"/>
        <v>159.72749057758347</v>
      </c>
      <c r="U57" s="44">
        <f t="shared" si="8"/>
        <v>147.32019583277085</v>
      </c>
      <c r="V57" s="44">
        <f t="shared" si="9"/>
        <v>398.17389068286576</v>
      </c>
      <c r="W57" s="44">
        <f t="shared" si="10"/>
        <v>106.43420014429491</v>
      </c>
      <c r="X57" s="44" t="str">
        <f t="shared" si="11"/>
        <v>Incineration</v>
      </c>
      <c r="Y57" s="44" t="str">
        <f t="shared" si="12"/>
        <v>Landfill</v>
      </c>
      <c r="Z57" s="44">
        <f t="shared" si="13"/>
        <v>0</v>
      </c>
      <c r="AA57" s="44">
        <f t="shared" si="14"/>
        <v>4.1565702473597916</v>
      </c>
      <c r="AB57" s="44">
        <f t="shared" si="15"/>
        <v>4.9289279581529488</v>
      </c>
      <c r="AC57" s="44">
        <f t="shared" si="16"/>
        <v>1.3136438360675786</v>
      </c>
      <c r="AD57" s="44">
        <f t="shared" si="17"/>
        <v>387.77474864128544</v>
      </c>
      <c r="AE57" s="44">
        <f t="shared" si="18"/>
        <v>0.21267148872987857</v>
      </c>
      <c r="AF57" s="44">
        <f t="shared" si="19"/>
        <v>0</v>
      </c>
      <c r="AG57" s="44">
        <f t="shared" si="20"/>
        <v>0</v>
      </c>
      <c r="AH57" s="44">
        <f t="shared" si="21"/>
        <v>1.6863207138223091</v>
      </c>
      <c r="AI57" s="44">
        <f t="shared" si="22"/>
        <v>145.42120363021866</v>
      </c>
      <c r="AJ57" s="185"/>
      <c r="AK57" s="126" t="s">
        <v>26</v>
      </c>
      <c r="AL57" s="127" t="s">
        <v>586</v>
      </c>
      <c r="AM57" s="124" t="str">
        <f t="shared" si="105"/>
        <v>Middle East &amp; North Africa_Low income</v>
      </c>
      <c r="AN57" s="95">
        <f t="shared" si="87"/>
        <v>26.491283370467162</v>
      </c>
      <c r="AO57" s="95">
        <f t="shared" si="87"/>
        <v>179.93842610807491</v>
      </c>
      <c r="AP57" s="95">
        <f t="shared" si="87"/>
        <v>66.517492490305415</v>
      </c>
      <c r="AQ57" s="95">
        <f t="shared" si="87"/>
        <v>0.44106885838991111</v>
      </c>
      <c r="AR57" s="95">
        <f t="shared" si="87"/>
        <v>179.93842610807491</v>
      </c>
      <c r="AS57" s="95">
        <f t="shared" si="87"/>
        <v>66.517492490305415</v>
      </c>
      <c r="AT57" s="95">
        <f t="shared" si="87"/>
        <v>385.68567689575991</v>
      </c>
      <c r="AU57" s="95">
        <f t="shared" si="87"/>
        <v>37.070359398766541</v>
      </c>
      <c r="AV57" s="95">
        <f t="shared" si="87"/>
        <v>7.5349808074185907</v>
      </c>
      <c r="AW57" s="95">
        <f t="shared" si="87"/>
        <v>4.9289279581529488</v>
      </c>
      <c r="AX57" s="95">
        <f t="shared" si="88"/>
        <v>110.59822292113731</v>
      </c>
      <c r="AY57" s="95">
        <f t="shared" si="88"/>
        <v>37.070359398766541</v>
      </c>
      <c r="AZ57" s="95">
        <f t="shared" si="88"/>
        <v>7.5349808074185907</v>
      </c>
      <c r="BA57" s="95">
        <f t="shared" si="88"/>
        <v>4.9289279581529488</v>
      </c>
      <c r="BB57" s="95">
        <f t="shared" si="89"/>
        <v>0</v>
      </c>
      <c r="BC57" s="95">
        <f t="shared" si="90"/>
        <v>7.5349808074185907</v>
      </c>
      <c r="BD57" s="95">
        <f t="shared" si="91"/>
        <v>4.9289279581529488</v>
      </c>
      <c r="BE57" s="95">
        <f t="shared" si="92"/>
        <v>37.070359398766541</v>
      </c>
      <c r="BF57" s="95">
        <f t="shared" si="93"/>
        <v>385.68567689575991</v>
      </c>
      <c r="BG57" s="95">
        <f t="shared" si="94"/>
        <v>0.44106885838991111</v>
      </c>
      <c r="BH57" s="95">
        <f t="shared" si="95"/>
        <v>0</v>
      </c>
      <c r="BI57" s="95">
        <f t="shared" si="96"/>
        <v>0</v>
      </c>
      <c r="BJ57" s="95">
        <f t="shared" si="97"/>
        <v>66.517492490305415</v>
      </c>
      <c r="BK57" s="95">
        <f t="shared" si="98"/>
        <v>179.93842610807491</v>
      </c>
      <c r="BM57" s="95">
        <f t="shared" si="99"/>
        <v>272.94720196884748</v>
      </c>
      <c r="BN57" s="95">
        <f t="shared" si="100"/>
        <v>246.89698745677023</v>
      </c>
      <c r="BO57" s="95">
        <f t="shared" si="101"/>
        <v>435.21994506009798</v>
      </c>
      <c r="BP57" s="95">
        <f t="shared" si="102"/>
        <v>160.13249108547538</v>
      </c>
      <c r="BQ57" s="44" t="str">
        <f t="shared" si="103"/>
        <v>Incineration</v>
      </c>
      <c r="BR57" s="44" t="str">
        <f t="shared" si="104"/>
        <v>Landfill</v>
      </c>
    </row>
    <row r="58" spans="3:70" ht="14.5" customHeight="1" x14ac:dyDescent="0.2">
      <c r="C58" s="8" t="str">
        <v>Philippines</v>
      </c>
      <c r="D58" s="56" t="str">
        <v>East Asia &amp; Pacific</v>
      </c>
      <c r="E58" s="117" t="str">
        <v>Lower middle income</v>
      </c>
      <c r="F58" s="44">
        <v>23.939238235929217</v>
      </c>
      <c r="G58" s="44">
        <v>191.70380069770326</v>
      </c>
      <c r="H58" s="44">
        <v>32.217685182367461</v>
      </c>
      <c r="I58" s="44">
        <v>0.3830278117748675</v>
      </c>
      <c r="J58" s="44">
        <v>191.70380069770326</v>
      </c>
      <c r="K58" s="44">
        <v>32.217685182367461</v>
      </c>
      <c r="L58" s="44">
        <v>374.51134339767594</v>
      </c>
      <c r="M58" s="44">
        <v>22.268863998052389</v>
      </c>
      <c r="N58" s="44">
        <v>3.269098180716191</v>
      </c>
      <c r="O58" s="44">
        <v>4.9289279581529488</v>
      </c>
      <c r="P58" s="44">
        <v>118.35635339767599</v>
      </c>
      <c r="Q58" s="44">
        <v>22.268863998052389</v>
      </c>
      <c r="R58" s="44">
        <v>3.269098180716191</v>
      </c>
      <c r="S58" s="44">
        <v>4.9289279581529488</v>
      </c>
      <c r="T58" s="44">
        <f t="shared" si="7"/>
        <v>247.86072411599994</v>
      </c>
      <c r="U58" s="44">
        <f t="shared" si="8"/>
        <v>224.30451369184559</v>
      </c>
      <c r="V58" s="44">
        <f t="shared" si="9"/>
        <v>404.97823353459745</v>
      </c>
      <c r="W58" s="44">
        <f t="shared" si="10"/>
        <v>148.82324353459751</v>
      </c>
      <c r="X58" s="44" t="str">
        <f t="shared" si="11"/>
        <v>Incineration</v>
      </c>
      <c r="Y58" s="44" t="str">
        <f t="shared" si="12"/>
        <v>Landfill</v>
      </c>
      <c r="Z58" s="44">
        <f t="shared" si="13"/>
        <v>0</v>
      </c>
      <c r="AA58" s="44">
        <f t="shared" si="14"/>
        <v>3.269098180716191</v>
      </c>
      <c r="AB58" s="44">
        <f t="shared" si="15"/>
        <v>4.9289279581529488</v>
      </c>
      <c r="AC58" s="44">
        <f t="shared" si="16"/>
        <v>22.268863998052389</v>
      </c>
      <c r="AD58" s="44">
        <f t="shared" si="17"/>
        <v>374.51134339767594</v>
      </c>
      <c r="AE58" s="44">
        <f t="shared" si="18"/>
        <v>0.3830278117748675</v>
      </c>
      <c r="AF58" s="44">
        <f t="shared" si="19"/>
        <v>0</v>
      </c>
      <c r="AG58" s="44">
        <f t="shared" si="20"/>
        <v>0</v>
      </c>
      <c r="AH58" s="44">
        <f t="shared" si="21"/>
        <v>32.217685182367461</v>
      </c>
      <c r="AI58" s="44">
        <f t="shared" si="22"/>
        <v>191.70380069770326</v>
      </c>
      <c r="AJ58" s="185"/>
      <c r="AK58" s="128"/>
      <c r="AL58" s="128"/>
    </row>
    <row r="59" spans="3:70" ht="14.5" customHeight="1" x14ac:dyDescent="0.2">
      <c r="C59" s="8" t="str">
        <v>Poland</v>
      </c>
      <c r="D59" s="56" t="str">
        <v>Europe &amp; Central Asia</v>
      </c>
      <c r="E59" s="117" t="str">
        <v>High income</v>
      </c>
      <c r="F59" s="44">
        <v>50.207751213225194</v>
      </c>
      <c r="G59" s="44">
        <v>187.00281170809052</v>
      </c>
      <c r="H59" s="44">
        <v>19.843060617345021</v>
      </c>
      <c r="I59" s="44">
        <v>0.83036677097489309</v>
      </c>
      <c r="J59" s="44">
        <v>187.00281170809052</v>
      </c>
      <c r="K59" s="44">
        <v>19.843060617345021</v>
      </c>
      <c r="L59" s="44">
        <v>378.23399741602321</v>
      </c>
      <c r="M59" s="44">
        <v>13.51235382701214</v>
      </c>
      <c r="N59" s="44">
        <v>3.1356052380199904</v>
      </c>
      <c r="O59" s="44">
        <v>4.9289279581529488</v>
      </c>
      <c r="P59" s="44">
        <v>37.402623847976834</v>
      </c>
      <c r="Q59" s="44">
        <v>13.51235382701214</v>
      </c>
      <c r="R59" s="44">
        <v>3.1356052380199904</v>
      </c>
      <c r="S59" s="44">
        <v>4.9289279581529488</v>
      </c>
      <c r="T59" s="44">
        <f t="shared" si="7"/>
        <v>257.05362353866076</v>
      </c>
      <c r="U59" s="44">
        <f t="shared" si="8"/>
        <v>207.67623909641046</v>
      </c>
      <c r="V59" s="44">
        <f t="shared" si="9"/>
        <v>399.81088443920828</v>
      </c>
      <c r="W59" s="44">
        <f t="shared" si="10"/>
        <v>58.979510871161914</v>
      </c>
      <c r="X59" s="44" t="str">
        <f t="shared" si="11"/>
        <v>Incineration</v>
      </c>
      <c r="Y59" s="44" t="str">
        <f t="shared" si="12"/>
        <v>Landfill</v>
      </c>
      <c r="Z59" s="44">
        <f t="shared" si="13"/>
        <v>0</v>
      </c>
      <c r="AA59" s="44">
        <f t="shared" si="14"/>
        <v>3.1356052380199904</v>
      </c>
      <c r="AB59" s="44">
        <f t="shared" si="15"/>
        <v>4.9289279581529488</v>
      </c>
      <c r="AC59" s="44">
        <f t="shared" si="16"/>
        <v>13.51235382701214</v>
      </c>
      <c r="AD59" s="44">
        <f t="shared" si="17"/>
        <v>378.23399741602321</v>
      </c>
      <c r="AE59" s="44">
        <f t="shared" si="18"/>
        <v>0.83036677097489309</v>
      </c>
      <c r="AF59" s="44">
        <f t="shared" si="19"/>
        <v>0</v>
      </c>
      <c r="AG59" s="44">
        <f t="shared" si="20"/>
        <v>0</v>
      </c>
      <c r="AH59" s="44">
        <f t="shared" si="21"/>
        <v>19.843060617345021</v>
      </c>
      <c r="AI59" s="44">
        <f t="shared" si="22"/>
        <v>187.00281170809052</v>
      </c>
      <c r="AJ59" s="185"/>
      <c r="AK59" s="100"/>
    </row>
    <row r="60" spans="3:70" ht="14.5" customHeight="1" x14ac:dyDescent="0.2">
      <c r="C60" s="8" t="str">
        <v>Portugal</v>
      </c>
      <c r="D60" s="56" t="str">
        <v>Europe &amp; Central Asia</v>
      </c>
      <c r="E60" s="117" t="str">
        <v>High income</v>
      </c>
      <c r="F60" s="44">
        <v>61.048999198365259</v>
      </c>
      <c r="G60" s="44">
        <v>178.32133445217278</v>
      </c>
      <c r="H60" s="44">
        <v>19.374354459332437</v>
      </c>
      <c r="I60" s="44">
        <v>1.0090743669151283</v>
      </c>
      <c r="J60" s="44">
        <v>178.32133445217278</v>
      </c>
      <c r="K60" s="44">
        <v>19.374354459332437</v>
      </c>
      <c r="L60" s="44">
        <v>387.29407773589287</v>
      </c>
      <c r="M60" s="44">
        <v>12.845909023432432</v>
      </c>
      <c r="N60" s="44">
        <v>4.0162531112228201</v>
      </c>
      <c r="O60" s="44">
        <v>4.9289279581529488</v>
      </c>
      <c r="P60" s="44">
        <v>100.27390770410716</v>
      </c>
      <c r="Q60" s="44">
        <v>12.845909023432432</v>
      </c>
      <c r="R60" s="44">
        <v>4.0162531112228201</v>
      </c>
      <c r="S60" s="44">
        <v>4.9289279581529488</v>
      </c>
      <c r="T60" s="44">
        <f t="shared" si="7"/>
        <v>258.74468810987048</v>
      </c>
      <c r="U60" s="44">
        <f t="shared" si="8"/>
        <v>198.70476327842033</v>
      </c>
      <c r="V60" s="44">
        <f t="shared" si="9"/>
        <v>409.08516782870106</v>
      </c>
      <c r="W60" s="44">
        <f t="shared" si="10"/>
        <v>122.06499779691536</v>
      </c>
      <c r="X60" s="44" t="str">
        <f t="shared" si="11"/>
        <v>Incineration</v>
      </c>
      <c r="Y60" s="44" t="str">
        <f t="shared" si="12"/>
        <v>Landfill</v>
      </c>
      <c r="Z60" s="44">
        <f t="shared" si="13"/>
        <v>0</v>
      </c>
      <c r="AA60" s="44">
        <f t="shared" si="14"/>
        <v>4.0162531112228201</v>
      </c>
      <c r="AB60" s="44">
        <f t="shared" si="15"/>
        <v>4.9289279581529488</v>
      </c>
      <c r="AC60" s="44">
        <f t="shared" si="16"/>
        <v>12.845909023432432</v>
      </c>
      <c r="AD60" s="44">
        <f t="shared" si="17"/>
        <v>387.29407773589287</v>
      </c>
      <c r="AE60" s="44">
        <f t="shared" si="18"/>
        <v>1.0090743669151283</v>
      </c>
      <c r="AF60" s="44">
        <f t="shared" si="19"/>
        <v>0</v>
      </c>
      <c r="AG60" s="44">
        <f t="shared" si="20"/>
        <v>0</v>
      </c>
      <c r="AH60" s="44">
        <f t="shared" si="21"/>
        <v>19.374354459332437</v>
      </c>
      <c r="AI60" s="44">
        <f t="shared" si="22"/>
        <v>178.32133445217278</v>
      </c>
      <c r="AJ60" s="185"/>
      <c r="AK60" s="100"/>
    </row>
    <row r="61" spans="3:70" ht="14.5" customHeight="1" x14ac:dyDescent="0.2">
      <c r="C61" s="8" t="str">
        <v>Romania</v>
      </c>
      <c r="D61" s="56" t="str">
        <v>Europe &amp; Central Asia</v>
      </c>
      <c r="E61" s="117" t="str">
        <v>High income</v>
      </c>
      <c r="F61" s="44">
        <v>34.809807189262109</v>
      </c>
      <c r="G61" s="44">
        <v>187.00281170809052</v>
      </c>
      <c r="H61" s="44">
        <v>8.6617667917843377</v>
      </c>
      <c r="I61" s="44">
        <v>0.58668214363924898</v>
      </c>
      <c r="J61" s="44">
        <v>187.00281170809052</v>
      </c>
      <c r="K61" s="44">
        <v>8.6617667917843377</v>
      </c>
      <c r="L61" s="44">
        <v>379.11088849372493</v>
      </c>
      <c r="M61" s="44">
        <v>7.0187887793035744</v>
      </c>
      <c r="N61" s="44">
        <v>4.0141567794519499</v>
      </c>
      <c r="O61" s="44">
        <v>4.9289279581529488</v>
      </c>
      <c r="P61" s="44">
        <v>98.157046394275099</v>
      </c>
      <c r="Q61" s="44">
        <v>7.0187887793035744</v>
      </c>
      <c r="R61" s="44">
        <v>4.0141567794519499</v>
      </c>
      <c r="S61" s="44">
        <v>4.9289279581529488</v>
      </c>
      <c r="T61" s="44">
        <f t="shared" si="7"/>
        <v>230.47438568913697</v>
      </c>
      <c r="U61" s="44">
        <f t="shared" si="8"/>
        <v>196.25126064351412</v>
      </c>
      <c r="V61" s="44">
        <f t="shared" si="9"/>
        <v>395.07276201063337</v>
      </c>
      <c r="W61" s="44">
        <f t="shared" si="10"/>
        <v>114.11891991118358</v>
      </c>
      <c r="X61" s="44" t="str">
        <f t="shared" si="11"/>
        <v>Incineration</v>
      </c>
      <c r="Y61" s="44" t="str">
        <f t="shared" si="12"/>
        <v>Landfill</v>
      </c>
      <c r="Z61" s="44">
        <f t="shared" si="13"/>
        <v>0</v>
      </c>
      <c r="AA61" s="44">
        <f t="shared" si="14"/>
        <v>4.0141567794519499</v>
      </c>
      <c r="AB61" s="44">
        <f t="shared" si="15"/>
        <v>4.9289279581529488</v>
      </c>
      <c r="AC61" s="44">
        <f t="shared" si="16"/>
        <v>7.0187887793035744</v>
      </c>
      <c r="AD61" s="44">
        <f t="shared" si="17"/>
        <v>379.11088849372493</v>
      </c>
      <c r="AE61" s="44">
        <f t="shared" si="18"/>
        <v>0.58668214363924898</v>
      </c>
      <c r="AF61" s="44">
        <f t="shared" si="19"/>
        <v>0</v>
      </c>
      <c r="AG61" s="44">
        <f t="shared" si="20"/>
        <v>0</v>
      </c>
      <c r="AH61" s="44">
        <f t="shared" si="21"/>
        <v>8.6617667917843377</v>
      </c>
      <c r="AI61" s="44">
        <f t="shared" si="22"/>
        <v>187.00281170809052</v>
      </c>
      <c r="AJ61" s="185"/>
      <c r="AK61" s="100"/>
    </row>
    <row r="62" spans="3:70" ht="14.5" customHeight="1" x14ac:dyDescent="0.2">
      <c r="C62" s="8" t="str">
        <v>Russian Federation</v>
      </c>
      <c r="D62" s="56" t="str">
        <v>Europe &amp; Central Asia</v>
      </c>
      <c r="E62" s="117" t="str">
        <v>Upper middle income</v>
      </c>
      <c r="F62" s="44">
        <v>12.841666967007891</v>
      </c>
      <c r="G62" s="44">
        <v>187.00281170809052</v>
      </c>
      <c r="H62" s="44">
        <v>299.07487324632484</v>
      </c>
      <c r="I62" s="44">
        <v>0.21486057571258341</v>
      </c>
      <c r="J62" s="44">
        <v>187.00281170809052</v>
      </c>
      <c r="K62" s="44">
        <v>299.07487324632484</v>
      </c>
      <c r="L62" s="44">
        <v>377.26693060129412</v>
      </c>
      <c r="M62" s="44">
        <v>0.59169489311323242</v>
      </c>
      <c r="N62" s="44">
        <v>3.6948388375861057</v>
      </c>
      <c r="O62" s="44">
        <v>4.9289279581529488</v>
      </c>
      <c r="P62" s="44">
        <v>121.11194060129418</v>
      </c>
      <c r="Q62" s="44">
        <v>0.59169489311323242</v>
      </c>
      <c r="R62" s="44">
        <v>3.6948388375861057</v>
      </c>
      <c r="S62" s="44">
        <v>4.9289279581529488</v>
      </c>
      <c r="T62" s="44">
        <f t="shared" si="7"/>
        <v>498.91935192142324</v>
      </c>
      <c r="U62" s="44">
        <f t="shared" si="8"/>
        <v>486.29254553012794</v>
      </c>
      <c r="V62" s="44">
        <f t="shared" si="9"/>
        <v>386.48239229014644</v>
      </c>
      <c r="W62" s="44">
        <f t="shared" si="10"/>
        <v>130.32740229014647</v>
      </c>
      <c r="X62" s="44" t="str">
        <f t="shared" si="11"/>
        <v>Landfill</v>
      </c>
      <c r="Y62" s="44" t="str">
        <f t="shared" si="12"/>
        <v>Landfill</v>
      </c>
      <c r="Z62" s="44">
        <f t="shared" si="13"/>
        <v>12.841666967007891</v>
      </c>
      <c r="AA62" s="44">
        <f t="shared" si="14"/>
        <v>0</v>
      </c>
      <c r="AB62" s="44">
        <f t="shared" si="15"/>
        <v>0</v>
      </c>
      <c r="AC62" s="44">
        <f t="shared" si="16"/>
        <v>299.07487324632484</v>
      </c>
      <c r="AD62" s="44">
        <f t="shared" si="17"/>
        <v>187.00281170809052</v>
      </c>
      <c r="AE62" s="44">
        <f t="shared" si="18"/>
        <v>0.21486057571258341</v>
      </c>
      <c r="AF62" s="44">
        <f t="shared" si="19"/>
        <v>0</v>
      </c>
      <c r="AG62" s="44">
        <f t="shared" si="20"/>
        <v>0</v>
      </c>
      <c r="AH62" s="44">
        <f t="shared" si="21"/>
        <v>299.07487324632484</v>
      </c>
      <c r="AI62" s="44">
        <f t="shared" si="22"/>
        <v>187.00281170809052</v>
      </c>
      <c r="AJ62" s="185"/>
      <c r="AK62" s="100"/>
    </row>
    <row r="63" spans="3:70" ht="14.5" customHeight="1" x14ac:dyDescent="0.2">
      <c r="C63" s="8" t="str">
        <v>Slovak Republic</v>
      </c>
      <c r="D63" s="56" t="str">
        <v>Europe &amp; Central Asia</v>
      </c>
      <c r="E63" s="117" t="str">
        <v>High income</v>
      </c>
      <c r="F63" s="44">
        <v>58.34630912968764</v>
      </c>
      <c r="G63" s="44">
        <v>187.00281170809052</v>
      </c>
      <c r="H63" s="44">
        <v>16.013553888486882</v>
      </c>
      <c r="I63" s="44">
        <v>0.96440180379648999</v>
      </c>
      <c r="J63" s="44">
        <v>187.00281170809052</v>
      </c>
      <c r="K63" s="44">
        <v>16.013553888486882</v>
      </c>
      <c r="L63" s="44">
        <v>386.62325293222551</v>
      </c>
      <c r="M63" s="44">
        <v>13.90158891486524</v>
      </c>
      <c r="N63" s="44">
        <v>4.1090074244657684</v>
      </c>
      <c r="O63" s="44">
        <v>4.9289279581529488</v>
      </c>
      <c r="P63" s="44">
        <v>112.71797529977449</v>
      </c>
      <c r="Q63" s="44">
        <v>13.90158891486524</v>
      </c>
      <c r="R63" s="44">
        <v>4.1090074244657684</v>
      </c>
      <c r="S63" s="44">
        <v>4.9289279581529488</v>
      </c>
      <c r="T63" s="44">
        <f t="shared" si="7"/>
        <v>261.36267472626503</v>
      </c>
      <c r="U63" s="44">
        <f t="shared" si="8"/>
        <v>203.98076740037388</v>
      </c>
      <c r="V63" s="44">
        <f t="shared" si="9"/>
        <v>409.56277722970941</v>
      </c>
      <c r="W63" s="44">
        <f t="shared" si="10"/>
        <v>135.65749959725844</v>
      </c>
      <c r="X63" s="44" t="str">
        <f t="shared" si="11"/>
        <v>Incineration</v>
      </c>
      <c r="Y63" s="44" t="str">
        <f t="shared" si="12"/>
        <v>Landfill</v>
      </c>
      <c r="Z63" s="44">
        <f t="shared" si="13"/>
        <v>0</v>
      </c>
      <c r="AA63" s="44">
        <f t="shared" si="14"/>
        <v>4.1090074244657684</v>
      </c>
      <c r="AB63" s="44">
        <f t="shared" si="15"/>
        <v>4.9289279581529488</v>
      </c>
      <c r="AC63" s="44">
        <f t="shared" si="16"/>
        <v>13.90158891486524</v>
      </c>
      <c r="AD63" s="44">
        <f t="shared" si="17"/>
        <v>386.62325293222551</v>
      </c>
      <c r="AE63" s="44">
        <f t="shared" si="18"/>
        <v>0.96440180379648999</v>
      </c>
      <c r="AF63" s="44">
        <f t="shared" si="19"/>
        <v>0</v>
      </c>
      <c r="AG63" s="44">
        <f t="shared" si="20"/>
        <v>0</v>
      </c>
      <c r="AH63" s="44">
        <f t="shared" si="21"/>
        <v>16.013553888486882</v>
      </c>
      <c r="AI63" s="44">
        <f t="shared" si="22"/>
        <v>187.00281170809052</v>
      </c>
      <c r="AJ63" s="185"/>
      <c r="AK63" s="100"/>
    </row>
    <row r="64" spans="3:70" ht="14.5" customHeight="1" x14ac:dyDescent="0.2">
      <c r="C64" s="8" t="str">
        <v>Slovenia</v>
      </c>
      <c r="D64" s="56" t="str">
        <v>Europe &amp; Central Asia</v>
      </c>
      <c r="E64" s="117" t="str">
        <v>High income</v>
      </c>
      <c r="F64" s="44">
        <v>59.708622592170997</v>
      </c>
      <c r="G64" s="44">
        <v>187.00281170809052</v>
      </c>
      <c r="H64" s="44">
        <v>23.374240488304864</v>
      </c>
      <c r="I64" s="44">
        <v>0.98749804448839218</v>
      </c>
      <c r="J64" s="44">
        <v>187.00281170809052</v>
      </c>
      <c r="K64" s="44">
        <v>23.374240488304864</v>
      </c>
      <c r="L64" s="44">
        <v>385.79728878519785</v>
      </c>
      <c r="M64" s="44">
        <v>13.166849419261997</v>
      </c>
      <c r="N64" s="44">
        <v>3.5597502597154032</v>
      </c>
      <c r="O64" s="44">
        <v>4.9289279581529488</v>
      </c>
      <c r="P64" s="44">
        <v>97.198298134802158</v>
      </c>
      <c r="Q64" s="44">
        <v>13.166849419261997</v>
      </c>
      <c r="R64" s="44">
        <v>3.5597502597154032</v>
      </c>
      <c r="S64" s="44">
        <v>4.9289279581529488</v>
      </c>
      <c r="T64" s="44">
        <f t="shared" si="7"/>
        <v>270.08567478856639</v>
      </c>
      <c r="U64" s="44">
        <f t="shared" si="8"/>
        <v>211.36455024088377</v>
      </c>
      <c r="V64" s="44">
        <f t="shared" si="9"/>
        <v>407.45281642232823</v>
      </c>
      <c r="W64" s="44">
        <f t="shared" si="10"/>
        <v>118.85382577193251</v>
      </c>
      <c r="X64" s="44" t="str">
        <f t="shared" si="11"/>
        <v>Incineration</v>
      </c>
      <c r="Y64" s="44" t="str">
        <f t="shared" si="12"/>
        <v>Landfill</v>
      </c>
      <c r="Z64" s="44">
        <f t="shared" si="13"/>
        <v>0</v>
      </c>
      <c r="AA64" s="44">
        <f t="shared" si="14"/>
        <v>3.5597502597154032</v>
      </c>
      <c r="AB64" s="44">
        <f t="shared" si="15"/>
        <v>4.9289279581529488</v>
      </c>
      <c r="AC64" s="44">
        <f t="shared" si="16"/>
        <v>13.166849419261997</v>
      </c>
      <c r="AD64" s="44">
        <f t="shared" si="17"/>
        <v>385.79728878519785</v>
      </c>
      <c r="AE64" s="44">
        <f t="shared" si="18"/>
        <v>0.98749804448839218</v>
      </c>
      <c r="AF64" s="44">
        <f t="shared" si="19"/>
        <v>0</v>
      </c>
      <c r="AG64" s="44">
        <f t="shared" si="20"/>
        <v>0</v>
      </c>
      <c r="AH64" s="44">
        <f t="shared" si="21"/>
        <v>23.374240488304864</v>
      </c>
      <c r="AI64" s="44">
        <f t="shared" si="22"/>
        <v>187.00281170809052</v>
      </c>
      <c r="AJ64" s="185"/>
      <c r="AK64" s="100"/>
    </row>
    <row r="65" spans="3:37" ht="14.5" customHeight="1" x14ac:dyDescent="0.2">
      <c r="C65" s="8" t="str">
        <v>South Africa</v>
      </c>
      <c r="D65" s="56" t="str">
        <v>Sub-Saharan Africa</v>
      </c>
      <c r="E65" s="117" t="str">
        <v>Upper middle income</v>
      </c>
      <c r="F65" s="44">
        <v>13.003394784486517</v>
      </c>
      <c r="G65" s="44">
        <v>183.05003240919942</v>
      </c>
      <c r="H65" s="44">
        <v>12.013668856108724</v>
      </c>
      <c r="I65" s="44">
        <v>0.21915833906437948</v>
      </c>
      <c r="J65" s="44">
        <v>183.05003240919942</v>
      </c>
      <c r="K65" s="44">
        <v>12.013668856108724</v>
      </c>
      <c r="L65" s="44">
        <v>387.80522999999999</v>
      </c>
      <c r="M65" s="44">
        <v>0</v>
      </c>
      <c r="N65" s="44">
        <v>1.2453290924994873</v>
      </c>
      <c r="O65" s="44">
        <v>4.9289279581529488</v>
      </c>
      <c r="P65" s="44">
        <v>131.65024000000003</v>
      </c>
      <c r="Q65" s="44">
        <v>0</v>
      </c>
      <c r="R65" s="44">
        <v>1.2453290924994873</v>
      </c>
      <c r="S65" s="44">
        <v>4.9289279581529488</v>
      </c>
      <c r="T65" s="44">
        <f t="shared" si="7"/>
        <v>208.06709604979466</v>
      </c>
      <c r="U65" s="44">
        <f t="shared" si="8"/>
        <v>195.28285960437253</v>
      </c>
      <c r="V65" s="44">
        <f t="shared" si="9"/>
        <v>393.97948705065244</v>
      </c>
      <c r="W65" s="44">
        <f t="shared" si="10"/>
        <v>137.82449705065244</v>
      </c>
      <c r="X65" s="44" t="str">
        <f t="shared" si="11"/>
        <v>Incineration</v>
      </c>
      <c r="Y65" s="44" t="str">
        <f t="shared" si="12"/>
        <v>Landfill</v>
      </c>
      <c r="Z65" s="44">
        <f t="shared" si="13"/>
        <v>0</v>
      </c>
      <c r="AA65" s="44">
        <f t="shared" si="14"/>
        <v>1.2453290924994873</v>
      </c>
      <c r="AB65" s="44">
        <f t="shared" si="15"/>
        <v>4.9289279581529488</v>
      </c>
      <c r="AC65" s="44">
        <f t="shared" si="16"/>
        <v>0</v>
      </c>
      <c r="AD65" s="44">
        <f t="shared" si="17"/>
        <v>387.80522999999999</v>
      </c>
      <c r="AE65" s="44">
        <f t="shared" si="18"/>
        <v>0.21915833906437948</v>
      </c>
      <c r="AF65" s="44">
        <f t="shared" si="19"/>
        <v>0</v>
      </c>
      <c r="AG65" s="44">
        <f t="shared" si="20"/>
        <v>0</v>
      </c>
      <c r="AH65" s="44">
        <f t="shared" si="21"/>
        <v>12.013668856108724</v>
      </c>
      <c r="AI65" s="44">
        <f t="shared" si="22"/>
        <v>183.05003240919942</v>
      </c>
      <c r="AJ65" s="185"/>
      <c r="AK65" s="100"/>
    </row>
    <row r="66" spans="3:37" ht="14.5" customHeight="1" x14ac:dyDescent="0.2">
      <c r="C66" s="8" t="str">
        <v>Spain</v>
      </c>
      <c r="D66" s="56" t="str">
        <v>Europe &amp; Central Asia</v>
      </c>
      <c r="E66" s="117" t="str">
        <v>High income</v>
      </c>
      <c r="F66" s="44">
        <v>33.615735855079201</v>
      </c>
      <c r="G66" s="44">
        <v>183.05003240919942</v>
      </c>
      <c r="H66" s="44">
        <v>17.183373984384097</v>
      </c>
      <c r="I66" s="44">
        <v>0.56603816388277695</v>
      </c>
      <c r="J66" s="44">
        <v>183.05003240919942</v>
      </c>
      <c r="K66" s="44">
        <v>17.183373984384097</v>
      </c>
      <c r="L66" s="44">
        <v>387.79769832631365</v>
      </c>
      <c r="M66" s="44">
        <v>11.836904568894804</v>
      </c>
      <c r="N66" s="44">
        <v>4.4120724042468185</v>
      </c>
      <c r="O66" s="44">
        <v>4.9289279581529488</v>
      </c>
      <c r="P66" s="44">
        <v>100.82204235368638</v>
      </c>
      <c r="Q66" s="44">
        <v>11.836904568894804</v>
      </c>
      <c r="R66" s="44">
        <v>4.4120724042468185</v>
      </c>
      <c r="S66" s="44">
        <v>4.9289279581529488</v>
      </c>
      <c r="T66" s="44">
        <f t="shared" si="7"/>
        <v>233.84914224866273</v>
      </c>
      <c r="U66" s="44">
        <f t="shared" si="8"/>
        <v>200.7994445574663</v>
      </c>
      <c r="V66" s="44">
        <f t="shared" si="9"/>
        <v>408.97560325760821</v>
      </c>
      <c r="W66" s="44">
        <f t="shared" si="10"/>
        <v>121.99994728498096</v>
      </c>
      <c r="X66" s="44" t="str">
        <f t="shared" si="11"/>
        <v>Incineration</v>
      </c>
      <c r="Y66" s="44" t="str">
        <f t="shared" si="12"/>
        <v>Landfill</v>
      </c>
      <c r="Z66" s="44">
        <f t="shared" si="13"/>
        <v>0</v>
      </c>
      <c r="AA66" s="44">
        <f t="shared" si="14"/>
        <v>4.4120724042468185</v>
      </c>
      <c r="AB66" s="44">
        <f t="shared" si="15"/>
        <v>4.9289279581529488</v>
      </c>
      <c r="AC66" s="44">
        <f t="shared" si="16"/>
        <v>11.836904568894804</v>
      </c>
      <c r="AD66" s="44">
        <f t="shared" si="17"/>
        <v>387.79769832631365</v>
      </c>
      <c r="AE66" s="44">
        <f t="shared" si="18"/>
        <v>0.56603816388277695</v>
      </c>
      <c r="AF66" s="44">
        <f t="shared" si="19"/>
        <v>0</v>
      </c>
      <c r="AG66" s="44">
        <f t="shared" si="20"/>
        <v>0</v>
      </c>
      <c r="AH66" s="44">
        <f t="shared" si="21"/>
        <v>17.183373984384097</v>
      </c>
      <c r="AI66" s="44">
        <f t="shared" si="22"/>
        <v>183.05003240919942</v>
      </c>
      <c r="AJ66" s="185"/>
      <c r="AK66" s="100"/>
    </row>
    <row r="67" spans="3:37" ht="14.5" customHeight="1" x14ac:dyDescent="0.2">
      <c r="C67" s="8" t="str">
        <v>Sri Lanka</v>
      </c>
      <c r="D67" s="56" t="str">
        <v>South Asia</v>
      </c>
      <c r="E67" s="117" t="str">
        <v>Lower middle income</v>
      </c>
      <c r="F67" s="44">
        <v>26.175178853951994</v>
      </c>
      <c r="G67" s="44">
        <v>183.05003240919942</v>
      </c>
      <c r="H67" s="44">
        <v>21.019049669050236</v>
      </c>
      <c r="I67" s="44">
        <v>0.44115469978570776</v>
      </c>
      <c r="J67" s="44">
        <v>183.05003240919942</v>
      </c>
      <c r="K67" s="44">
        <v>21.019049669050236</v>
      </c>
      <c r="L67" s="44">
        <v>387.80522999999999</v>
      </c>
      <c r="M67" s="44">
        <v>0</v>
      </c>
      <c r="N67" s="44">
        <v>4.7252089410643077</v>
      </c>
      <c r="O67" s="44">
        <v>4.9289279581529488</v>
      </c>
      <c r="P67" s="44">
        <v>131.65024000000003</v>
      </c>
      <c r="Q67" s="44">
        <v>0</v>
      </c>
      <c r="R67" s="44">
        <v>4.7252089410643077</v>
      </c>
      <c r="S67" s="44">
        <v>4.9289279581529488</v>
      </c>
      <c r="T67" s="44">
        <f t="shared" si="7"/>
        <v>230.24426093220166</v>
      </c>
      <c r="U67" s="44">
        <f t="shared" si="8"/>
        <v>204.51023677803536</v>
      </c>
      <c r="V67" s="44">
        <f t="shared" si="9"/>
        <v>397.45936689921723</v>
      </c>
      <c r="W67" s="44">
        <f t="shared" si="10"/>
        <v>141.30437689921726</v>
      </c>
      <c r="X67" s="44" t="str">
        <f t="shared" si="11"/>
        <v>Incineration</v>
      </c>
      <c r="Y67" s="44" t="str">
        <f t="shared" si="12"/>
        <v>Landfill</v>
      </c>
      <c r="Z67" s="44">
        <f t="shared" si="13"/>
        <v>0</v>
      </c>
      <c r="AA67" s="44">
        <f t="shared" si="14"/>
        <v>4.7252089410643077</v>
      </c>
      <c r="AB67" s="44">
        <f t="shared" si="15"/>
        <v>4.9289279581529488</v>
      </c>
      <c r="AC67" s="44">
        <f t="shared" si="16"/>
        <v>0</v>
      </c>
      <c r="AD67" s="44">
        <f t="shared" si="17"/>
        <v>387.80522999999999</v>
      </c>
      <c r="AE67" s="44">
        <f t="shared" si="18"/>
        <v>0.44115469978570776</v>
      </c>
      <c r="AF67" s="44">
        <f t="shared" si="19"/>
        <v>0</v>
      </c>
      <c r="AG67" s="44">
        <f t="shared" si="20"/>
        <v>0</v>
      </c>
      <c r="AH67" s="44">
        <f t="shared" si="21"/>
        <v>21.019049669050236</v>
      </c>
      <c r="AI67" s="44">
        <f t="shared" si="22"/>
        <v>183.05003240919942</v>
      </c>
      <c r="AJ67" s="185"/>
      <c r="AK67" s="100"/>
    </row>
    <row r="68" spans="3:37" ht="14.5" customHeight="1" x14ac:dyDescent="0.2">
      <c r="C68" s="8" t="str">
        <v>Sweden</v>
      </c>
      <c r="D68" s="56" t="str">
        <v>Europe &amp; Central Asia</v>
      </c>
      <c r="E68" s="117" t="str">
        <v>High income</v>
      </c>
      <c r="F68" s="44">
        <v>5.3797328305294991</v>
      </c>
      <c r="G68" s="44">
        <v>187.00281170809052</v>
      </c>
      <c r="H68" s="44">
        <v>0</v>
      </c>
      <c r="I68" s="44">
        <v>8.6769884363379013E-2</v>
      </c>
      <c r="J68" s="44">
        <v>187.00281170809052</v>
      </c>
      <c r="K68" s="44">
        <v>0</v>
      </c>
      <c r="L68" s="44">
        <v>387.28759285355829</v>
      </c>
      <c r="M68" s="44">
        <v>6.6217577279584763</v>
      </c>
      <c r="N68" s="44">
        <v>1.3626580704993807</v>
      </c>
      <c r="O68" s="44">
        <v>4.9289279581529488</v>
      </c>
      <c r="P68" s="44">
        <v>126.35273245684171</v>
      </c>
      <c r="Q68" s="44">
        <v>6.6217577279584763</v>
      </c>
      <c r="R68" s="44">
        <v>1.3626580704993807</v>
      </c>
      <c r="S68" s="44">
        <v>4.9289279581529488</v>
      </c>
      <c r="T68" s="44">
        <f t="shared" si="7"/>
        <v>192.38254453862001</v>
      </c>
      <c r="U68" s="44">
        <f t="shared" si="8"/>
        <v>187.0895815924539</v>
      </c>
      <c r="V68" s="44">
        <f t="shared" si="9"/>
        <v>400.20093661016909</v>
      </c>
      <c r="W68" s="44">
        <f t="shared" si="10"/>
        <v>139.26607621345249</v>
      </c>
      <c r="X68" s="44" t="str">
        <f t="shared" si="11"/>
        <v>Incineration</v>
      </c>
      <c r="Y68" s="44" t="str">
        <f t="shared" si="12"/>
        <v>Landfill</v>
      </c>
      <c r="Z68" s="44">
        <f t="shared" si="13"/>
        <v>0</v>
      </c>
      <c r="AA68" s="44">
        <f t="shared" si="14"/>
        <v>1.3626580704993807</v>
      </c>
      <c r="AB68" s="44">
        <f t="shared" si="15"/>
        <v>4.9289279581529488</v>
      </c>
      <c r="AC68" s="44">
        <f t="shared" si="16"/>
        <v>6.6217577279584763</v>
      </c>
      <c r="AD68" s="44">
        <f t="shared" si="17"/>
        <v>387.28759285355829</v>
      </c>
      <c r="AE68" s="44">
        <f t="shared" si="18"/>
        <v>8.6769884363379013E-2</v>
      </c>
      <c r="AF68" s="44">
        <f t="shared" si="19"/>
        <v>0</v>
      </c>
      <c r="AG68" s="44">
        <f t="shared" si="20"/>
        <v>0</v>
      </c>
      <c r="AH68" s="44">
        <f t="shared" si="21"/>
        <v>0</v>
      </c>
      <c r="AI68" s="44">
        <f t="shared" si="22"/>
        <v>187.00281170809052</v>
      </c>
      <c r="AJ68" s="185"/>
      <c r="AK68" s="100"/>
    </row>
    <row r="69" spans="3:37" ht="14.5" customHeight="1" x14ac:dyDescent="0.2">
      <c r="C69" s="8" t="str">
        <v>Thailand</v>
      </c>
      <c r="D69" s="56" t="str">
        <v>East Asia &amp; Pacific</v>
      </c>
      <c r="E69" s="117" t="str">
        <v>Upper middle income</v>
      </c>
      <c r="F69" s="44">
        <v>24.880265252463772</v>
      </c>
      <c r="G69" s="44">
        <v>183.05003240919942</v>
      </c>
      <c r="H69" s="44">
        <v>42.086186383921394</v>
      </c>
      <c r="I69" s="44">
        <v>0.41151534760775338</v>
      </c>
      <c r="J69" s="44">
        <v>183.05003240919942</v>
      </c>
      <c r="K69" s="44">
        <v>42.086186383921394</v>
      </c>
      <c r="L69" s="44">
        <v>382.53243923172982</v>
      </c>
      <c r="M69" s="44">
        <v>24.489806732023222</v>
      </c>
      <c r="N69" s="44">
        <v>5.0966199110013628</v>
      </c>
      <c r="O69" s="44">
        <v>4.9289279581529488</v>
      </c>
      <c r="P69" s="44">
        <v>57.521836128270195</v>
      </c>
      <c r="Q69" s="44">
        <v>24.489806732023222</v>
      </c>
      <c r="R69" s="44">
        <v>5.0966199110013628</v>
      </c>
      <c r="S69" s="44">
        <v>4.9289279581529488</v>
      </c>
      <c r="T69" s="44">
        <f t="shared" si="7"/>
        <v>250.01648404558458</v>
      </c>
      <c r="U69" s="44">
        <f t="shared" si="8"/>
        <v>225.54773414072855</v>
      </c>
      <c r="V69" s="44">
        <f t="shared" si="9"/>
        <v>417.04779383290736</v>
      </c>
      <c r="W69" s="44">
        <f t="shared" si="10"/>
        <v>92.037190729447744</v>
      </c>
      <c r="X69" s="44" t="str">
        <f t="shared" si="11"/>
        <v>Incineration</v>
      </c>
      <c r="Y69" s="44" t="str">
        <f t="shared" si="12"/>
        <v>Landfill</v>
      </c>
      <c r="Z69" s="44">
        <f t="shared" si="13"/>
        <v>0</v>
      </c>
      <c r="AA69" s="44">
        <f t="shared" si="14"/>
        <v>5.0966199110013628</v>
      </c>
      <c r="AB69" s="44">
        <f t="shared" si="15"/>
        <v>4.9289279581529488</v>
      </c>
      <c r="AC69" s="44">
        <f t="shared" si="16"/>
        <v>24.489806732023222</v>
      </c>
      <c r="AD69" s="44">
        <f t="shared" si="17"/>
        <v>382.53243923172982</v>
      </c>
      <c r="AE69" s="44">
        <f t="shared" si="18"/>
        <v>0.41151534760775338</v>
      </c>
      <c r="AF69" s="44">
        <f t="shared" si="19"/>
        <v>0</v>
      </c>
      <c r="AG69" s="44">
        <f t="shared" si="20"/>
        <v>0</v>
      </c>
      <c r="AH69" s="44">
        <f t="shared" si="21"/>
        <v>42.086186383921394</v>
      </c>
      <c r="AI69" s="44">
        <f t="shared" si="22"/>
        <v>183.05003240919942</v>
      </c>
      <c r="AJ69" s="185"/>
      <c r="AK69" s="100"/>
    </row>
    <row r="70" spans="3:37" ht="14.5" customHeight="1" x14ac:dyDescent="0.2">
      <c r="C70" s="8" t="str">
        <v>Ukraine</v>
      </c>
      <c r="D70" s="56" t="str">
        <v>Europe &amp; Central Asia</v>
      </c>
      <c r="E70" s="117" t="str">
        <v>Lower middle income</v>
      </c>
      <c r="F70" s="44">
        <v>16.389890404618974</v>
      </c>
      <c r="G70" s="44">
        <v>187.00281170809052</v>
      </c>
      <c r="H70" s="44">
        <v>6.1196654975083868</v>
      </c>
      <c r="I70" s="44">
        <v>0.27623410794301639</v>
      </c>
      <c r="J70" s="44">
        <v>187.00281170809052</v>
      </c>
      <c r="K70" s="44">
        <v>6.1196654975083868</v>
      </c>
      <c r="L70" s="44">
        <v>386.86618149603243</v>
      </c>
      <c r="M70" s="44">
        <v>4.6515589314044448</v>
      </c>
      <c r="N70" s="44">
        <v>3.9686445724112089</v>
      </c>
      <c r="O70" s="44">
        <v>4.9289279581529488</v>
      </c>
      <c r="P70" s="44">
        <v>95.816756871967598</v>
      </c>
      <c r="Q70" s="44">
        <v>4.6515589314044448</v>
      </c>
      <c r="R70" s="44">
        <v>3.9686445724112089</v>
      </c>
      <c r="S70" s="44">
        <v>4.9289279581529488</v>
      </c>
      <c r="T70" s="44">
        <f t="shared" si="7"/>
        <v>209.51236761021786</v>
      </c>
      <c r="U70" s="44">
        <f t="shared" si="8"/>
        <v>193.39871131354192</v>
      </c>
      <c r="V70" s="44">
        <f t="shared" si="9"/>
        <v>400.41531295800104</v>
      </c>
      <c r="W70" s="44">
        <f t="shared" si="10"/>
        <v>109.3658883339362</v>
      </c>
      <c r="X70" s="44" t="str">
        <f t="shared" si="11"/>
        <v>Incineration</v>
      </c>
      <c r="Y70" s="44" t="str">
        <f t="shared" si="12"/>
        <v>Landfill</v>
      </c>
      <c r="Z70" s="44">
        <f t="shared" si="13"/>
        <v>0</v>
      </c>
      <c r="AA70" s="44">
        <f t="shared" si="14"/>
        <v>3.9686445724112089</v>
      </c>
      <c r="AB70" s="44">
        <f t="shared" si="15"/>
        <v>4.9289279581529488</v>
      </c>
      <c r="AC70" s="44">
        <f t="shared" si="16"/>
        <v>4.6515589314044448</v>
      </c>
      <c r="AD70" s="44">
        <f t="shared" si="17"/>
        <v>386.86618149603243</v>
      </c>
      <c r="AE70" s="44">
        <f t="shared" si="18"/>
        <v>0.27623410794301639</v>
      </c>
      <c r="AF70" s="44">
        <f t="shared" si="19"/>
        <v>0</v>
      </c>
      <c r="AG70" s="44">
        <f t="shared" si="20"/>
        <v>0</v>
      </c>
      <c r="AH70" s="44">
        <f t="shared" si="21"/>
        <v>6.1196654975083868</v>
      </c>
      <c r="AI70" s="44">
        <f t="shared" si="22"/>
        <v>187.00281170809052</v>
      </c>
      <c r="AJ70" s="185"/>
      <c r="AK70" s="100"/>
    </row>
    <row r="71" spans="3:37" ht="14.5" customHeight="1" x14ac:dyDescent="0.2">
      <c r="C71" s="8" t="str">
        <v>United Kingdom</v>
      </c>
      <c r="D71" s="56" t="str">
        <v>Europe &amp; Central Asia</v>
      </c>
      <c r="E71" s="117" t="str">
        <v>High income</v>
      </c>
      <c r="F71" s="44">
        <v>8.7957386202985646</v>
      </c>
      <c r="G71" s="44">
        <v>187.00281170809052</v>
      </c>
      <c r="H71" s="44">
        <v>660.71213613039401</v>
      </c>
      <c r="I71" s="44">
        <v>0.13961489873489788</v>
      </c>
      <c r="J71" s="44">
        <v>187.00281170809052</v>
      </c>
      <c r="K71" s="44">
        <v>660.71213613039401</v>
      </c>
      <c r="L71" s="44">
        <v>386.6793967637542</v>
      </c>
      <c r="M71" s="44">
        <v>62.332046451757499</v>
      </c>
      <c r="N71" s="44">
        <v>6.0418773866368998</v>
      </c>
      <c r="O71" s="44">
        <v>4.9289279581529488</v>
      </c>
      <c r="P71" s="44">
        <v>96.54776846024582</v>
      </c>
      <c r="Q71" s="44">
        <v>62.332046451757499</v>
      </c>
      <c r="R71" s="44">
        <v>6.0418773866368998</v>
      </c>
      <c r="S71" s="44">
        <v>4.9289279581529488</v>
      </c>
      <c r="T71" s="44">
        <f t="shared" si="7"/>
        <v>856.51068645878308</v>
      </c>
      <c r="U71" s="44">
        <f t="shared" si="8"/>
        <v>847.85456273721945</v>
      </c>
      <c r="V71" s="44">
        <f t="shared" si="9"/>
        <v>459.98224856030151</v>
      </c>
      <c r="W71" s="44">
        <f t="shared" si="10"/>
        <v>169.85062025679318</v>
      </c>
      <c r="X71" s="44" t="str">
        <f t="shared" si="11"/>
        <v>Landfill</v>
      </c>
      <c r="Y71" s="44" t="str">
        <f t="shared" si="12"/>
        <v>Landfill</v>
      </c>
      <c r="Z71" s="44">
        <f t="shared" si="13"/>
        <v>8.7957386202985646</v>
      </c>
      <c r="AA71" s="44">
        <f t="shared" si="14"/>
        <v>0</v>
      </c>
      <c r="AB71" s="44">
        <f t="shared" si="15"/>
        <v>0</v>
      </c>
      <c r="AC71" s="44">
        <f t="shared" si="16"/>
        <v>660.71213613039401</v>
      </c>
      <c r="AD71" s="44">
        <f t="shared" si="17"/>
        <v>187.00281170809052</v>
      </c>
      <c r="AE71" s="44">
        <f t="shared" si="18"/>
        <v>0.13961489873489788</v>
      </c>
      <c r="AF71" s="44">
        <f t="shared" si="19"/>
        <v>0</v>
      </c>
      <c r="AG71" s="44">
        <f t="shared" si="20"/>
        <v>0</v>
      </c>
      <c r="AH71" s="44">
        <f t="shared" si="21"/>
        <v>660.71213613039401</v>
      </c>
      <c r="AI71" s="44">
        <f t="shared" si="22"/>
        <v>187.00281170809052</v>
      </c>
      <c r="AJ71" s="185"/>
      <c r="AK71" s="100"/>
    </row>
    <row r="72" spans="3:37" ht="14.5" customHeight="1" x14ac:dyDescent="0.2">
      <c r="C72" s="8" t="str">
        <v>United States</v>
      </c>
      <c r="D72" s="56" t="str">
        <v>North America</v>
      </c>
      <c r="E72" s="117" t="str">
        <v>High income</v>
      </c>
      <c r="F72" s="44">
        <v>30.296433025472837</v>
      </c>
      <c r="G72" s="44">
        <v>187.00281170809052</v>
      </c>
      <c r="H72" s="44">
        <v>19.174224829735653</v>
      </c>
      <c r="I72" s="44">
        <v>0.5080768271352587</v>
      </c>
      <c r="J72" s="44">
        <v>187.00281170809052</v>
      </c>
      <c r="K72" s="44">
        <v>19.174224829735653</v>
      </c>
      <c r="L72" s="44">
        <v>379.10024645804356</v>
      </c>
      <c r="M72" s="44">
        <v>6.6683415087711513</v>
      </c>
      <c r="N72" s="44">
        <v>3.5836597344595256</v>
      </c>
      <c r="O72" s="44">
        <v>4.9289279581529488</v>
      </c>
      <c r="P72" s="44">
        <v>122.9452564580436</v>
      </c>
      <c r="Q72" s="44">
        <v>6.6683415087711513</v>
      </c>
      <c r="R72" s="44">
        <v>3.5836597344595256</v>
      </c>
      <c r="S72" s="44">
        <v>4.9289279581529488</v>
      </c>
      <c r="T72" s="44">
        <f t="shared" si="7"/>
        <v>236.47346956329901</v>
      </c>
      <c r="U72" s="44">
        <f t="shared" si="8"/>
        <v>206.68511336496144</v>
      </c>
      <c r="V72" s="44">
        <f t="shared" si="9"/>
        <v>394.28117565942716</v>
      </c>
      <c r="W72" s="44">
        <f t="shared" si="10"/>
        <v>138.12618565942722</v>
      </c>
      <c r="X72" s="44" t="str">
        <f t="shared" si="11"/>
        <v>Incineration</v>
      </c>
      <c r="Y72" s="44" t="str">
        <f t="shared" si="12"/>
        <v>Landfill</v>
      </c>
      <c r="Z72" s="44">
        <f t="shared" si="13"/>
        <v>0</v>
      </c>
      <c r="AA72" s="44">
        <f t="shared" si="14"/>
        <v>3.5836597344595256</v>
      </c>
      <c r="AB72" s="44">
        <f t="shared" si="15"/>
        <v>4.9289279581529488</v>
      </c>
      <c r="AC72" s="44">
        <f t="shared" si="16"/>
        <v>6.6683415087711513</v>
      </c>
      <c r="AD72" s="44">
        <f t="shared" si="17"/>
        <v>379.10024645804356</v>
      </c>
      <c r="AE72" s="44">
        <f t="shared" si="18"/>
        <v>0.5080768271352587</v>
      </c>
      <c r="AF72" s="44">
        <f t="shared" si="19"/>
        <v>0</v>
      </c>
      <c r="AG72" s="44">
        <f t="shared" si="20"/>
        <v>0</v>
      </c>
      <c r="AH72" s="44">
        <f t="shared" si="21"/>
        <v>19.174224829735653</v>
      </c>
      <c r="AI72" s="44">
        <f t="shared" si="22"/>
        <v>187.00281170809052</v>
      </c>
      <c r="AJ72" s="185"/>
      <c r="AK72" s="100"/>
    </row>
    <row r="73" spans="3:37" ht="14.5" customHeight="1" x14ac:dyDescent="0.2">
      <c r="C73" s="8" t="str">
        <v>Uruguay</v>
      </c>
      <c r="D73" s="56" t="str">
        <v>Latin America &amp; Caribbean</v>
      </c>
      <c r="E73" s="117" t="str">
        <v>High income</v>
      </c>
      <c r="F73" s="44">
        <v>20.096031352854446</v>
      </c>
      <c r="G73" s="44">
        <v>167.34949443268115</v>
      </c>
      <c r="H73" s="44">
        <v>2.5161979608158922</v>
      </c>
      <c r="I73" s="44">
        <v>0.33838678223019514</v>
      </c>
      <c r="J73" s="44">
        <v>167.34949443268115</v>
      </c>
      <c r="K73" s="44">
        <v>2.5161979608158922</v>
      </c>
      <c r="L73" s="44">
        <v>385.5599924206121</v>
      </c>
      <c r="M73" s="44">
        <v>1.8299621533206494</v>
      </c>
      <c r="N73" s="44">
        <v>3.6583542731509411</v>
      </c>
      <c r="O73" s="44">
        <v>4.9289279581529488</v>
      </c>
      <c r="P73" s="44">
        <v>129.40500242061216</v>
      </c>
      <c r="Q73" s="44">
        <v>1.8299621533206494</v>
      </c>
      <c r="R73" s="44">
        <v>3.6583542731509411</v>
      </c>
      <c r="S73" s="44">
        <v>4.9289279581529488</v>
      </c>
      <c r="T73" s="44">
        <f t="shared" si="7"/>
        <v>189.96172374635151</v>
      </c>
      <c r="U73" s="44">
        <f t="shared" si="8"/>
        <v>170.20407917572726</v>
      </c>
      <c r="V73" s="44">
        <f t="shared" si="9"/>
        <v>395.97723680523666</v>
      </c>
      <c r="W73" s="44">
        <f t="shared" si="10"/>
        <v>139.82224680523669</v>
      </c>
      <c r="X73" s="44" t="str">
        <f t="shared" si="11"/>
        <v>Incineration</v>
      </c>
      <c r="Y73" s="44" t="str">
        <f t="shared" si="12"/>
        <v>Landfill</v>
      </c>
      <c r="Z73" s="44">
        <f t="shared" si="13"/>
        <v>0</v>
      </c>
      <c r="AA73" s="44">
        <f t="shared" si="14"/>
        <v>3.6583542731509411</v>
      </c>
      <c r="AB73" s="44">
        <f t="shared" si="15"/>
        <v>4.9289279581529488</v>
      </c>
      <c r="AC73" s="44">
        <f t="shared" si="16"/>
        <v>1.8299621533206494</v>
      </c>
      <c r="AD73" s="44">
        <f t="shared" si="17"/>
        <v>385.5599924206121</v>
      </c>
      <c r="AE73" s="44">
        <f t="shared" si="18"/>
        <v>0.33838678223019514</v>
      </c>
      <c r="AF73" s="44">
        <f t="shared" si="19"/>
        <v>0</v>
      </c>
      <c r="AG73" s="44">
        <f t="shared" si="20"/>
        <v>0</v>
      </c>
      <c r="AH73" s="44">
        <f t="shared" si="21"/>
        <v>2.5161979608158922</v>
      </c>
      <c r="AI73" s="44">
        <f t="shared" si="22"/>
        <v>167.34949443268115</v>
      </c>
      <c r="AJ73" s="185"/>
      <c r="AK73" s="100"/>
    </row>
    <row r="74" spans="3:37" ht="14.5" customHeight="1" x14ac:dyDescent="0.2">
      <c r="C74" s="8" t="str">
        <v>Venezuela, RB</v>
      </c>
      <c r="D74" s="56" t="str">
        <v>Latin America &amp; Caribbean</v>
      </c>
      <c r="E74" s="117" t="str">
        <v>Upper middle income</v>
      </c>
      <c r="F74" s="44" t="str">
        <v>No value</v>
      </c>
      <c r="G74" s="44">
        <v>183.05003240919942</v>
      </c>
      <c r="H74" s="44">
        <v>0.58694873138450954</v>
      </c>
      <c r="I74" s="44" t="str">
        <v>No value</v>
      </c>
      <c r="J74" s="44">
        <v>183.05003240919942</v>
      </c>
      <c r="K74" s="44">
        <v>0.58694873138450954</v>
      </c>
      <c r="L74" s="44">
        <v>385.72556753481524</v>
      </c>
      <c r="M74" s="44">
        <v>0.376882869625843</v>
      </c>
      <c r="N74" s="44">
        <v>3.9495718452258073</v>
      </c>
      <c r="O74" s="44">
        <v>4.9289279581529488</v>
      </c>
      <c r="P74" s="44">
        <v>129.57057753481527</v>
      </c>
      <c r="Q74" s="44">
        <v>0.376882869625843</v>
      </c>
      <c r="R74" s="44">
        <v>3.9495718452258073</v>
      </c>
      <c r="S74" s="44">
        <v>4.9289279581529488</v>
      </c>
      <c r="T74" s="44">
        <f t="shared" si="7"/>
        <v>183.63698114058391</v>
      </c>
      <c r="U74" s="44">
        <f t="shared" si="8"/>
        <v>183.63698114058391</v>
      </c>
      <c r="V74" s="44">
        <f t="shared" si="9"/>
        <v>394.98095020781983</v>
      </c>
      <c r="W74" s="44">
        <f t="shared" si="10"/>
        <v>138.82596020781986</v>
      </c>
      <c r="X74" s="44" t="str">
        <f t="shared" si="11"/>
        <v>Incineration</v>
      </c>
      <c r="Y74" s="44" t="str">
        <f t="shared" si="12"/>
        <v>Landfill</v>
      </c>
      <c r="Z74" s="44">
        <f t="shared" si="13"/>
        <v>0</v>
      </c>
      <c r="AA74" s="44">
        <f t="shared" si="14"/>
        <v>3.9495718452258073</v>
      </c>
      <c r="AB74" s="44">
        <f t="shared" si="15"/>
        <v>4.9289279581529488</v>
      </c>
      <c r="AC74" s="44">
        <f t="shared" si="16"/>
        <v>0.376882869625843</v>
      </c>
      <c r="AD74" s="44">
        <f t="shared" si="17"/>
        <v>385.72556753481524</v>
      </c>
      <c r="AE74" s="44" t="str">
        <f t="shared" si="18"/>
        <v>No value</v>
      </c>
      <c r="AF74" s="44">
        <f t="shared" si="19"/>
        <v>0</v>
      </c>
      <c r="AG74" s="44">
        <f t="shared" si="20"/>
        <v>0</v>
      </c>
      <c r="AH74" s="44">
        <f t="shared" si="21"/>
        <v>0.58694873138450954</v>
      </c>
      <c r="AI74" s="44">
        <f t="shared" si="22"/>
        <v>183.05003240919942</v>
      </c>
      <c r="AJ74" s="185"/>
      <c r="AK74" s="100"/>
    </row>
    <row r="75" spans="3:37" ht="14.5" customHeight="1" x14ac:dyDescent="0.2">
      <c r="C75" s="8" t="str">
        <v>Viet Nam</v>
      </c>
      <c r="D75" s="56" t="str">
        <v>East Asia &amp; Pacific</v>
      </c>
      <c r="E75" s="117" t="str">
        <v>Lower middle income</v>
      </c>
      <c r="F75" s="44">
        <v>18.142547468037336</v>
      </c>
      <c r="G75" s="44">
        <v>178.32133445217278</v>
      </c>
      <c r="H75" s="44">
        <v>577.13666874622788</v>
      </c>
      <c r="I75" s="44">
        <v>0.305434197435623</v>
      </c>
      <c r="J75" s="44">
        <v>178.32133445217278</v>
      </c>
      <c r="K75" s="44">
        <v>577.13666874622788</v>
      </c>
      <c r="L75" s="44">
        <v>378.74206300931905</v>
      </c>
      <c r="M75" s="44">
        <v>25.332724575055668</v>
      </c>
      <c r="N75" s="44">
        <v>5.3287173812130382</v>
      </c>
      <c r="O75" s="44">
        <v>4.9289279581529488</v>
      </c>
      <c r="P75" s="44">
        <v>122.58707300931908</v>
      </c>
      <c r="Q75" s="44">
        <v>25.332724575055668</v>
      </c>
      <c r="R75" s="44">
        <v>5.3287173812130382</v>
      </c>
      <c r="S75" s="44">
        <v>4.9289279581529488</v>
      </c>
      <c r="T75" s="44">
        <f t="shared" si="7"/>
        <v>773.60055066643804</v>
      </c>
      <c r="U75" s="44">
        <f t="shared" si="8"/>
        <v>755.76343739583626</v>
      </c>
      <c r="V75" s="44">
        <f t="shared" si="9"/>
        <v>414.33243292374073</v>
      </c>
      <c r="W75" s="44">
        <f t="shared" si="10"/>
        <v>158.17744292374073</v>
      </c>
      <c r="X75" s="44" t="str">
        <f t="shared" si="11"/>
        <v>Landfill</v>
      </c>
      <c r="Y75" s="44" t="str">
        <f t="shared" si="12"/>
        <v>Landfill</v>
      </c>
      <c r="Z75" s="44">
        <f t="shared" si="13"/>
        <v>18.142547468037336</v>
      </c>
      <c r="AA75" s="44">
        <f t="shared" si="14"/>
        <v>0</v>
      </c>
      <c r="AB75" s="44">
        <f t="shared" si="15"/>
        <v>0</v>
      </c>
      <c r="AC75" s="44">
        <f t="shared" si="16"/>
        <v>577.13666874622788</v>
      </c>
      <c r="AD75" s="44">
        <f t="shared" si="17"/>
        <v>178.32133445217278</v>
      </c>
      <c r="AE75" s="44">
        <f t="shared" si="18"/>
        <v>0.305434197435623</v>
      </c>
      <c r="AF75" s="44">
        <f t="shared" si="19"/>
        <v>0</v>
      </c>
      <c r="AG75" s="44">
        <f t="shared" si="20"/>
        <v>0</v>
      </c>
      <c r="AH75" s="44">
        <f t="shared" si="21"/>
        <v>577.13666874622788</v>
      </c>
      <c r="AI75" s="44">
        <f t="shared" si="22"/>
        <v>178.32133445217278</v>
      </c>
      <c r="AJ75" s="185"/>
    </row>
  </sheetData>
  <mergeCells count="12">
    <mergeCell ref="BM8:BR8"/>
    <mergeCell ref="B5:M6"/>
    <mergeCell ref="Z8:AI8"/>
    <mergeCell ref="AE9:AI9"/>
    <mergeCell ref="Z9:AD9"/>
    <mergeCell ref="F8:K8"/>
    <mergeCell ref="F9:H9"/>
    <mergeCell ref="I9:K9"/>
    <mergeCell ref="L9:O9"/>
    <mergeCell ref="P9:S9"/>
    <mergeCell ref="L8:S8"/>
    <mergeCell ref="T8:Y8"/>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7F7F7F"/>
  </sheetPr>
  <dimension ref="B1:E1000"/>
  <sheetViews>
    <sheetView showGridLines="0" workbookViewId="0"/>
  </sheetViews>
  <sheetFormatPr baseColWidth="10" defaultColWidth="14.5" defaultRowHeight="15" customHeight="1" x14ac:dyDescent="0.2"/>
  <cols>
    <col min="1" max="3" width="9.5" customWidth="1"/>
    <col min="4" max="4" width="10.1640625" customWidth="1"/>
    <col min="5" max="5" width="36" customWidth="1"/>
    <col min="6" max="25" width="8.5" customWidth="1"/>
  </cols>
  <sheetData>
    <row r="1" spans="2:5" ht="14.25" customHeight="1" x14ac:dyDescent="0.2"/>
    <row r="2" spans="2:5" ht="21" x14ac:dyDescent="0.25">
      <c r="B2" s="1" t="s">
        <v>798</v>
      </c>
    </row>
    <row r="3" spans="2:5" ht="14.25" customHeight="1" x14ac:dyDescent="0.2"/>
    <row r="4" spans="2:5" ht="14.25" customHeight="1" x14ac:dyDescent="0.2">
      <c r="B4" s="3" t="s">
        <v>6</v>
      </c>
    </row>
    <row r="5" spans="2:5" ht="14.25" customHeight="1" x14ac:dyDescent="0.2">
      <c r="B5" s="4" t="s">
        <v>7</v>
      </c>
    </row>
    <row r="6" spans="2:5" ht="14.25" customHeight="1" x14ac:dyDescent="0.2"/>
    <row r="7" spans="2:5" ht="14.25" customHeight="1" x14ac:dyDescent="0.2"/>
    <row r="8" spans="2:5" ht="14.25" customHeight="1" x14ac:dyDescent="0.2">
      <c r="C8" s="9" t="s">
        <v>8</v>
      </c>
      <c r="D8" s="9" t="s">
        <v>9</v>
      </c>
      <c r="E8" s="9" t="s">
        <v>10</v>
      </c>
    </row>
    <row r="9" spans="2:5" ht="16" x14ac:dyDescent="0.2">
      <c r="C9" s="52" t="s">
        <v>811</v>
      </c>
      <c r="D9" s="53">
        <v>45580</v>
      </c>
      <c r="E9" s="140" t="s">
        <v>853</v>
      </c>
    </row>
    <row r="10" spans="2:5" x14ac:dyDescent="0.2">
      <c r="C10" s="52"/>
      <c r="D10" s="53"/>
      <c r="E10" s="140"/>
    </row>
    <row r="11" spans="2:5" x14ac:dyDescent="0.2">
      <c r="C11" s="52"/>
      <c r="D11" s="53"/>
      <c r="E11" s="140"/>
    </row>
    <row r="12" spans="2:5" x14ac:dyDescent="0.2">
      <c r="C12" s="52"/>
      <c r="D12" s="53"/>
      <c r="E12" s="140"/>
    </row>
    <row r="13" spans="2:5" x14ac:dyDescent="0.2">
      <c r="C13" s="52"/>
      <c r="D13" s="53"/>
      <c r="E13" s="140"/>
    </row>
    <row r="14" spans="2:5" x14ac:dyDescent="0.2">
      <c r="C14" s="52"/>
      <c r="D14" s="53"/>
      <c r="E14" s="140"/>
    </row>
    <row r="15" spans="2:5" x14ac:dyDescent="0.2"/>
    <row r="16" spans="2:5" x14ac:dyDescent="0.2"/>
    <row r="17" ht="14.25" customHeight="1" x14ac:dyDescent="0.2"/>
    <row r="18" ht="14.25" customHeight="1" x14ac:dyDescent="0.2"/>
    <row r="19" ht="14.25" customHeight="1" x14ac:dyDescent="0.2"/>
    <row r="20" ht="14.25" customHeight="1" x14ac:dyDescent="0.2"/>
    <row r="21" ht="14.25" customHeight="1" x14ac:dyDescent="0.2"/>
    <row r="22" ht="14.25" customHeight="1" x14ac:dyDescent="0.2"/>
    <row r="23" ht="14.25" customHeight="1" x14ac:dyDescent="0.2"/>
    <row r="24" ht="14.25" customHeight="1" x14ac:dyDescent="0.2"/>
    <row r="25" ht="14.25" customHeight="1" x14ac:dyDescent="0.2"/>
    <row r="26" ht="14.25" customHeight="1" x14ac:dyDescent="0.2"/>
    <row r="27" ht="14.25" customHeight="1" x14ac:dyDescent="0.2"/>
    <row r="28" ht="14.25" customHeight="1" x14ac:dyDescent="0.2"/>
    <row r="29" ht="14.25" customHeight="1" x14ac:dyDescent="0.2"/>
    <row r="30" ht="14.25" customHeight="1" x14ac:dyDescent="0.2"/>
    <row r="31" ht="14.25" customHeight="1" x14ac:dyDescent="0.2"/>
    <row r="32" ht="14.25" customHeight="1" x14ac:dyDescent="0.2"/>
    <row r="33" ht="14.25" customHeight="1" x14ac:dyDescent="0.2"/>
    <row r="34" ht="14.25" customHeight="1" x14ac:dyDescent="0.2"/>
    <row r="35" ht="14.25" customHeight="1" x14ac:dyDescent="0.2"/>
    <row r="36" ht="14.25" customHeight="1" x14ac:dyDescent="0.2"/>
    <row r="37" ht="14.25" customHeight="1" x14ac:dyDescent="0.2"/>
    <row r="38" ht="14.25" customHeight="1" x14ac:dyDescent="0.2"/>
    <row r="39" ht="14.25" customHeight="1" x14ac:dyDescent="0.2"/>
    <row r="40" ht="14.25" customHeight="1" x14ac:dyDescent="0.2"/>
    <row r="41" ht="14.25" customHeight="1" x14ac:dyDescent="0.2"/>
    <row r="42" ht="14.25" customHeight="1" x14ac:dyDescent="0.2"/>
    <row r="43" ht="14.25" customHeight="1" x14ac:dyDescent="0.2"/>
    <row r="44" ht="14.25" customHeight="1" x14ac:dyDescent="0.2"/>
    <row r="45" ht="14.25" customHeight="1" x14ac:dyDescent="0.2"/>
    <row r="46" ht="14.25" customHeight="1" x14ac:dyDescent="0.2"/>
    <row r="47" ht="14.25" customHeight="1" x14ac:dyDescent="0.2"/>
    <row r="48" ht="14.25" customHeight="1" x14ac:dyDescent="0.2"/>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phoneticPr fontId="40" type="noConversion"/>
  <pageMargins left="0.7" right="0.7" top="0.75" bottom="0.75" header="0" footer="0"/>
  <pageSetup paperSize="9"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2A8D77-52DC-4A6B-AC42-0F932727EB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127</vt:i4>
      </vt:variant>
    </vt:vector>
  </HeadingPairs>
  <TitlesOfParts>
    <vt:vector size="150" baseType="lpstr">
      <vt:lpstr>Cover sheet</vt:lpstr>
      <vt:lpstr>VALUE FACTORS &gt;&gt;</vt:lpstr>
      <vt:lpstr>Waste Value Factors</vt:lpstr>
      <vt:lpstr>INPUTS &gt;&gt;</vt:lpstr>
      <vt:lpstr>1. Waste Assumptions Sheet</vt:lpstr>
      <vt:lpstr>2. Waste Data Sheet</vt:lpstr>
      <vt:lpstr>3. Country Mappings</vt:lpstr>
      <vt:lpstr>4. Inflation Calculations</vt:lpstr>
      <vt:lpstr>5. Waste HARAS ERQ</vt:lpstr>
      <vt:lpstr>6. Waste MGR</vt:lpstr>
      <vt:lpstr>CALCS &gt;&gt;</vt:lpstr>
      <vt:lpstr>1. Leachate</vt:lpstr>
      <vt:lpstr>2. Air pollution</vt:lpstr>
      <vt:lpstr>3. Heavy metals &amp; dioxins</vt:lpstr>
      <vt:lpstr>4. Disamenity</vt:lpstr>
      <vt:lpstr>4a. LF DWF</vt:lpstr>
      <vt:lpstr>4b. IN DWF</vt:lpstr>
      <vt:lpstr>4c. Hedonic pricing</vt:lpstr>
      <vt:lpstr>5. Landfill GHGs</vt:lpstr>
      <vt:lpstr>5a. IPCC Model</vt:lpstr>
      <vt:lpstr>6. Incineration GHGs</vt:lpstr>
      <vt:lpstr>7. Interim value factors</vt:lpstr>
      <vt:lpstr>Version control</vt:lpstr>
      <vt:lpstr>Airpollution_Coefficient1</vt:lpstr>
      <vt:lpstr>Airpollution_Coefficient2</vt:lpstr>
      <vt:lpstr>Assump_AdjustHealthIncome</vt:lpstr>
      <vt:lpstr>Assump_CancersperKG</vt:lpstr>
      <vt:lpstr>Assump_CarbonCO2conv</vt:lpstr>
      <vt:lpstr>Assump_ConversionCCH4</vt:lpstr>
      <vt:lpstr>Assump_CostIQ</vt:lpstr>
      <vt:lpstr>Assump_CostNFCancer</vt:lpstr>
      <vt:lpstr>Assump_DiscountRate</vt:lpstr>
      <vt:lpstr>Assump_DOCf</vt:lpstr>
      <vt:lpstr>Assump_ElasticityLeachate</vt:lpstr>
      <vt:lpstr>Assump_EnergyPot_Incin</vt:lpstr>
      <vt:lpstr>Assump_EnergyPot_Landfill</vt:lpstr>
      <vt:lpstr>Assump_FractionMethane</vt:lpstr>
      <vt:lpstr>Assump_GgTonne</vt:lpstr>
      <vt:lpstr>Assump_gKg</vt:lpstr>
      <vt:lpstr>Assump_GWPConversion</vt:lpstr>
      <vt:lpstr>Assump_Haz_CarbonContent</vt:lpstr>
      <vt:lpstr>Assump_Haz_EfficiencyCombustion</vt:lpstr>
      <vt:lpstr>Assump_Haz_FossilCarbon</vt:lpstr>
      <vt:lpstr>Assump_HealthElasticity</vt:lpstr>
      <vt:lpstr>Assump_HedonicFactor</vt:lpstr>
      <vt:lpstr>Assump_Incin_EnergyPotential</vt:lpstr>
      <vt:lpstr>Assump_IQperkgHg</vt:lpstr>
      <vt:lpstr>Assump_IQperkgPb</vt:lpstr>
      <vt:lpstr>Assump_kgTonne</vt:lpstr>
      <vt:lpstr>Assump_LandfillYears</vt:lpstr>
      <vt:lpstr>Assump_LeachateWCcost</vt:lpstr>
      <vt:lpstr>Assump_LikelihoodBaseline</vt:lpstr>
      <vt:lpstr>Assump_MCF</vt:lpstr>
      <vt:lpstr>Assump_NonHaz_CarbonContent</vt:lpstr>
      <vt:lpstr>Assump_NonHaz_EfficiencyCombustion</vt:lpstr>
      <vt:lpstr>Assump_NonHaz_FossilCarbon</vt:lpstr>
      <vt:lpstr>Assump_NOXEF</vt:lpstr>
      <vt:lpstr>Assump_OECDGNI</vt:lpstr>
      <vt:lpstr>Assump_OECDVSL</vt:lpstr>
      <vt:lpstr>Assump_PM10EF</vt:lpstr>
      <vt:lpstr>Assump_PM25EF</vt:lpstr>
      <vt:lpstr>Assump_ProportionCancers</vt:lpstr>
      <vt:lpstr>Assump_SCC</vt:lpstr>
      <vt:lpstr>Assump_SCCGrowth</vt:lpstr>
      <vt:lpstr>Assump_SOXEF</vt:lpstr>
      <vt:lpstr>Assump_StartMonth</vt:lpstr>
      <vt:lpstr>Assump_USGNI</vt:lpstr>
      <vt:lpstr>Disamenity_IDWF</vt:lpstr>
      <vt:lpstr>Disamenity_IN_Coefficient1</vt:lpstr>
      <vt:lpstr>Disamenity_IN_Coefficient2</vt:lpstr>
      <vt:lpstr>Disamenity_LF_Coefficient1</vt:lpstr>
      <vt:lpstr>Disamenity_LF_Coefficient2</vt:lpstr>
      <vt:lpstr>Disamentiy_LDWF</vt:lpstr>
      <vt:lpstr>ERQ_Landfill</vt:lpstr>
      <vt:lpstr>ERQ_Score</vt:lpstr>
      <vt:lpstr>HARAS_code</vt:lpstr>
      <vt:lpstr>HARAS_scoreLined</vt:lpstr>
      <vt:lpstr>HARAS_scoreUnlined</vt:lpstr>
      <vt:lpstr>Health_Coefficient1</vt:lpstr>
      <vt:lpstr>Health_Coefficient2</vt:lpstr>
      <vt:lpstr>INGHG_Coefficient1</vt:lpstr>
      <vt:lpstr>INGHG_Coefficient2</vt:lpstr>
      <vt:lpstr>Input_CO2grid</vt:lpstr>
      <vt:lpstr>Input_countries</vt:lpstr>
      <vt:lpstr>Input_DioxinEF</vt:lpstr>
      <vt:lpstr>Input_ERQ</vt:lpstr>
      <vt:lpstr>Input_GNIPPP</vt:lpstr>
      <vt:lpstr>Input_HazIncin_ER</vt:lpstr>
      <vt:lpstr>Input_HMethaneBurned</vt:lpstr>
      <vt:lpstr>Input_HMethaneCaptured</vt:lpstr>
      <vt:lpstr>Input_HousePrice</vt:lpstr>
      <vt:lpstr>Input_HouseSize</vt:lpstr>
      <vt:lpstr>Input_IncinerationER</vt:lpstr>
      <vt:lpstr>Input_IncinerationWaste</vt:lpstr>
      <vt:lpstr>Input_IncinerationWasteTonnes</vt:lpstr>
      <vt:lpstr>Input_IPCCZones</vt:lpstr>
      <vt:lpstr>Input_LandfillFlow</vt:lpstr>
      <vt:lpstr>Input_LandfillFlowTonnes</vt:lpstr>
      <vt:lpstr>Input_LeadEF</vt:lpstr>
      <vt:lpstr>Input_LinedLandfill</vt:lpstr>
      <vt:lpstr>Input_MercuryEF</vt:lpstr>
      <vt:lpstr>Input_NHMethaneBurned</vt:lpstr>
      <vt:lpstr>Input_NHMethaneCaptured</vt:lpstr>
      <vt:lpstr>Input_NoIncineration</vt:lpstr>
      <vt:lpstr>Input_NoLandfills</vt:lpstr>
      <vt:lpstr>Input_NonHaz_IncinER</vt:lpstr>
      <vt:lpstr>Input_NoxImpact</vt:lpstr>
      <vt:lpstr>Input_NOXintensity</vt:lpstr>
      <vt:lpstr>Input_PM10impact</vt:lpstr>
      <vt:lpstr>Input_PM10intensity</vt:lpstr>
      <vt:lpstr>Input_PM2.5impact</vt:lpstr>
      <vt:lpstr>Input_PM25intensity</vt:lpstr>
      <vt:lpstr>Input_PopulationDensity</vt:lpstr>
      <vt:lpstr>Input_regions</vt:lpstr>
      <vt:lpstr>Input_SoilPermeability</vt:lpstr>
      <vt:lpstr>Input_SoxImpact</vt:lpstr>
      <vt:lpstr>Input_SOXintensity</vt:lpstr>
      <vt:lpstr>Input_TotalWaste</vt:lpstr>
      <vt:lpstr>Input_WasteCollection</vt:lpstr>
      <vt:lpstr>Interim_Coefficients</vt:lpstr>
      <vt:lpstr>Interim_CombinedCoefficients</vt:lpstr>
      <vt:lpstr>Interim_CombinedTag</vt:lpstr>
      <vt:lpstr>Interim_CombinedType</vt:lpstr>
      <vt:lpstr>Interim_Countries</vt:lpstr>
      <vt:lpstr>Interim_Income</vt:lpstr>
      <vt:lpstr>Interim_IncomeCoeff</vt:lpstr>
      <vt:lpstr>Interim_Regioncoeff</vt:lpstr>
      <vt:lpstr>Interim_Regions</vt:lpstr>
      <vt:lpstr>Interim_type</vt:lpstr>
      <vt:lpstr>IPCC_Coefficient</vt:lpstr>
      <vt:lpstr>IPCC_Location</vt:lpstr>
      <vt:lpstr>IPCC_LocationID</vt:lpstr>
      <vt:lpstr>IPCC_NonHaz_Haz</vt:lpstr>
      <vt:lpstr>LandfillGHG_ClimateZone</vt:lpstr>
      <vt:lpstr>LandfillGHG_WasteInput</vt:lpstr>
      <vt:lpstr>Leachate_Coefficient1</vt:lpstr>
      <vt:lpstr>Leachate_Coefficient2</vt:lpstr>
      <vt:lpstr>LF_GHG_coeff1_start</vt:lpstr>
      <vt:lpstr>LF_GHG_coeff2_start</vt:lpstr>
      <vt:lpstr>LF_GHG_IPCCID</vt:lpstr>
      <vt:lpstr>LF_GHG_LocationID_start</vt:lpstr>
      <vt:lpstr>LFGHG_Coefficient1</vt:lpstr>
      <vt:lpstr>LFGHG_Coefficient2</vt:lpstr>
      <vt:lpstr>MGR_ClimateZone</vt:lpstr>
      <vt:lpstr>MGR_DOC</vt:lpstr>
      <vt:lpstr>MGR_k</vt:lpstr>
      <vt:lpstr>MGR_WasteTypes</vt:lpstr>
      <vt:lpstr>ModifiedCountries</vt:lpstr>
      <vt:lpstr>ModifiedIncome</vt:lpstr>
      <vt:lpstr>ModifiedRegions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IFVI</dc:creator>
  <cp:keywords/>
  <dc:description/>
  <cp:lastModifiedBy>Carter Berry</cp:lastModifiedBy>
  <dcterms:created xsi:type="dcterms:W3CDTF">2024-05-10T13:44:27Z</dcterms:created>
  <dcterms:modified xsi:type="dcterms:W3CDTF">2024-10-16T15:14:03Z</dcterms:modified>
  <cp:category/>
</cp:coreProperties>
</file>